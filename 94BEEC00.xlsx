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codeName="EstaPasta_de_trabalho"/>
  <xr:revisionPtr revIDLastSave="0" documentId="8_{C422D8B8-42D6-4D77-90C7-95B5CBF7D5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itos_Tuneis" sheetId="2" r:id="rId1"/>
    <sheet name="Faltantes" sheetId="8" r:id="rId2"/>
    <sheet name="Cadastro_Tunel" sheetId="3" r:id="rId3"/>
    <sheet name="Equipamento_Tunel" sheetId="5" r:id="rId4"/>
    <sheet name="Sub Trecho" sheetId="7" r:id="rId5"/>
  </sheets>
  <definedNames>
    <definedName name="_FilterDatabase" localSheetId="1" hidden="1">Faltantes!$A$1:$B$3201</definedName>
    <definedName name="DadosExternos_1" localSheetId="0" hidden="1">Defeitos_Tuneis!$A$1:$AA$627</definedName>
    <definedName name="DadosExternos_1" localSheetId="3" hidden="1">Equipamento_Tunel!$A$1:$I$158</definedName>
    <definedName name="DadosExternos_1" localSheetId="4" hidden="1">'Sub Trecho'!$A$1:$M$53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 a="1"/>
  <c r="J3" i="5" s="1"/>
  <c r="J4" i="5" a="1"/>
  <c r="J4" i="5" s="1"/>
  <c r="J5" i="5" a="1"/>
  <c r="J5" i="5" s="1"/>
  <c r="J6" i="5" a="1"/>
  <c r="J6" i="5" s="1"/>
  <c r="J7" i="5" a="1"/>
  <c r="J7" i="5" s="1"/>
  <c r="J8" i="5" a="1"/>
  <c r="J8" i="5" s="1"/>
  <c r="J9" i="5" a="1"/>
  <c r="J9" i="5" s="1"/>
  <c r="J10" i="5" a="1"/>
  <c r="J10" i="5" s="1"/>
  <c r="J11" i="5" a="1"/>
  <c r="J11" i="5" s="1"/>
  <c r="J12" i="5" a="1"/>
  <c r="J12" i="5" s="1"/>
  <c r="J13" i="5" a="1"/>
  <c r="J13" i="5" s="1"/>
  <c r="J14" i="5" a="1"/>
  <c r="J14" i="5" s="1"/>
  <c r="J15" i="5" a="1"/>
  <c r="J15" i="5" s="1"/>
  <c r="J16" i="5" a="1"/>
  <c r="J16" i="5" s="1"/>
  <c r="J17" i="5" a="1"/>
  <c r="J17" i="5" s="1"/>
  <c r="J18" i="5" a="1"/>
  <c r="J18" i="5" s="1"/>
  <c r="J19" i="5" a="1"/>
  <c r="J19" i="5" s="1"/>
  <c r="J20" i="5" a="1"/>
  <c r="J20" i="5" s="1"/>
  <c r="J21" i="5" a="1"/>
  <c r="J21" i="5" s="1"/>
  <c r="J22" i="5" a="1"/>
  <c r="J22" i="5" s="1"/>
  <c r="J23" i="5" a="1"/>
  <c r="J23" i="5" s="1"/>
  <c r="J24" i="5" a="1"/>
  <c r="J24" i="5" s="1"/>
  <c r="J25" i="5" a="1"/>
  <c r="J25" i="5" s="1"/>
  <c r="J26" i="5" a="1"/>
  <c r="J26" i="5" s="1"/>
  <c r="J27" i="5" a="1"/>
  <c r="J27" i="5" s="1"/>
  <c r="J28" i="5" a="1"/>
  <c r="J28" i="5" s="1"/>
  <c r="J29" i="5" a="1"/>
  <c r="J29" i="5" s="1"/>
  <c r="J30" i="5" a="1"/>
  <c r="J30" i="5" s="1"/>
  <c r="J31" i="5" a="1"/>
  <c r="J31" i="5" s="1"/>
  <c r="J32" i="5" a="1"/>
  <c r="J32" i="5" s="1"/>
  <c r="J33" i="5" a="1"/>
  <c r="J33" i="5" s="1"/>
  <c r="J34" i="5" a="1"/>
  <c r="J34" i="5" s="1"/>
  <c r="J35" i="5" a="1"/>
  <c r="J35" i="5" s="1"/>
  <c r="J36" i="5" a="1"/>
  <c r="J36" i="5" s="1"/>
  <c r="J37" i="5" a="1"/>
  <c r="J37" i="5" s="1"/>
  <c r="J38" i="5" a="1"/>
  <c r="J38" i="5" s="1"/>
  <c r="J39" i="5" a="1"/>
  <c r="J39" i="5" s="1"/>
  <c r="J40" i="5" a="1"/>
  <c r="J40" i="5" s="1"/>
  <c r="J41" i="5" a="1"/>
  <c r="J41" i="5" s="1"/>
  <c r="J42" i="5" a="1"/>
  <c r="J42" i="5" s="1"/>
  <c r="J43" i="5" a="1"/>
  <c r="J43" i="5" s="1"/>
  <c r="J44" i="5" a="1"/>
  <c r="J44" i="5" s="1"/>
  <c r="J45" i="5" a="1"/>
  <c r="J45" i="5" s="1"/>
  <c r="J46" i="5" a="1"/>
  <c r="J46" i="5" s="1"/>
  <c r="J47" i="5" a="1"/>
  <c r="J47" i="5" s="1"/>
  <c r="J48" i="5" a="1"/>
  <c r="J48" i="5" s="1"/>
  <c r="J49" i="5" a="1"/>
  <c r="J49" i="5" s="1"/>
  <c r="J50" i="5" a="1"/>
  <c r="J50" i="5" s="1"/>
  <c r="J51" i="5" a="1"/>
  <c r="J51" i="5" s="1"/>
  <c r="J52" i="5" a="1"/>
  <c r="J52" i="5" s="1"/>
  <c r="J53" i="5" a="1"/>
  <c r="J53" i="5" s="1"/>
  <c r="J54" i="5" a="1"/>
  <c r="J54" i="5" s="1"/>
  <c r="J55" i="5" a="1"/>
  <c r="J55" i="5" s="1"/>
  <c r="J56" i="5" a="1"/>
  <c r="J56" i="5" s="1"/>
  <c r="J57" i="5" a="1"/>
  <c r="J57" i="5" s="1"/>
  <c r="J58" i="5" a="1"/>
  <c r="J58" i="5" s="1"/>
  <c r="J59" i="5" a="1"/>
  <c r="J59" i="5" s="1"/>
  <c r="J60" i="5" a="1"/>
  <c r="J60" i="5" s="1"/>
  <c r="J61" i="5" a="1"/>
  <c r="J61" i="5" s="1"/>
  <c r="J62" i="5" a="1"/>
  <c r="J62" i="5" s="1"/>
  <c r="J63" i="5" a="1"/>
  <c r="J63" i="5" s="1"/>
  <c r="J64" i="5" a="1"/>
  <c r="J64" i="5" s="1"/>
  <c r="J65" i="5" a="1"/>
  <c r="J65" i="5" s="1"/>
  <c r="J66" i="5" a="1"/>
  <c r="J66" i="5" s="1"/>
  <c r="J67" i="5" a="1"/>
  <c r="J67" i="5" s="1"/>
  <c r="J68" i="5" a="1"/>
  <c r="J68" i="5" s="1"/>
  <c r="J69" i="5" a="1"/>
  <c r="J69" i="5" s="1"/>
  <c r="J70" i="5" a="1"/>
  <c r="J70" i="5" s="1"/>
  <c r="J71" i="5" a="1"/>
  <c r="J71" i="5" s="1"/>
  <c r="J72" i="5" a="1"/>
  <c r="J72" i="5" s="1"/>
  <c r="J73" i="5" a="1"/>
  <c r="J73" i="5" s="1"/>
  <c r="J74" i="5" a="1"/>
  <c r="J74" i="5" s="1"/>
  <c r="J75" i="5" a="1"/>
  <c r="J75" i="5" s="1"/>
  <c r="J76" i="5" a="1"/>
  <c r="J76" i="5" s="1"/>
  <c r="J77" i="5" a="1"/>
  <c r="J77" i="5" s="1"/>
  <c r="J78" i="5" a="1"/>
  <c r="J78" i="5" s="1"/>
  <c r="J79" i="5" a="1"/>
  <c r="J79" i="5" s="1"/>
  <c r="J80" i="5" a="1"/>
  <c r="J80" i="5" s="1"/>
  <c r="J81" i="5" a="1"/>
  <c r="J81" i="5" s="1"/>
  <c r="J82" i="5" a="1"/>
  <c r="J82" i="5" s="1"/>
  <c r="J83" i="5" a="1"/>
  <c r="J83" i="5" s="1"/>
  <c r="J84" i="5" a="1"/>
  <c r="J84" i="5" s="1"/>
  <c r="J85" i="5" a="1"/>
  <c r="J85" i="5" s="1"/>
  <c r="J86" i="5" a="1"/>
  <c r="J86" i="5" s="1"/>
  <c r="J87" i="5" a="1"/>
  <c r="J87" i="5" s="1"/>
  <c r="J88" i="5" a="1"/>
  <c r="J88" i="5" s="1"/>
  <c r="J89" i="5" a="1"/>
  <c r="J89" i="5" s="1"/>
  <c r="J90" i="5" a="1"/>
  <c r="J90" i="5" s="1"/>
  <c r="J91" i="5" a="1"/>
  <c r="J91" i="5" s="1"/>
  <c r="J92" i="5" a="1"/>
  <c r="J92" i="5" s="1"/>
  <c r="J93" i="5" a="1"/>
  <c r="J93" i="5" s="1"/>
  <c r="J94" i="5" a="1"/>
  <c r="J94" i="5" s="1"/>
  <c r="J95" i="5" a="1"/>
  <c r="J95" i="5" s="1"/>
  <c r="J96" i="5" a="1"/>
  <c r="J96" i="5" s="1"/>
  <c r="J97" i="5" a="1"/>
  <c r="J97" i="5" s="1"/>
  <c r="J98" i="5" a="1"/>
  <c r="J98" i="5" s="1"/>
  <c r="J99" i="5" a="1"/>
  <c r="J99" i="5" s="1"/>
  <c r="J100" i="5" a="1"/>
  <c r="J100" i="5" s="1"/>
  <c r="J101" i="5" a="1"/>
  <c r="J101" i="5" s="1"/>
  <c r="J102" i="5" a="1"/>
  <c r="J102" i="5" s="1"/>
  <c r="J103" i="5" a="1"/>
  <c r="J103" i="5" s="1"/>
  <c r="J104" i="5" a="1"/>
  <c r="J104" i="5" s="1"/>
  <c r="J105" i="5" a="1"/>
  <c r="J105" i="5" s="1"/>
  <c r="J106" i="5" a="1"/>
  <c r="J106" i="5" s="1"/>
  <c r="J107" i="5" a="1"/>
  <c r="J107" i="5" s="1"/>
  <c r="J108" i="5" a="1"/>
  <c r="J108" i="5" s="1"/>
  <c r="J109" i="5" a="1"/>
  <c r="J109" i="5" s="1"/>
  <c r="J110" i="5" a="1"/>
  <c r="J110" i="5" s="1"/>
  <c r="J111" i="5" a="1"/>
  <c r="J111" i="5" s="1"/>
  <c r="J112" i="5" a="1"/>
  <c r="J112" i="5" s="1"/>
  <c r="J113" i="5" a="1"/>
  <c r="J113" i="5" s="1"/>
  <c r="J114" i="5" a="1"/>
  <c r="J114" i="5" s="1"/>
  <c r="J115" i="5" a="1"/>
  <c r="J115" i="5" s="1"/>
  <c r="J116" i="5" a="1"/>
  <c r="J116" i="5" s="1"/>
  <c r="J117" i="5" a="1"/>
  <c r="J117" i="5" s="1"/>
  <c r="J118" i="5" a="1"/>
  <c r="J118" i="5" s="1"/>
  <c r="J119" i="5" a="1"/>
  <c r="J119" i="5" s="1"/>
  <c r="J120" i="5" a="1"/>
  <c r="J120" i="5" s="1"/>
  <c r="J121" i="5" a="1"/>
  <c r="J121" i="5" s="1"/>
  <c r="J122" i="5" a="1"/>
  <c r="J122" i="5" s="1"/>
  <c r="J123" i="5" a="1"/>
  <c r="J123" i="5" s="1"/>
  <c r="J124" i="5" a="1"/>
  <c r="J124" i="5" s="1"/>
  <c r="J125" i="5" a="1"/>
  <c r="J125" i="5" s="1"/>
  <c r="J126" i="5" a="1"/>
  <c r="J126" i="5" s="1"/>
  <c r="J127" i="5" a="1"/>
  <c r="J127" i="5" s="1"/>
  <c r="J128" i="5" a="1"/>
  <c r="J128" i="5" s="1"/>
  <c r="J129" i="5" a="1"/>
  <c r="J129" i="5" s="1"/>
  <c r="J130" i="5" a="1"/>
  <c r="J130" i="5" s="1"/>
  <c r="J131" i="5" a="1"/>
  <c r="J131" i="5" s="1"/>
  <c r="J132" i="5" a="1"/>
  <c r="J132" i="5" s="1"/>
  <c r="J133" i="5" a="1"/>
  <c r="J133" i="5" s="1"/>
  <c r="J134" i="5" a="1"/>
  <c r="J134" i="5" s="1"/>
  <c r="J135" i="5" a="1"/>
  <c r="J135" i="5" s="1"/>
  <c r="J136" i="5" a="1"/>
  <c r="J136" i="5" s="1"/>
  <c r="J137" i="5" a="1"/>
  <c r="J137" i="5" s="1"/>
  <c r="J138" i="5" a="1"/>
  <c r="J138" i="5" s="1"/>
  <c r="J139" i="5" a="1"/>
  <c r="J139" i="5" s="1"/>
  <c r="J140" i="5" a="1"/>
  <c r="J140" i="5" s="1"/>
  <c r="J141" i="5" a="1"/>
  <c r="J141" i="5" s="1"/>
  <c r="J142" i="5" a="1"/>
  <c r="J142" i="5" s="1"/>
  <c r="J143" i="5" a="1"/>
  <c r="J143" i="5" s="1"/>
  <c r="J144" i="5" a="1"/>
  <c r="J144" i="5" s="1"/>
  <c r="J145" i="5" a="1"/>
  <c r="J145" i="5" s="1"/>
  <c r="J146" i="5" a="1"/>
  <c r="J146" i="5" s="1"/>
  <c r="J147" i="5" a="1"/>
  <c r="J147" i="5" s="1"/>
  <c r="J148" i="5" a="1"/>
  <c r="J148" i="5" s="1"/>
  <c r="J149" i="5" a="1"/>
  <c r="J149" i="5" s="1"/>
  <c r="J150" i="5" a="1"/>
  <c r="J150" i="5" s="1"/>
  <c r="J151" i="5" a="1"/>
  <c r="J151" i="5" s="1"/>
  <c r="J152" i="5" a="1"/>
  <c r="J152" i="5" s="1"/>
  <c r="J153" i="5" a="1"/>
  <c r="J153" i="5" s="1"/>
  <c r="J154" i="5" a="1"/>
  <c r="J154" i="5" s="1"/>
  <c r="J155" i="5" a="1"/>
  <c r="J155" i="5" s="1"/>
  <c r="J156" i="5" a="1"/>
  <c r="J156" i="5" s="1"/>
  <c r="J157" i="5" a="1"/>
  <c r="J157" i="5" s="1"/>
  <c r="J158" i="5" a="1"/>
  <c r="J158" i="5" s="1"/>
  <c r="J2" i="5" a="1"/>
  <c r="J2" i="5" s="1"/>
  <c r="K3" i="5" a="1"/>
  <c r="K3" i="5" s="1"/>
  <c r="K4" i="5" a="1"/>
  <c r="K4" i="5" s="1"/>
  <c r="K5" i="5" a="1"/>
  <c r="K5" i="5" s="1"/>
  <c r="K6" i="5" a="1"/>
  <c r="K6" i="5" s="1"/>
  <c r="K7" i="5" a="1"/>
  <c r="K7" i="5" s="1"/>
  <c r="K8" i="5" a="1"/>
  <c r="K8" i="5" s="1"/>
  <c r="K9" i="5" a="1"/>
  <c r="K9" i="5" s="1"/>
  <c r="K10" i="5" a="1"/>
  <c r="K10" i="5" s="1"/>
  <c r="K11" i="5" a="1"/>
  <c r="K11" i="5" s="1"/>
  <c r="K12" i="5" a="1"/>
  <c r="K12" i="5" s="1"/>
  <c r="K13" i="5" a="1"/>
  <c r="K13" i="5" s="1"/>
  <c r="K14" i="5" a="1"/>
  <c r="K14" i="5" s="1"/>
  <c r="K15" i="5" a="1"/>
  <c r="K15" i="5" s="1"/>
  <c r="K16" i="5" a="1"/>
  <c r="K16" i="5" s="1"/>
  <c r="K17" i="5" a="1"/>
  <c r="K17" i="5" s="1"/>
  <c r="K18" i="5" a="1"/>
  <c r="K18" i="5" s="1"/>
  <c r="K19" i="5" a="1"/>
  <c r="K19" i="5" s="1"/>
  <c r="K20" i="5" a="1"/>
  <c r="K20" i="5" s="1"/>
  <c r="K21" i="5" a="1"/>
  <c r="K21" i="5" s="1"/>
  <c r="K22" i="5" a="1"/>
  <c r="K22" i="5" s="1"/>
  <c r="K23" i="5" a="1"/>
  <c r="K23" i="5" s="1"/>
  <c r="K24" i="5" a="1"/>
  <c r="K24" i="5" s="1"/>
  <c r="K25" i="5" a="1"/>
  <c r="K25" i="5" s="1"/>
  <c r="K26" i="5" a="1"/>
  <c r="K26" i="5" s="1"/>
  <c r="K27" i="5" a="1"/>
  <c r="K27" i="5" s="1"/>
  <c r="K28" i="5" a="1"/>
  <c r="K28" i="5" s="1"/>
  <c r="K29" i="5" a="1"/>
  <c r="K29" i="5" s="1"/>
  <c r="K30" i="5" a="1"/>
  <c r="K30" i="5" s="1"/>
  <c r="K31" i="5" a="1"/>
  <c r="K31" i="5" s="1"/>
  <c r="K32" i="5" a="1"/>
  <c r="K32" i="5" s="1"/>
  <c r="K33" i="5" a="1"/>
  <c r="K33" i="5" s="1"/>
  <c r="K34" i="5" a="1"/>
  <c r="K34" i="5" s="1"/>
  <c r="K35" i="5" a="1"/>
  <c r="K35" i="5" s="1"/>
  <c r="K36" i="5" a="1"/>
  <c r="K36" i="5" s="1"/>
  <c r="K37" i="5" a="1"/>
  <c r="K37" i="5" s="1"/>
  <c r="K38" i="5" a="1"/>
  <c r="K38" i="5" s="1"/>
  <c r="K39" i="5" a="1"/>
  <c r="K39" i="5" s="1"/>
  <c r="K40" i="5" a="1"/>
  <c r="K40" i="5" s="1"/>
  <c r="K41" i="5" a="1"/>
  <c r="K41" i="5" s="1"/>
  <c r="K42" i="5" a="1"/>
  <c r="K42" i="5" s="1"/>
  <c r="K43" i="5" a="1"/>
  <c r="K43" i="5" s="1"/>
  <c r="K44" i="5" a="1"/>
  <c r="K44" i="5" s="1"/>
  <c r="K45" i="5" a="1"/>
  <c r="K45" i="5" s="1"/>
  <c r="K46" i="5" a="1"/>
  <c r="K46" i="5" s="1"/>
  <c r="K47" i="5" a="1"/>
  <c r="K47" i="5" s="1"/>
  <c r="K48" i="5" a="1"/>
  <c r="K48" i="5" s="1"/>
  <c r="K49" i="5" a="1"/>
  <c r="K49" i="5" s="1"/>
  <c r="K50" i="5" a="1"/>
  <c r="K50" i="5" s="1"/>
  <c r="K51" i="5" a="1"/>
  <c r="K51" i="5" s="1"/>
  <c r="K52" i="5" a="1"/>
  <c r="K52" i="5" s="1"/>
  <c r="K53" i="5" a="1"/>
  <c r="K53" i="5" s="1"/>
  <c r="K54" i="5" a="1"/>
  <c r="K54" i="5" s="1"/>
  <c r="K55" i="5" a="1"/>
  <c r="K55" i="5" s="1"/>
  <c r="K56" i="5" a="1"/>
  <c r="K56" i="5" s="1"/>
  <c r="K57" i="5" a="1"/>
  <c r="K57" i="5" s="1"/>
  <c r="K58" i="5" a="1"/>
  <c r="K58" i="5" s="1"/>
  <c r="K59" i="5" a="1"/>
  <c r="K59" i="5" s="1"/>
  <c r="K60" i="5" a="1"/>
  <c r="K60" i="5" s="1"/>
  <c r="K61" i="5" a="1"/>
  <c r="K61" i="5" s="1"/>
  <c r="K62" i="5" a="1"/>
  <c r="K62" i="5" s="1"/>
  <c r="K63" i="5" a="1"/>
  <c r="K63" i="5" s="1"/>
  <c r="K64" i="5" a="1"/>
  <c r="K64" i="5" s="1"/>
  <c r="K65" i="5" a="1"/>
  <c r="K65" i="5" s="1"/>
  <c r="K66" i="5" a="1"/>
  <c r="K66" i="5" s="1"/>
  <c r="K67" i="5" a="1"/>
  <c r="K67" i="5" s="1"/>
  <c r="K68" i="5" a="1"/>
  <c r="K68" i="5" s="1"/>
  <c r="K69" i="5" a="1"/>
  <c r="K69" i="5" s="1"/>
  <c r="K70" i="5" a="1"/>
  <c r="K70" i="5" s="1"/>
  <c r="K71" i="5" a="1"/>
  <c r="K71" i="5" s="1"/>
  <c r="K72" i="5" a="1"/>
  <c r="K72" i="5" s="1"/>
  <c r="K73" i="5" a="1"/>
  <c r="K73" i="5" s="1"/>
  <c r="K74" i="5" a="1"/>
  <c r="K74" i="5" s="1"/>
  <c r="K75" i="5" a="1"/>
  <c r="K75" i="5" s="1"/>
  <c r="K76" i="5" a="1"/>
  <c r="K76" i="5" s="1"/>
  <c r="K77" i="5" a="1"/>
  <c r="K77" i="5" s="1"/>
  <c r="K78" i="5" a="1"/>
  <c r="K78" i="5" s="1"/>
  <c r="K79" i="5" a="1"/>
  <c r="K79" i="5" s="1"/>
  <c r="K80" i="5" a="1"/>
  <c r="K80" i="5" s="1"/>
  <c r="K81" i="5" a="1"/>
  <c r="K81" i="5" s="1"/>
  <c r="K82" i="5" a="1"/>
  <c r="K82" i="5" s="1"/>
  <c r="K83" i="5" a="1"/>
  <c r="K83" i="5" s="1"/>
  <c r="K84" i="5" a="1"/>
  <c r="K84" i="5" s="1"/>
  <c r="K85" i="5" a="1"/>
  <c r="K85" i="5" s="1"/>
  <c r="K86" i="5" a="1"/>
  <c r="K86" i="5" s="1"/>
  <c r="K87" i="5" a="1"/>
  <c r="K87" i="5" s="1"/>
  <c r="K88" i="5" a="1"/>
  <c r="K88" i="5" s="1"/>
  <c r="K89" i="5" a="1"/>
  <c r="K89" i="5" s="1"/>
  <c r="K90" i="5" a="1"/>
  <c r="K90" i="5" s="1"/>
  <c r="K91" i="5" a="1"/>
  <c r="K91" i="5" s="1"/>
  <c r="K92" i="5" a="1"/>
  <c r="K92" i="5" s="1"/>
  <c r="K93" i="5" a="1"/>
  <c r="K93" i="5" s="1"/>
  <c r="K94" i="5" a="1"/>
  <c r="K94" i="5" s="1"/>
  <c r="K95" i="5" a="1"/>
  <c r="K95" i="5" s="1"/>
  <c r="K96" i="5" a="1"/>
  <c r="K96" i="5" s="1"/>
  <c r="K97" i="5" a="1"/>
  <c r="K97" i="5" s="1"/>
  <c r="K98" i="5" a="1"/>
  <c r="K98" i="5" s="1"/>
  <c r="K99" i="5" a="1"/>
  <c r="K99" i="5" s="1"/>
  <c r="K100" i="5" a="1"/>
  <c r="K100" i="5" s="1"/>
  <c r="K101" i="5" a="1"/>
  <c r="K101" i="5" s="1"/>
  <c r="K102" i="5" a="1"/>
  <c r="K102" i="5" s="1"/>
  <c r="K103" i="5" a="1"/>
  <c r="K103" i="5" s="1"/>
  <c r="K104" i="5" a="1"/>
  <c r="K104" i="5" s="1"/>
  <c r="K105" i="5" a="1"/>
  <c r="K105" i="5" s="1"/>
  <c r="K106" i="5" a="1"/>
  <c r="K106" i="5" s="1"/>
  <c r="K107" i="5" a="1"/>
  <c r="K107" i="5" s="1"/>
  <c r="K108" i="5" a="1"/>
  <c r="K108" i="5" s="1"/>
  <c r="K109" i="5" a="1"/>
  <c r="K109" i="5" s="1"/>
  <c r="K110" i="5" a="1"/>
  <c r="K110" i="5" s="1"/>
  <c r="K111" i="5" a="1"/>
  <c r="K111" i="5" s="1"/>
  <c r="K112" i="5" a="1"/>
  <c r="K112" i="5" s="1"/>
  <c r="K113" i="5" a="1"/>
  <c r="K113" i="5" s="1"/>
  <c r="K114" i="5" a="1"/>
  <c r="K114" i="5" s="1"/>
  <c r="K115" i="5" a="1"/>
  <c r="K115" i="5" s="1"/>
  <c r="K116" i="5" a="1"/>
  <c r="K116" i="5" s="1"/>
  <c r="K117" i="5" a="1"/>
  <c r="K117" i="5" s="1"/>
  <c r="K118" i="5" a="1"/>
  <c r="K118" i="5" s="1"/>
  <c r="K119" i="5" a="1"/>
  <c r="K119" i="5" s="1"/>
  <c r="K120" i="5" a="1"/>
  <c r="K120" i="5" s="1"/>
  <c r="K121" i="5" a="1"/>
  <c r="K121" i="5" s="1"/>
  <c r="K122" i="5" a="1"/>
  <c r="K122" i="5" s="1"/>
  <c r="K123" i="5" a="1"/>
  <c r="K123" i="5" s="1"/>
  <c r="K124" i="5" a="1"/>
  <c r="K124" i="5" s="1"/>
  <c r="K125" i="5" a="1"/>
  <c r="K125" i="5" s="1"/>
  <c r="K126" i="5" a="1"/>
  <c r="K126" i="5" s="1"/>
  <c r="K127" i="5" a="1"/>
  <c r="K127" i="5" s="1"/>
  <c r="K128" i="5" a="1"/>
  <c r="K128" i="5" s="1"/>
  <c r="K129" i="5" a="1"/>
  <c r="K129" i="5" s="1"/>
  <c r="K130" i="5" a="1"/>
  <c r="K130" i="5" s="1"/>
  <c r="K131" i="5" a="1"/>
  <c r="K131" i="5" s="1"/>
  <c r="K132" i="5" a="1"/>
  <c r="K132" i="5" s="1"/>
  <c r="K133" i="5" a="1"/>
  <c r="K133" i="5" s="1"/>
  <c r="K134" i="5" a="1"/>
  <c r="K134" i="5" s="1"/>
  <c r="K135" i="5" a="1"/>
  <c r="K135" i="5" s="1"/>
  <c r="K136" i="5" a="1"/>
  <c r="K136" i="5" s="1"/>
  <c r="K137" i="5" a="1"/>
  <c r="K137" i="5" s="1"/>
  <c r="K138" i="5" a="1"/>
  <c r="K138" i="5" s="1"/>
  <c r="K139" i="5" a="1"/>
  <c r="K139" i="5" s="1"/>
  <c r="K140" i="5" a="1"/>
  <c r="K140" i="5" s="1"/>
  <c r="K141" i="5" a="1"/>
  <c r="K141" i="5" s="1"/>
  <c r="K142" i="5" a="1"/>
  <c r="K142" i="5" s="1"/>
  <c r="K143" i="5" a="1"/>
  <c r="K143" i="5" s="1"/>
  <c r="K144" i="5" a="1"/>
  <c r="K144" i="5" s="1"/>
  <c r="K145" i="5" a="1"/>
  <c r="K145" i="5" s="1"/>
  <c r="K146" i="5" a="1"/>
  <c r="K146" i="5" s="1"/>
  <c r="K147" i="5" a="1"/>
  <c r="K147" i="5" s="1"/>
  <c r="K148" i="5" a="1"/>
  <c r="K148" i="5" s="1"/>
  <c r="K149" i="5" a="1"/>
  <c r="K149" i="5" s="1"/>
  <c r="K150" i="5" a="1"/>
  <c r="K150" i="5" s="1"/>
  <c r="K151" i="5" a="1"/>
  <c r="K151" i="5" s="1"/>
  <c r="K152" i="5" a="1"/>
  <c r="K152" i="5" s="1"/>
  <c r="K153" i="5" a="1"/>
  <c r="K153" i="5" s="1"/>
  <c r="K154" i="5" a="1"/>
  <c r="K154" i="5" s="1"/>
  <c r="K155" i="5" a="1"/>
  <c r="K155" i="5" s="1"/>
  <c r="K156" i="5" a="1"/>
  <c r="K156" i="5" s="1"/>
  <c r="K157" i="5" a="1"/>
  <c r="K157" i="5" s="1"/>
  <c r="K158" i="5" a="1"/>
  <c r="K158" i="5" s="1"/>
  <c r="K2" i="5" a="1"/>
  <c r="K2" i="5" s="1"/>
  <c r="B3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B1998" i="8"/>
  <c r="B1999" i="8"/>
  <c r="B2000" i="8"/>
  <c r="B2001" i="8"/>
  <c r="B2002" i="8"/>
  <c r="B2003" i="8"/>
  <c r="B2004" i="8"/>
  <c r="B2005" i="8"/>
  <c r="B2006" i="8"/>
  <c r="B2007" i="8"/>
  <c r="B2008" i="8"/>
  <c r="B2009" i="8"/>
  <c r="B2010" i="8"/>
  <c r="B2011" i="8"/>
  <c r="B2012" i="8"/>
  <c r="B2013" i="8"/>
  <c r="B2014" i="8"/>
  <c r="B2015" i="8"/>
  <c r="B2016" i="8"/>
  <c r="B2017" i="8"/>
  <c r="B2018" i="8"/>
  <c r="B2019" i="8"/>
  <c r="B2020" i="8"/>
  <c r="B2021" i="8"/>
  <c r="B2022" i="8"/>
  <c r="B2023" i="8"/>
  <c r="B2024" i="8"/>
  <c r="B2025" i="8"/>
  <c r="B2026" i="8"/>
  <c r="B2027" i="8"/>
  <c r="B2028" i="8"/>
  <c r="B2029" i="8"/>
  <c r="B2030" i="8"/>
  <c r="B2031" i="8"/>
  <c r="B2032" i="8"/>
  <c r="B2033" i="8"/>
  <c r="B2034" i="8"/>
  <c r="B2035" i="8"/>
  <c r="B2036" i="8"/>
  <c r="B2037" i="8"/>
  <c r="B2038" i="8"/>
  <c r="B2039" i="8"/>
  <c r="B2040" i="8"/>
  <c r="B2041" i="8"/>
  <c r="B2042" i="8"/>
  <c r="B2043" i="8"/>
  <c r="B2044" i="8"/>
  <c r="B2045" i="8"/>
  <c r="B2046" i="8"/>
  <c r="B2047" i="8"/>
  <c r="B2048" i="8"/>
  <c r="B2049" i="8"/>
  <c r="B2050" i="8"/>
  <c r="B2051" i="8"/>
  <c r="B2052" i="8"/>
  <c r="B2053" i="8"/>
  <c r="B2054" i="8"/>
  <c r="B2055" i="8"/>
  <c r="B2056" i="8"/>
  <c r="B2057" i="8"/>
  <c r="B2058" i="8"/>
  <c r="B2059" i="8"/>
  <c r="B2060" i="8"/>
  <c r="B2061" i="8"/>
  <c r="B2062" i="8"/>
  <c r="B2063" i="8"/>
  <c r="B2064" i="8"/>
  <c r="B2065" i="8"/>
  <c r="B2066" i="8"/>
  <c r="B2067" i="8"/>
  <c r="B2068" i="8"/>
  <c r="B2069" i="8"/>
  <c r="B2070" i="8"/>
  <c r="B2071" i="8"/>
  <c r="B2072" i="8"/>
  <c r="B2073" i="8"/>
  <c r="B2074" i="8"/>
  <c r="B2075" i="8"/>
  <c r="B2076" i="8"/>
  <c r="B2077" i="8"/>
  <c r="B2078" i="8"/>
  <c r="B2079" i="8"/>
  <c r="B2080" i="8"/>
  <c r="B2081" i="8"/>
  <c r="B2082" i="8"/>
  <c r="B2083" i="8"/>
  <c r="B2084" i="8"/>
  <c r="B2085" i="8"/>
  <c r="B2086" i="8"/>
  <c r="B2087" i="8"/>
  <c r="B2088" i="8"/>
  <c r="B2089" i="8"/>
  <c r="B2090" i="8"/>
  <c r="B2091" i="8"/>
  <c r="B2092" i="8"/>
  <c r="B2093" i="8"/>
  <c r="B2094" i="8"/>
  <c r="B2095" i="8"/>
  <c r="B2096" i="8"/>
  <c r="B2097" i="8"/>
  <c r="B2098" i="8"/>
  <c r="B2099" i="8"/>
  <c r="B2100" i="8"/>
  <c r="B2101" i="8"/>
  <c r="B2102" i="8"/>
  <c r="B2103" i="8"/>
  <c r="B2104" i="8"/>
  <c r="B2105" i="8"/>
  <c r="B2106" i="8"/>
  <c r="B2107" i="8"/>
  <c r="B2108" i="8"/>
  <c r="B2109" i="8"/>
  <c r="B2110" i="8"/>
  <c r="B2111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B2126" i="8"/>
  <c r="B2127" i="8"/>
  <c r="B2128" i="8"/>
  <c r="B2129" i="8"/>
  <c r="B2130" i="8"/>
  <c r="B2131" i="8"/>
  <c r="B2132" i="8"/>
  <c r="B2133" i="8"/>
  <c r="B2134" i="8"/>
  <c r="B2135" i="8"/>
  <c r="B2136" i="8"/>
  <c r="B2137" i="8"/>
  <c r="B2138" i="8"/>
  <c r="B2139" i="8"/>
  <c r="B2140" i="8"/>
  <c r="B2141" i="8"/>
  <c r="B2142" i="8"/>
  <c r="B2143" i="8"/>
  <c r="B2144" i="8"/>
  <c r="B2145" i="8"/>
  <c r="B2146" i="8"/>
  <c r="B2147" i="8"/>
  <c r="B2148" i="8"/>
  <c r="B2149" i="8"/>
  <c r="B2150" i="8"/>
  <c r="B2151" i="8"/>
  <c r="B2152" i="8"/>
  <c r="B2153" i="8"/>
  <c r="B2154" i="8"/>
  <c r="B2155" i="8"/>
  <c r="B2156" i="8"/>
  <c r="B2157" i="8"/>
  <c r="B2158" i="8"/>
  <c r="B2159" i="8"/>
  <c r="B2160" i="8"/>
  <c r="B2161" i="8"/>
  <c r="B2162" i="8"/>
  <c r="B2163" i="8"/>
  <c r="B2164" i="8"/>
  <c r="B2165" i="8"/>
  <c r="B2166" i="8"/>
  <c r="B2167" i="8"/>
  <c r="B2168" i="8"/>
  <c r="B2169" i="8"/>
  <c r="B2170" i="8"/>
  <c r="B2171" i="8"/>
  <c r="B2172" i="8"/>
  <c r="B2173" i="8"/>
  <c r="B2174" i="8"/>
  <c r="B2175" i="8"/>
  <c r="B2176" i="8"/>
  <c r="B2177" i="8"/>
  <c r="B2178" i="8"/>
  <c r="B2179" i="8"/>
  <c r="B2180" i="8"/>
  <c r="B2181" i="8"/>
  <c r="B2182" i="8"/>
  <c r="B2183" i="8"/>
  <c r="B2184" i="8"/>
  <c r="B2185" i="8"/>
  <c r="B2186" i="8"/>
  <c r="B2187" i="8"/>
  <c r="B2188" i="8"/>
  <c r="B2189" i="8"/>
  <c r="B2190" i="8"/>
  <c r="B2191" i="8"/>
  <c r="B2192" i="8"/>
  <c r="B2193" i="8"/>
  <c r="B2194" i="8"/>
  <c r="B2195" i="8"/>
  <c r="B2196" i="8"/>
  <c r="B2197" i="8"/>
  <c r="B2198" i="8"/>
  <c r="B2199" i="8"/>
  <c r="B2200" i="8"/>
  <c r="B2201" i="8"/>
  <c r="B2202" i="8"/>
  <c r="B2203" i="8"/>
  <c r="B2204" i="8"/>
  <c r="B2205" i="8"/>
  <c r="B2206" i="8"/>
  <c r="B2207" i="8"/>
  <c r="B2208" i="8"/>
  <c r="B2209" i="8"/>
  <c r="B2210" i="8"/>
  <c r="B2211" i="8"/>
  <c r="B2212" i="8"/>
  <c r="B2213" i="8"/>
  <c r="B2214" i="8"/>
  <c r="B2215" i="8"/>
  <c r="B2216" i="8"/>
  <c r="B2217" i="8"/>
  <c r="B2218" i="8"/>
  <c r="B2219" i="8"/>
  <c r="B2220" i="8"/>
  <c r="B2221" i="8"/>
  <c r="B2222" i="8"/>
  <c r="B2223" i="8"/>
  <c r="B2224" i="8"/>
  <c r="B2225" i="8"/>
  <c r="B2226" i="8"/>
  <c r="B2227" i="8"/>
  <c r="B2228" i="8"/>
  <c r="B2229" i="8"/>
  <c r="B2230" i="8"/>
  <c r="B2231" i="8"/>
  <c r="B2232" i="8"/>
  <c r="B2233" i="8"/>
  <c r="B2234" i="8"/>
  <c r="B2235" i="8"/>
  <c r="B2236" i="8"/>
  <c r="B2237" i="8"/>
  <c r="B2238" i="8"/>
  <c r="B2239" i="8"/>
  <c r="B2240" i="8"/>
  <c r="B2241" i="8"/>
  <c r="B2242" i="8"/>
  <c r="B2243" i="8"/>
  <c r="B2244" i="8"/>
  <c r="B2245" i="8"/>
  <c r="B2246" i="8"/>
  <c r="B2247" i="8"/>
  <c r="B2248" i="8"/>
  <c r="B2249" i="8"/>
  <c r="B2250" i="8"/>
  <c r="B2251" i="8"/>
  <c r="B2252" i="8"/>
  <c r="B2253" i="8"/>
  <c r="B2254" i="8"/>
  <c r="B2255" i="8"/>
  <c r="B2256" i="8"/>
  <c r="B2257" i="8"/>
  <c r="B2258" i="8"/>
  <c r="B2259" i="8"/>
  <c r="B2260" i="8"/>
  <c r="B2261" i="8"/>
  <c r="B2262" i="8"/>
  <c r="B2263" i="8"/>
  <c r="B2264" i="8"/>
  <c r="B2265" i="8"/>
  <c r="B2266" i="8"/>
  <c r="B2267" i="8"/>
  <c r="B2268" i="8"/>
  <c r="B2269" i="8"/>
  <c r="B2270" i="8"/>
  <c r="B2271" i="8"/>
  <c r="B2272" i="8"/>
  <c r="B2273" i="8"/>
  <c r="B2274" i="8"/>
  <c r="B2275" i="8"/>
  <c r="B2276" i="8"/>
  <c r="B2277" i="8"/>
  <c r="B2278" i="8"/>
  <c r="B2279" i="8"/>
  <c r="B2280" i="8"/>
  <c r="B2281" i="8"/>
  <c r="B2282" i="8"/>
  <c r="B2283" i="8"/>
  <c r="B2284" i="8"/>
  <c r="B2285" i="8"/>
  <c r="B2286" i="8"/>
  <c r="B2287" i="8"/>
  <c r="B2288" i="8"/>
  <c r="B2289" i="8"/>
  <c r="B2290" i="8"/>
  <c r="B2291" i="8"/>
  <c r="B2292" i="8"/>
  <c r="B2293" i="8"/>
  <c r="B2294" i="8"/>
  <c r="B2295" i="8"/>
  <c r="B2296" i="8"/>
  <c r="B2297" i="8"/>
  <c r="B2298" i="8"/>
  <c r="B2299" i="8"/>
  <c r="B2300" i="8"/>
  <c r="B2301" i="8"/>
  <c r="B2302" i="8"/>
  <c r="B2303" i="8"/>
  <c r="B2304" i="8"/>
  <c r="B2305" i="8"/>
  <c r="B2306" i="8"/>
  <c r="B2307" i="8"/>
  <c r="B2308" i="8"/>
  <c r="B2309" i="8"/>
  <c r="B2310" i="8"/>
  <c r="B2311" i="8"/>
  <c r="B2312" i="8"/>
  <c r="B2313" i="8"/>
  <c r="B2314" i="8"/>
  <c r="B2315" i="8"/>
  <c r="B2316" i="8"/>
  <c r="B2317" i="8"/>
  <c r="B2318" i="8"/>
  <c r="B2319" i="8"/>
  <c r="B2320" i="8"/>
  <c r="B2321" i="8"/>
  <c r="B2322" i="8"/>
  <c r="B2323" i="8"/>
  <c r="B2324" i="8"/>
  <c r="B2325" i="8"/>
  <c r="B2326" i="8"/>
  <c r="B2327" i="8"/>
  <c r="B2328" i="8"/>
  <c r="B2329" i="8"/>
  <c r="B2330" i="8"/>
  <c r="B2331" i="8"/>
  <c r="B2332" i="8"/>
  <c r="B2333" i="8"/>
  <c r="B2334" i="8"/>
  <c r="B2335" i="8"/>
  <c r="B2336" i="8"/>
  <c r="B2337" i="8"/>
  <c r="B2338" i="8"/>
  <c r="B2339" i="8"/>
  <c r="B2340" i="8"/>
  <c r="B2341" i="8"/>
  <c r="B2342" i="8"/>
  <c r="B2343" i="8"/>
  <c r="B2344" i="8"/>
  <c r="B2345" i="8"/>
  <c r="B2346" i="8"/>
  <c r="B2347" i="8"/>
  <c r="B2348" i="8"/>
  <c r="B2349" i="8"/>
  <c r="B2350" i="8"/>
  <c r="B2351" i="8"/>
  <c r="B2352" i="8"/>
  <c r="B2353" i="8"/>
  <c r="B2354" i="8"/>
  <c r="B2355" i="8"/>
  <c r="B2356" i="8"/>
  <c r="B2357" i="8"/>
  <c r="B2358" i="8"/>
  <c r="B2359" i="8"/>
  <c r="B2360" i="8"/>
  <c r="B2361" i="8"/>
  <c r="B2362" i="8"/>
  <c r="B2363" i="8"/>
  <c r="B2364" i="8"/>
  <c r="B2365" i="8"/>
  <c r="B2366" i="8"/>
  <c r="B2367" i="8"/>
  <c r="B2368" i="8"/>
  <c r="B2369" i="8"/>
  <c r="B2370" i="8"/>
  <c r="B2371" i="8"/>
  <c r="B2372" i="8"/>
  <c r="B2373" i="8"/>
  <c r="B2374" i="8"/>
  <c r="B2375" i="8"/>
  <c r="B2376" i="8"/>
  <c r="B2377" i="8"/>
  <c r="B2378" i="8"/>
  <c r="B2379" i="8"/>
  <c r="B2380" i="8"/>
  <c r="B2381" i="8"/>
  <c r="B2382" i="8"/>
  <c r="B2383" i="8"/>
  <c r="B2384" i="8"/>
  <c r="B2385" i="8"/>
  <c r="B2386" i="8"/>
  <c r="B2387" i="8"/>
  <c r="B2388" i="8"/>
  <c r="B2389" i="8"/>
  <c r="B2390" i="8"/>
  <c r="B2391" i="8"/>
  <c r="B2392" i="8"/>
  <c r="B2393" i="8"/>
  <c r="B2394" i="8"/>
  <c r="B2395" i="8"/>
  <c r="B2396" i="8"/>
  <c r="B2397" i="8"/>
  <c r="B2398" i="8"/>
  <c r="B2399" i="8"/>
  <c r="B2400" i="8"/>
  <c r="B2401" i="8"/>
  <c r="B2402" i="8"/>
  <c r="B2403" i="8"/>
  <c r="B2404" i="8"/>
  <c r="B2405" i="8"/>
  <c r="B2406" i="8"/>
  <c r="B2407" i="8"/>
  <c r="B2408" i="8"/>
  <c r="B2409" i="8"/>
  <c r="B2410" i="8"/>
  <c r="B2411" i="8"/>
  <c r="B2412" i="8"/>
  <c r="B2413" i="8"/>
  <c r="B2414" i="8"/>
  <c r="B2415" i="8"/>
  <c r="B2416" i="8"/>
  <c r="B2417" i="8"/>
  <c r="B2418" i="8"/>
  <c r="B2419" i="8"/>
  <c r="B2420" i="8"/>
  <c r="B2421" i="8"/>
  <c r="B2422" i="8"/>
  <c r="B2423" i="8"/>
  <c r="B2424" i="8"/>
  <c r="B2425" i="8"/>
  <c r="B2426" i="8"/>
  <c r="B2427" i="8"/>
  <c r="B2428" i="8"/>
  <c r="B2429" i="8"/>
  <c r="B2430" i="8"/>
  <c r="B2431" i="8"/>
  <c r="B2432" i="8"/>
  <c r="B2433" i="8"/>
  <c r="B2434" i="8"/>
  <c r="B2435" i="8"/>
  <c r="B2436" i="8"/>
  <c r="B2437" i="8"/>
  <c r="B2438" i="8"/>
  <c r="B2439" i="8"/>
  <c r="B2440" i="8"/>
  <c r="B2441" i="8"/>
  <c r="B2442" i="8"/>
  <c r="B2443" i="8"/>
  <c r="B2444" i="8"/>
  <c r="B2445" i="8"/>
  <c r="B2446" i="8"/>
  <c r="B2447" i="8"/>
  <c r="B2448" i="8"/>
  <c r="B2449" i="8"/>
  <c r="B2450" i="8"/>
  <c r="B2451" i="8"/>
  <c r="B2452" i="8"/>
  <c r="B2453" i="8"/>
  <c r="B2454" i="8"/>
  <c r="B2455" i="8"/>
  <c r="B2456" i="8"/>
  <c r="B2457" i="8"/>
  <c r="B2458" i="8"/>
  <c r="B2459" i="8"/>
  <c r="B2460" i="8"/>
  <c r="B2461" i="8"/>
  <c r="B2462" i="8"/>
  <c r="B2463" i="8"/>
  <c r="B2464" i="8"/>
  <c r="B2465" i="8"/>
  <c r="B2466" i="8"/>
  <c r="B2467" i="8"/>
  <c r="B2468" i="8"/>
  <c r="B2469" i="8"/>
  <c r="B2470" i="8"/>
  <c r="B2471" i="8"/>
  <c r="B2472" i="8"/>
  <c r="B2473" i="8"/>
  <c r="B2474" i="8"/>
  <c r="B2475" i="8"/>
  <c r="B2476" i="8"/>
  <c r="B2477" i="8"/>
  <c r="B2478" i="8"/>
  <c r="B2479" i="8"/>
  <c r="B2480" i="8"/>
  <c r="B2481" i="8"/>
  <c r="B2482" i="8"/>
  <c r="B2483" i="8"/>
  <c r="B2484" i="8"/>
  <c r="B2485" i="8"/>
  <c r="B2486" i="8"/>
  <c r="B2487" i="8"/>
  <c r="B2488" i="8"/>
  <c r="B2489" i="8"/>
  <c r="B2490" i="8"/>
  <c r="B2491" i="8"/>
  <c r="B2492" i="8"/>
  <c r="B2493" i="8"/>
  <c r="B2494" i="8"/>
  <c r="B2495" i="8"/>
  <c r="B2496" i="8"/>
  <c r="B2497" i="8"/>
  <c r="B2498" i="8"/>
  <c r="B2499" i="8"/>
  <c r="B2500" i="8"/>
  <c r="B2501" i="8"/>
  <c r="B2502" i="8"/>
  <c r="B2503" i="8"/>
  <c r="B2504" i="8"/>
  <c r="B2505" i="8"/>
  <c r="B2506" i="8"/>
  <c r="B2507" i="8"/>
  <c r="B2508" i="8"/>
  <c r="B2509" i="8"/>
  <c r="B2510" i="8"/>
  <c r="B2511" i="8"/>
  <c r="B2512" i="8"/>
  <c r="B2513" i="8"/>
  <c r="B2514" i="8"/>
  <c r="B2515" i="8"/>
  <c r="B2516" i="8"/>
  <c r="B2517" i="8"/>
  <c r="B2518" i="8"/>
  <c r="B2519" i="8"/>
  <c r="B2520" i="8"/>
  <c r="B2521" i="8"/>
  <c r="B2522" i="8"/>
  <c r="B2523" i="8"/>
  <c r="B2524" i="8"/>
  <c r="B2525" i="8"/>
  <c r="B2526" i="8"/>
  <c r="B2527" i="8"/>
  <c r="B2528" i="8"/>
  <c r="B2529" i="8"/>
  <c r="B2530" i="8"/>
  <c r="B2531" i="8"/>
  <c r="B2532" i="8"/>
  <c r="B2533" i="8"/>
  <c r="B2534" i="8"/>
  <c r="B2535" i="8"/>
  <c r="B2536" i="8"/>
  <c r="B2537" i="8"/>
  <c r="B2538" i="8"/>
  <c r="B2539" i="8"/>
  <c r="B2540" i="8"/>
  <c r="B2541" i="8"/>
  <c r="B2542" i="8"/>
  <c r="B2543" i="8"/>
  <c r="B2544" i="8"/>
  <c r="B2545" i="8"/>
  <c r="B2546" i="8"/>
  <c r="B2547" i="8"/>
  <c r="B2548" i="8"/>
  <c r="B2549" i="8"/>
  <c r="B2550" i="8"/>
  <c r="B2551" i="8"/>
  <c r="B2552" i="8"/>
  <c r="B2553" i="8"/>
  <c r="B2554" i="8"/>
  <c r="B2555" i="8"/>
  <c r="B2556" i="8"/>
  <c r="B2557" i="8"/>
  <c r="B2558" i="8"/>
  <c r="B2559" i="8"/>
  <c r="B2560" i="8"/>
  <c r="B2561" i="8"/>
  <c r="B2562" i="8"/>
  <c r="B2563" i="8"/>
  <c r="B2564" i="8"/>
  <c r="B2565" i="8"/>
  <c r="B2566" i="8"/>
  <c r="B2567" i="8"/>
  <c r="B2568" i="8"/>
  <c r="B2569" i="8"/>
  <c r="B2570" i="8"/>
  <c r="B2571" i="8"/>
  <c r="B2572" i="8"/>
  <c r="B2573" i="8"/>
  <c r="B2574" i="8"/>
  <c r="B2575" i="8"/>
  <c r="B2576" i="8"/>
  <c r="B2577" i="8"/>
  <c r="B2578" i="8"/>
  <c r="B2579" i="8"/>
  <c r="B2580" i="8"/>
  <c r="B2581" i="8"/>
  <c r="B2582" i="8"/>
  <c r="B2583" i="8"/>
  <c r="B2584" i="8"/>
  <c r="B2585" i="8"/>
  <c r="B2586" i="8"/>
  <c r="B2587" i="8"/>
  <c r="B2588" i="8"/>
  <c r="B2589" i="8"/>
  <c r="B2590" i="8"/>
  <c r="B2591" i="8"/>
  <c r="B2592" i="8"/>
  <c r="B2593" i="8"/>
  <c r="B2594" i="8"/>
  <c r="B2595" i="8"/>
  <c r="B2596" i="8"/>
  <c r="B2597" i="8"/>
  <c r="B2598" i="8"/>
  <c r="B2599" i="8"/>
  <c r="B2600" i="8"/>
  <c r="B2601" i="8"/>
  <c r="B2602" i="8"/>
  <c r="B2603" i="8"/>
  <c r="B2604" i="8"/>
  <c r="B2605" i="8"/>
  <c r="B2606" i="8"/>
  <c r="B2607" i="8"/>
  <c r="B2608" i="8"/>
  <c r="B2609" i="8"/>
  <c r="B2610" i="8"/>
  <c r="B2611" i="8"/>
  <c r="B2612" i="8"/>
  <c r="B2613" i="8"/>
  <c r="B2614" i="8"/>
  <c r="B2615" i="8"/>
  <c r="B2616" i="8"/>
  <c r="B2617" i="8"/>
  <c r="B2618" i="8"/>
  <c r="B2619" i="8"/>
  <c r="B2620" i="8"/>
  <c r="B2621" i="8"/>
  <c r="B2622" i="8"/>
  <c r="B2623" i="8"/>
  <c r="B2624" i="8"/>
  <c r="B2625" i="8"/>
  <c r="B2626" i="8"/>
  <c r="B2627" i="8"/>
  <c r="B2628" i="8"/>
  <c r="B2629" i="8"/>
  <c r="B2630" i="8"/>
  <c r="B2631" i="8"/>
  <c r="B2632" i="8"/>
  <c r="B2633" i="8"/>
  <c r="B2634" i="8"/>
  <c r="B2635" i="8"/>
  <c r="B2636" i="8"/>
  <c r="B2637" i="8"/>
  <c r="B2638" i="8"/>
  <c r="B2639" i="8"/>
  <c r="B2640" i="8"/>
  <c r="B2641" i="8"/>
  <c r="B2642" i="8"/>
  <c r="B2643" i="8"/>
  <c r="B2644" i="8"/>
  <c r="B2645" i="8"/>
  <c r="B2646" i="8"/>
  <c r="B2647" i="8"/>
  <c r="B2648" i="8"/>
  <c r="B2649" i="8"/>
  <c r="B2650" i="8"/>
  <c r="B2651" i="8"/>
  <c r="B2652" i="8"/>
  <c r="B2653" i="8"/>
  <c r="B2654" i="8"/>
  <c r="B2655" i="8"/>
  <c r="B2656" i="8"/>
  <c r="B2657" i="8"/>
  <c r="B2658" i="8"/>
  <c r="B2659" i="8"/>
  <c r="B2660" i="8"/>
  <c r="B2661" i="8"/>
  <c r="B2662" i="8"/>
  <c r="B2663" i="8"/>
  <c r="B2664" i="8"/>
  <c r="B2665" i="8"/>
  <c r="B2666" i="8"/>
  <c r="B2667" i="8"/>
  <c r="B2668" i="8"/>
  <c r="B2669" i="8"/>
  <c r="B2670" i="8"/>
  <c r="B2671" i="8"/>
  <c r="B2672" i="8"/>
  <c r="B2673" i="8"/>
  <c r="B2674" i="8"/>
  <c r="B2675" i="8"/>
  <c r="B2676" i="8"/>
  <c r="B2677" i="8"/>
  <c r="B2678" i="8"/>
  <c r="B2679" i="8"/>
  <c r="B2680" i="8"/>
  <c r="B2681" i="8"/>
  <c r="B2682" i="8"/>
  <c r="B2683" i="8"/>
  <c r="B2684" i="8"/>
  <c r="B2685" i="8"/>
  <c r="B2686" i="8"/>
  <c r="B2687" i="8"/>
  <c r="B2688" i="8"/>
  <c r="B2689" i="8"/>
  <c r="B2690" i="8"/>
  <c r="B2691" i="8"/>
  <c r="B2692" i="8"/>
  <c r="B2693" i="8"/>
  <c r="B2694" i="8"/>
  <c r="B2695" i="8"/>
  <c r="B2696" i="8"/>
  <c r="B2697" i="8"/>
  <c r="B2698" i="8"/>
  <c r="B2699" i="8"/>
  <c r="B2700" i="8"/>
  <c r="B2701" i="8"/>
  <c r="B2702" i="8"/>
  <c r="B2703" i="8"/>
  <c r="B2704" i="8"/>
  <c r="B2705" i="8"/>
  <c r="B2706" i="8"/>
  <c r="B2707" i="8"/>
  <c r="B2708" i="8"/>
  <c r="B2709" i="8"/>
  <c r="B2710" i="8"/>
  <c r="B2711" i="8"/>
  <c r="B2712" i="8"/>
  <c r="B2713" i="8"/>
  <c r="B2714" i="8"/>
  <c r="B2715" i="8"/>
  <c r="B2716" i="8"/>
  <c r="B2717" i="8"/>
  <c r="B2718" i="8"/>
  <c r="B2719" i="8"/>
  <c r="B2720" i="8"/>
  <c r="B2721" i="8"/>
  <c r="B2722" i="8"/>
  <c r="B2723" i="8"/>
  <c r="B2724" i="8"/>
  <c r="B2725" i="8"/>
  <c r="B2726" i="8"/>
  <c r="B2727" i="8"/>
  <c r="B2728" i="8"/>
  <c r="B2729" i="8"/>
  <c r="B2730" i="8"/>
  <c r="B2731" i="8"/>
  <c r="B2732" i="8"/>
  <c r="B2733" i="8"/>
  <c r="B2734" i="8"/>
  <c r="B2735" i="8"/>
  <c r="B2736" i="8"/>
  <c r="B2737" i="8"/>
  <c r="B2738" i="8"/>
  <c r="B2739" i="8"/>
  <c r="B2740" i="8"/>
  <c r="B2741" i="8"/>
  <c r="B2742" i="8"/>
  <c r="B2743" i="8"/>
  <c r="B2744" i="8"/>
  <c r="B2745" i="8"/>
  <c r="B2746" i="8"/>
  <c r="B2747" i="8"/>
  <c r="B2748" i="8"/>
  <c r="B2749" i="8"/>
  <c r="B2750" i="8"/>
  <c r="B2751" i="8"/>
  <c r="B2752" i="8"/>
  <c r="B2753" i="8"/>
  <c r="B2754" i="8"/>
  <c r="B2755" i="8"/>
  <c r="B2756" i="8"/>
  <c r="B2757" i="8"/>
  <c r="B2758" i="8"/>
  <c r="B2759" i="8"/>
  <c r="B2760" i="8"/>
  <c r="B2761" i="8"/>
  <c r="B2762" i="8"/>
  <c r="B2763" i="8"/>
  <c r="B2764" i="8"/>
  <c r="B2765" i="8"/>
  <c r="B2766" i="8"/>
  <c r="B2767" i="8"/>
  <c r="B2768" i="8"/>
  <c r="B2769" i="8"/>
  <c r="B2770" i="8"/>
  <c r="B2771" i="8"/>
  <c r="B2772" i="8"/>
  <c r="B2773" i="8"/>
  <c r="B2774" i="8"/>
  <c r="B2775" i="8"/>
  <c r="B2776" i="8"/>
  <c r="B2777" i="8"/>
  <c r="B2778" i="8"/>
  <c r="B2779" i="8"/>
  <c r="B2780" i="8"/>
  <c r="B2781" i="8"/>
  <c r="B2782" i="8"/>
  <c r="B2783" i="8"/>
  <c r="B2784" i="8"/>
  <c r="B2785" i="8"/>
  <c r="B2786" i="8"/>
  <c r="B2787" i="8"/>
  <c r="B2788" i="8"/>
  <c r="B2789" i="8"/>
  <c r="B2790" i="8"/>
  <c r="B2791" i="8"/>
  <c r="B2792" i="8"/>
  <c r="B2793" i="8"/>
  <c r="B2794" i="8"/>
  <c r="B2795" i="8"/>
  <c r="B2796" i="8"/>
  <c r="B2797" i="8"/>
  <c r="B2798" i="8"/>
  <c r="B2799" i="8"/>
  <c r="B2800" i="8"/>
  <c r="B2801" i="8"/>
  <c r="B2802" i="8"/>
  <c r="B2803" i="8"/>
  <c r="B2804" i="8"/>
  <c r="B2805" i="8"/>
  <c r="B2806" i="8"/>
  <c r="B2807" i="8"/>
  <c r="B2808" i="8"/>
  <c r="B2809" i="8"/>
  <c r="B2810" i="8"/>
  <c r="B2811" i="8"/>
  <c r="B2812" i="8"/>
  <c r="B2813" i="8"/>
  <c r="B2814" i="8"/>
  <c r="B2815" i="8"/>
  <c r="B2816" i="8"/>
  <c r="B2817" i="8"/>
  <c r="B2818" i="8"/>
  <c r="B2819" i="8"/>
  <c r="B2820" i="8"/>
  <c r="B2821" i="8"/>
  <c r="B2822" i="8"/>
  <c r="B2823" i="8"/>
  <c r="B2824" i="8"/>
  <c r="B2825" i="8"/>
  <c r="B2826" i="8"/>
  <c r="B2827" i="8"/>
  <c r="B2828" i="8"/>
  <c r="B2829" i="8"/>
  <c r="B2830" i="8"/>
  <c r="B2831" i="8"/>
  <c r="B2832" i="8"/>
  <c r="B2833" i="8"/>
  <c r="B2834" i="8"/>
  <c r="B2835" i="8"/>
  <c r="B2836" i="8"/>
  <c r="B2837" i="8"/>
  <c r="B2838" i="8"/>
  <c r="B2839" i="8"/>
  <c r="B2840" i="8"/>
  <c r="B2841" i="8"/>
  <c r="B2842" i="8"/>
  <c r="B2843" i="8"/>
  <c r="B2844" i="8"/>
  <c r="B2845" i="8"/>
  <c r="B2846" i="8"/>
  <c r="B2847" i="8"/>
  <c r="B2848" i="8"/>
  <c r="B2849" i="8"/>
  <c r="B2850" i="8"/>
  <c r="B2851" i="8"/>
  <c r="B2852" i="8"/>
  <c r="B2853" i="8"/>
  <c r="B2854" i="8"/>
  <c r="B2855" i="8"/>
  <c r="B2856" i="8"/>
  <c r="B2857" i="8"/>
  <c r="B2858" i="8"/>
  <c r="B2859" i="8"/>
  <c r="B2860" i="8"/>
  <c r="B2861" i="8"/>
  <c r="B2862" i="8"/>
  <c r="B2863" i="8"/>
  <c r="B2864" i="8"/>
  <c r="B2865" i="8"/>
  <c r="B2866" i="8"/>
  <c r="B2867" i="8"/>
  <c r="B2868" i="8"/>
  <c r="B2869" i="8"/>
  <c r="B2870" i="8"/>
  <c r="B2871" i="8"/>
  <c r="B2872" i="8"/>
  <c r="B2873" i="8"/>
  <c r="B2874" i="8"/>
  <c r="B2875" i="8"/>
  <c r="B2876" i="8"/>
  <c r="B2877" i="8"/>
  <c r="B2878" i="8"/>
  <c r="B2879" i="8"/>
  <c r="B2880" i="8"/>
  <c r="B2881" i="8"/>
  <c r="B2882" i="8"/>
  <c r="B2883" i="8"/>
  <c r="B2884" i="8"/>
  <c r="B2885" i="8"/>
  <c r="B2886" i="8"/>
  <c r="B2887" i="8"/>
  <c r="B2888" i="8"/>
  <c r="B2889" i="8"/>
  <c r="B2890" i="8"/>
  <c r="B2891" i="8"/>
  <c r="B2892" i="8"/>
  <c r="B2893" i="8"/>
  <c r="B2894" i="8"/>
  <c r="B2895" i="8"/>
  <c r="B2896" i="8"/>
  <c r="B2897" i="8"/>
  <c r="B2898" i="8"/>
  <c r="B2899" i="8"/>
  <c r="B2900" i="8"/>
  <c r="B2901" i="8"/>
  <c r="B2902" i="8"/>
  <c r="B2903" i="8"/>
  <c r="B2904" i="8"/>
  <c r="B2905" i="8"/>
  <c r="B2906" i="8"/>
  <c r="B2907" i="8"/>
  <c r="B2908" i="8"/>
  <c r="B2909" i="8"/>
  <c r="B2910" i="8"/>
  <c r="B2911" i="8"/>
  <c r="B2912" i="8"/>
  <c r="B2913" i="8"/>
  <c r="B2914" i="8"/>
  <c r="B2915" i="8"/>
  <c r="B2916" i="8"/>
  <c r="B2917" i="8"/>
  <c r="B2918" i="8"/>
  <c r="B2919" i="8"/>
  <c r="B2920" i="8"/>
  <c r="B2921" i="8"/>
  <c r="B2922" i="8"/>
  <c r="B2923" i="8"/>
  <c r="B2924" i="8"/>
  <c r="B2925" i="8"/>
  <c r="B2926" i="8"/>
  <c r="B2927" i="8"/>
  <c r="B2928" i="8"/>
  <c r="B2929" i="8"/>
  <c r="B2930" i="8"/>
  <c r="B2931" i="8"/>
  <c r="B2932" i="8"/>
  <c r="B2933" i="8"/>
  <c r="B2934" i="8"/>
  <c r="B2935" i="8"/>
  <c r="B2936" i="8"/>
  <c r="B2937" i="8"/>
  <c r="B2938" i="8"/>
  <c r="B2939" i="8"/>
  <c r="B2940" i="8"/>
  <c r="B2941" i="8"/>
  <c r="B2942" i="8"/>
  <c r="B2943" i="8"/>
  <c r="B2944" i="8"/>
  <c r="B2945" i="8"/>
  <c r="B2946" i="8"/>
  <c r="B2947" i="8"/>
  <c r="B2948" i="8"/>
  <c r="B2949" i="8"/>
  <c r="B2950" i="8"/>
  <c r="B2951" i="8"/>
  <c r="B2952" i="8"/>
  <c r="B2953" i="8"/>
  <c r="B2954" i="8"/>
  <c r="B2955" i="8"/>
  <c r="B2956" i="8"/>
  <c r="B2957" i="8"/>
  <c r="B2958" i="8"/>
  <c r="B2959" i="8"/>
  <c r="B2960" i="8"/>
  <c r="B2961" i="8"/>
  <c r="B2962" i="8"/>
  <c r="B2963" i="8"/>
  <c r="B2964" i="8"/>
  <c r="B2965" i="8"/>
  <c r="B2966" i="8"/>
  <c r="B2967" i="8"/>
  <c r="B2968" i="8"/>
  <c r="B2969" i="8"/>
  <c r="B2970" i="8"/>
  <c r="B2971" i="8"/>
  <c r="B2972" i="8"/>
  <c r="B2973" i="8"/>
  <c r="B2974" i="8"/>
  <c r="B2975" i="8"/>
  <c r="B2976" i="8"/>
  <c r="B2977" i="8"/>
  <c r="B2978" i="8"/>
  <c r="B2979" i="8"/>
  <c r="B2980" i="8"/>
  <c r="B2981" i="8"/>
  <c r="B2982" i="8"/>
  <c r="B2983" i="8"/>
  <c r="B2984" i="8"/>
  <c r="B2985" i="8"/>
  <c r="B2986" i="8"/>
  <c r="B2987" i="8"/>
  <c r="B2988" i="8"/>
  <c r="B2989" i="8"/>
  <c r="B2990" i="8"/>
  <c r="B2991" i="8"/>
  <c r="B2992" i="8"/>
  <c r="B2993" i="8"/>
  <c r="B2994" i="8"/>
  <c r="B2995" i="8"/>
  <c r="B2996" i="8"/>
  <c r="B2997" i="8"/>
  <c r="B2998" i="8"/>
  <c r="B2999" i="8"/>
  <c r="B3000" i="8"/>
  <c r="B3001" i="8"/>
  <c r="B3002" i="8"/>
  <c r="B3003" i="8"/>
  <c r="B3004" i="8"/>
  <c r="B3005" i="8"/>
  <c r="B3006" i="8"/>
  <c r="B3007" i="8"/>
  <c r="B3008" i="8"/>
  <c r="B3009" i="8"/>
  <c r="B3010" i="8"/>
  <c r="B3011" i="8"/>
  <c r="B3012" i="8"/>
  <c r="B3013" i="8"/>
  <c r="B3014" i="8"/>
  <c r="B3015" i="8"/>
  <c r="B3016" i="8"/>
  <c r="B3017" i="8"/>
  <c r="B3018" i="8"/>
  <c r="B3019" i="8"/>
  <c r="B3020" i="8"/>
  <c r="B3021" i="8"/>
  <c r="B3022" i="8"/>
  <c r="B3023" i="8"/>
  <c r="B3024" i="8"/>
  <c r="B3025" i="8"/>
  <c r="B3026" i="8"/>
  <c r="B3027" i="8"/>
  <c r="B3028" i="8"/>
  <c r="B3029" i="8"/>
  <c r="B3030" i="8"/>
  <c r="B3031" i="8"/>
  <c r="B3032" i="8"/>
  <c r="B3033" i="8"/>
  <c r="B3034" i="8"/>
  <c r="B3035" i="8"/>
  <c r="B3036" i="8"/>
  <c r="B3037" i="8"/>
  <c r="B3038" i="8"/>
  <c r="B3039" i="8"/>
  <c r="B3040" i="8"/>
  <c r="B3041" i="8"/>
  <c r="B3042" i="8"/>
  <c r="B3043" i="8"/>
  <c r="B3044" i="8"/>
  <c r="B3045" i="8"/>
  <c r="B3046" i="8"/>
  <c r="B3047" i="8"/>
  <c r="B3048" i="8"/>
  <c r="B3049" i="8"/>
  <c r="B3050" i="8"/>
  <c r="B3051" i="8"/>
  <c r="B3052" i="8"/>
  <c r="B3053" i="8"/>
  <c r="B3054" i="8"/>
  <c r="B3055" i="8"/>
  <c r="B3056" i="8"/>
  <c r="B3057" i="8"/>
  <c r="B3058" i="8"/>
  <c r="B3059" i="8"/>
  <c r="B3060" i="8"/>
  <c r="B3061" i="8"/>
  <c r="B3062" i="8"/>
  <c r="B3063" i="8"/>
  <c r="B3064" i="8"/>
  <c r="B3065" i="8"/>
  <c r="B3066" i="8"/>
  <c r="B3067" i="8"/>
  <c r="B3068" i="8"/>
  <c r="B3069" i="8"/>
  <c r="B3070" i="8"/>
  <c r="B3071" i="8"/>
  <c r="B3072" i="8"/>
  <c r="B3073" i="8"/>
  <c r="B3074" i="8"/>
  <c r="B3075" i="8"/>
  <c r="B3076" i="8"/>
  <c r="B3077" i="8"/>
  <c r="B3078" i="8"/>
  <c r="B3079" i="8"/>
  <c r="B3080" i="8"/>
  <c r="B3081" i="8"/>
  <c r="B3082" i="8"/>
  <c r="B3083" i="8"/>
  <c r="B3084" i="8"/>
  <c r="B3085" i="8"/>
  <c r="B3086" i="8"/>
  <c r="B3087" i="8"/>
  <c r="B3088" i="8"/>
  <c r="B3089" i="8"/>
  <c r="B3090" i="8"/>
  <c r="B3091" i="8"/>
  <c r="B3092" i="8"/>
  <c r="B3093" i="8"/>
  <c r="B3094" i="8"/>
  <c r="B3095" i="8"/>
  <c r="B3096" i="8"/>
  <c r="B3097" i="8"/>
  <c r="B3098" i="8"/>
  <c r="B3099" i="8"/>
  <c r="B3100" i="8"/>
  <c r="B3101" i="8"/>
  <c r="B3102" i="8"/>
  <c r="B3103" i="8"/>
  <c r="B3104" i="8"/>
  <c r="B3105" i="8"/>
  <c r="B3106" i="8"/>
  <c r="B3107" i="8"/>
  <c r="B3108" i="8"/>
  <c r="B3109" i="8"/>
  <c r="B3110" i="8"/>
  <c r="B3111" i="8"/>
  <c r="B3112" i="8"/>
  <c r="B3113" i="8"/>
  <c r="B3114" i="8"/>
  <c r="B3115" i="8"/>
  <c r="B3116" i="8"/>
  <c r="B3117" i="8"/>
  <c r="B3118" i="8"/>
  <c r="B3119" i="8"/>
  <c r="B3120" i="8"/>
  <c r="B3121" i="8"/>
  <c r="B3122" i="8"/>
  <c r="B3123" i="8"/>
  <c r="B3124" i="8"/>
  <c r="B3125" i="8"/>
  <c r="B3126" i="8"/>
  <c r="B3127" i="8"/>
  <c r="B3128" i="8"/>
  <c r="B3129" i="8"/>
  <c r="B3130" i="8"/>
  <c r="B3131" i="8"/>
  <c r="B3132" i="8"/>
  <c r="B3133" i="8"/>
  <c r="B3134" i="8"/>
  <c r="B3135" i="8"/>
  <c r="B3136" i="8"/>
  <c r="B3137" i="8"/>
  <c r="B3138" i="8"/>
  <c r="B3139" i="8"/>
  <c r="B3140" i="8"/>
  <c r="B3141" i="8"/>
  <c r="B3142" i="8"/>
  <c r="B3143" i="8"/>
  <c r="B3144" i="8"/>
  <c r="B3145" i="8"/>
  <c r="B3146" i="8"/>
  <c r="B3147" i="8"/>
  <c r="B3148" i="8"/>
  <c r="B3149" i="8"/>
  <c r="B3150" i="8"/>
  <c r="B3151" i="8"/>
  <c r="B3152" i="8"/>
  <c r="B3153" i="8"/>
  <c r="B3154" i="8"/>
  <c r="B3155" i="8"/>
  <c r="B3156" i="8"/>
  <c r="B3157" i="8"/>
  <c r="B3158" i="8"/>
  <c r="B3159" i="8"/>
  <c r="B3160" i="8"/>
  <c r="B3161" i="8"/>
  <c r="B3162" i="8"/>
  <c r="B3163" i="8"/>
  <c r="B3164" i="8"/>
  <c r="B3165" i="8"/>
  <c r="B3166" i="8"/>
  <c r="B3167" i="8"/>
  <c r="B3168" i="8"/>
  <c r="B3169" i="8"/>
  <c r="B3170" i="8"/>
  <c r="B3171" i="8"/>
  <c r="B3172" i="8"/>
  <c r="B3173" i="8"/>
  <c r="B3174" i="8"/>
  <c r="B3175" i="8"/>
  <c r="B3176" i="8"/>
  <c r="B3177" i="8"/>
  <c r="B3178" i="8"/>
  <c r="B3179" i="8"/>
  <c r="B3180" i="8"/>
  <c r="B3181" i="8"/>
  <c r="B3182" i="8"/>
  <c r="B3183" i="8"/>
  <c r="B3184" i="8"/>
  <c r="B3185" i="8"/>
  <c r="B3186" i="8"/>
  <c r="B3187" i="8"/>
  <c r="B3188" i="8"/>
  <c r="B3189" i="8"/>
  <c r="B3190" i="8"/>
  <c r="B3191" i="8"/>
  <c r="B3192" i="8"/>
  <c r="B3193" i="8"/>
  <c r="B3194" i="8"/>
  <c r="B3195" i="8"/>
  <c r="B3196" i="8"/>
  <c r="B3197" i="8"/>
  <c r="B3198" i="8"/>
  <c r="B3199" i="8"/>
  <c r="B3200" i="8"/>
  <c r="B3201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adastro_Tuneis1" description="Conexão com a consulta 'Cadastro_Tuneis1' na pasta de trabalho." type="5" refreshedVersion="8" saveData="1">
    <dbPr connection="Provider=Microsoft.Mashup.OleDb.1;Data Source=$Workbook$;Location=Cadastro_Tuneis1;Extended Properties=&quot;&quot;" command="SELECT * FROM [Cadastro_Tuneis1]"/>
  </connection>
  <connection id="2" xr16:uid="{00000000-0015-0000-FFFF-FFFF01000000}" keepAlive="1" name="Consulta - Historico_Defeitos_Tuneis" description="Conexão com a consulta 'Historico_Defeitos_Tuneis' na pasta de trabalho." type="5" refreshedVersion="8" saveData="1">
    <dbPr connection="Provider=Microsoft.Mashup.OleDb.1;Data Source=$Workbook$;Location=Historico_Defeitos_Tuneis;Extended Properties=&quot;&quot;" command="SELECT * FROM [Historico_Defeitos_Tuneis]"/>
  </connection>
  <connection id="3" xr16:uid="{00000000-0015-0000-FFFF-FFFF02000000}" keepAlive="1" name="Consulta - Trecho_Segmentado2" description="Conexão com a consulta 'Trecho_Segmentado2' na pasta de trabalho." type="5" refreshedVersion="8" saveData="1">
    <dbPr connection="Provider=Microsoft.Mashup.OleDb.1;Data Source=$Workbook$;Location=Trecho_Segmentado2;Extended Properties=&quot;&quot;" command="SELECT * FROM [Trecho_Segmentado2]"/>
  </connection>
</connections>
</file>

<file path=xl/sharedStrings.xml><?xml version="1.0" encoding="utf-8"?>
<sst xmlns="http://schemas.openxmlformats.org/spreadsheetml/2006/main" count="14563" uniqueCount="4981">
  <si>
    <t>ID_Registro</t>
  </si>
  <si>
    <t>ID_Defeito</t>
  </si>
  <si>
    <t>ID_Ronda</t>
  </si>
  <si>
    <t>Atualização</t>
  </si>
  <si>
    <t>Tipo de Inspeção</t>
  </si>
  <si>
    <t>Data</t>
  </si>
  <si>
    <t>Responsável</t>
  </si>
  <si>
    <t>Status Defeito</t>
  </si>
  <si>
    <t>SUB_Defeitos_Tu</t>
  </si>
  <si>
    <t>km_Nominal</t>
  </si>
  <si>
    <t>Equip_Super</t>
  </si>
  <si>
    <t>Equip_Tunel</t>
  </si>
  <si>
    <t>km Início Defeito</t>
  </si>
  <si>
    <t>km Fim Defeito</t>
  </si>
  <si>
    <t>Extensão Defeito (m)</t>
  </si>
  <si>
    <t>Latitude Inicio</t>
  </si>
  <si>
    <t>Latitude Fim</t>
  </si>
  <si>
    <t>Longitude Inicio</t>
  </si>
  <si>
    <t>Longitude Fim</t>
  </si>
  <si>
    <t>Lado</t>
  </si>
  <si>
    <t>DEFEITO</t>
  </si>
  <si>
    <t>Prioridade</t>
  </si>
  <si>
    <t>Observação</t>
  </si>
  <si>
    <t>Fotos</t>
  </si>
  <si>
    <t>OS</t>
  </si>
  <si>
    <t>Sub_Trecho</t>
  </si>
  <si>
    <t>__PowerAppsId__</t>
  </si>
  <si>
    <t>Cadastral</t>
  </si>
  <si>
    <t>Azimute</t>
  </si>
  <si>
    <t>Novo</t>
  </si>
  <si>
    <t>17/313780-313920cv</t>
  </si>
  <si>
    <t>17/313724-313944tu</t>
  </si>
  <si>
    <t>Tunel - Queda De Blocos</t>
  </si>
  <si>
    <t>P2</t>
  </si>
  <si>
    <t>https://data-scope.s3.amazonaws.com/images/2021/10/23683/374fc9366629a88218cbd12e2c9c0b5a.jpg</t>
  </si>
  <si>
    <t>LLS-NRI</t>
  </si>
  <si>
    <t>72b18e2d-1b87-4041-9b9f-e09206aeec00</t>
  </si>
  <si>
    <t>Tunel - Infiltração</t>
  </si>
  <si>
    <t>P3</t>
  </si>
  <si>
    <t>https://data-scope.s3.amazonaws.com/images/2021/10/23683/4e49211310ab6ca8f6247686d9df4cae.jpg</t>
  </si>
  <si>
    <t>8a32898d-f753-4ba4-9495-7678d0c44ab1</t>
  </si>
  <si>
    <t>17/318280-318820tg</t>
  </si>
  <si>
    <t>17/318158-318967tu</t>
  </si>
  <si>
    <t>https://data-scope.s3.amazonaws.com/images/2021/10/23683/fc58010b52b1c4da7938aa3438c5ebc9.jpg</t>
  </si>
  <si>
    <t>1a7e2c1a-529e-4955-ab1d-a54e9b5a63b4</t>
  </si>
  <si>
    <t>https://data-scope.s3.amazonaws.com/images/2021/10/23683/fdf8fbb547d3c895541d525ffb81bb43.jpg</t>
  </si>
  <si>
    <t>a5f54219-7f01-4063-812f-cdf6e7c91c7c</t>
  </si>
  <si>
    <t>17/319190-319700tg</t>
  </si>
  <si>
    <t>17/319159-319591tu</t>
  </si>
  <si>
    <t>Tunel - Revestimento Danificado</t>
  </si>
  <si>
    <t>https://data-scope.s3.amazonaws.com/images/2021/10/23683/503619222851ad27f7e8dca5c737a695.jpg</t>
  </si>
  <si>
    <t>07eb9db4-e1fe-425e-ab90-0e800e576a3d</t>
  </si>
  <si>
    <t>https://data-scope.s3.amazonaws.com/images/2021/10/23683/45e12cfce02b5eaa5bffc857e8a99bb1.jpg</t>
  </si>
  <si>
    <t>70a4ee3a-83e6-4038-896c-46478104fbf3</t>
  </si>
  <si>
    <t>https://data-scope.s3.amazonaws.com/images/2021/10/23683/35bdaaff4e73d4264d827fdfb08727e6.jpg</t>
  </si>
  <si>
    <t>7c6d0d14-0e9b-4641-b58e-5408eb01455a</t>
  </si>
  <si>
    <t>https://data-scope.s3.amazonaws.com/images/2021/10/23683/00d241ffe4253a798e96eba72c55199a.jpg</t>
  </si>
  <si>
    <t>590bd899-bbf8-4626-a517-018b48788b20</t>
  </si>
  <si>
    <t>https://data-scope.s3.amazonaws.com/images/2021/10/23683/a4b13a627968d293ec8b774258c8c46a.jpg</t>
  </si>
  <si>
    <t>def35b22-05bc-4d19-99c7-4e56f5eb1e11</t>
  </si>
  <si>
    <t>https://data-scope.s3.amazonaws.com/images/2021/10/23683/aad931a81177a49521f7d51cdc5f9741.jpg</t>
  </si>
  <si>
    <t>778ca65c-2e4d-4686-b334-80cf3d9baed7</t>
  </si>
  <si>
    <t>P1</t>
  </si>
  <si>
    <t>https://data-scope.s3.amazonaws.com/images/2021/10/23683/76ebdf550ef7f06104e50ab302a71eaa.jpg</t>
  </si>
  <si>
    <t>658ff300-0bad-4327-9fb6-02112d989506</t>
  </si>
  <si>
    <t>17/307610-308130cv</t>
  </si>
  <si>
    <t>17/307500-307757tu</t>
  </si>
  <si>
    <t>https://data-scope.s3.amazonaws.com/images/2021/10/23683/6460ef20ed5f0bc55df6d810caf1d4d6.jpg</t>
  </si>
  <si>
    <t>c5b648a1-796b-45f7-a224-b277de348f97</t>
  </si>
  <si>
    <t>https://data-scope.s3.amazonaws.com/images/2021/10/23683/d77a34e4e85a24d263d69d56e7771045.jpg</t>
  </si>
  <si>
    <t>6f47e6e8-9ae2-4325-ac3c-225e68ef6b77</t>
  </si>
  <si>
    <t>https://data-scope.s3.amazonaws.com/images/2021/10/23683/4bb4e14ac123ce766125ddf17d46a711.jpg</t>
  </si>
  <si>
    <t>05b252fe-29d2-4840-828a-059e77afe4f9</t>
  </si>
  <si>
    <t>https://data-scope.s3.amazonaws.com/images/2021/10/23683/0915a281410fe82661da89adcd2d1403.jpg</t>
  </si>
  <si>
    <t>379652f2-8870-46f5-9a31-7e39f9bdd8d5</t>
  </si>
  <si>
    <t>https://data-scope.s3.amazonaws.com/images/2021/10/23683/2f2d5f0c62287cc82edd59841fc70812.jpg</t>
  </si>
  <si>
    <t>fa7078f1-477e-4c3a-aa43-95e44b630816</t>
  </si>
  <si>
    <t>https://data-scope.s3.amazonaws.com/images/2021/10/23683/12f6231ab60e5717a944cea147fcf9e7.jpg</t>
  </si>
  <si>
    <t>d85777d9-01ec-4792-82b4-a0cd8ebfb158</t>
  </si>
  <si>
    <t>Tunel - Drenagem Assoreada</t>
  </si>
  <si>
    <t>https://data-scope.s3.amazonaws.com/images/2021/10/23683/8e272761296b73b524c899d775023e0a.jpg</t>
  </si>
  <si>
    <t>f6a4aaf6-cf14-46c1-8807-84df84e65495</t>
  </si>
  <si>
    <t>https://data-scope.s3.amazonaws.com/images/2021/10/23683/9a6d9cb15e132621daeb76c3b196a4ef.jpg</t>
  </si>
  <si>
    <t>0a262e79-85a0-4059-b0e6-7757d7ecb8b6</t>
  </si>
  <si>
    <t>17/309130-309460cv</t>
  </si>
  <si>
    <t>17/309131-309328tu</t>
  </si>
  <si>
    <t>https://data-scope.s3.amazonaws.com/images/2021/10/23683/af92cd8ab8dd22432dcf7362d7eedb4f.jpg</t>
  </si>
  <si>
    <t>c1990061-072a-41a8-8b65-a4432ba84538</t>
  </si>
  <si>
    <t>https://data-scope.s3.amazonaws.com/images/2021/10/23683/13585778f506df22704b39ebb2d2afbb.jpg</t>
  </si>
  <si>
    <t>1323b5c4-32e8-495f-8cdf-38b414d74ad1</t>
  </si>
  <si>
    <t>https://data-scope.s3.amazonaws.com/images/2021/10/23683/a3889882e95d130a2943eb3d489144de.jpg</t>
  </si>
  <si>
    <t>af1bace1-b107-4f88-b11b-89d4d0de2dc1</t>
  </si>
  <si>
    <t>https://data-scope.s3.amazonaws.com/images/2021/10/23683/6051a34ad9c5a6a4fbaa3776b6158a62.jpg</t>
  </si>
  <si>
    <t>c9f041bd-4712-4229-891d-d02efba24f8e</t>
  </si>
  <si>
    <t>Tunel - Drenagem Colmatada/Insuficiente</t>
  </si>
  <si>
    <t>https://data-scope.s3.amazonaws.com/images/2021/10/23683/ebec496b9f508516665082bcc661aa3d.jpg</t>
  </si>
  <si>
    <t>7eb087a9-cf77-4797-becb-480d68a018ec</t>
  </si>
  <si>
    <t>17/310650-310870tg</t>
  </si>
  <si>
    <t>17/310555-310910tu</t>
  </si>
  <si>
    <t>https://data-scope.s3.amazonaws.com/images/2021/10/23683/d4cc1f84166f0726ec3a9d01702c1877.jpg</t>
  </si>
  <si>
    <t>2ce99f5e-8981-4ad0-8d07-c10078f54d7a</t>
  </si>
  <si>
    <t>https://data-scope.s3.amazonaws.com/images/2021/10/23683/e06e71c5b715f8bd9e0df3612b15e36a.jpg</t>
  </si>
  <si>
    <t>89330cf0-6c2e-47a0-9bd6-dc3803088028</t>
  </si>
  <si>
    <t>https://data-scope.s3.amazonaws.com/images/2021/10/23683/c0586dc1fa8e34c1850e9de9a9a3b032.jpg</t>
  </si>
  <si>
    <t>b5619ae9-6bf8-4ff2-87fe-77dcf4d34967</t>
  </si>
  <si>
    <t>https://data-scope.s3.amazonaws.com/images/2021/10/23683/50e61a68bb9dc4c575b631735cc99cdc.jpg</t>
  </si>
  <si>
    <t>1bbfaff8-fa3c-4eec-a10c-48827fb3f786</t>
  </si>
  <si>
    <t>Rotineira</t>
  </si>
  <si>
    <t>Arielcio Silva</t>
  </si>
  <si>
    <t>Reclassificado</t>
  </si>
  <si>
    <t>16/191108-191975tg</t>
  </si>
  <si>
    <t>16/191199-191921tu</t>
  </si>
  <si>
    <t>Emboque Inicial</t>
  </si>
  <si>
    <t>Tunel - Emboque Danificado</t>
  </si>
  <si>
    <t>Armadura esposta' entrada túnel na aboboda.</t>
  </si>
  <si>
    <t>6551-6693</t>
  </si>
  <si>
    <t>LIA-LFJ</t>
  </si>
  <si>
    <t>5f8f1fcc-f240-41e4-89af-090fed5617cb</t>
  </si>
  <si>
    <t>Ronda</t>
  </si>
  <si>
    <t>Nicholas</t>
  </si>
  <si>
    <t>16/228597-229760tg</t>
  </si>
  <si>
    <t>16/237641-238429tu</t>
  </si>
  <si>
    <t>Tubel com queda de blocos  infiltrações grande e drenagem trancada</t>
  </si>
  <si>
    <t>LFS-LLS</t>
  </si>
  <si>
    <t>0d95b18c-6b4d-4745-a194-c78429ee257f</t>
  </si>
  <si>
    <t>16/237325-237809cv</t>
  </si>
  <si>
    <t xml:space="preserve">Queda de barreira emboque norte, problema de drenagem e barreira constante queda </t>
  </si>
  <si>
    <t>34c35065-55bd-416a-ab74-1ea472a90f7f</t>
  </si>
  <si>
    <t>17/308130-309130tg</t>
  </si>
  <si>
    <t>17/308100-308396tu</t>
  </si>
  <si>
    <t>https://data-scope.s3.amazonaws.com/images/2021/10/23683/f8d8d01d5c25f79d469760631f945df7.jpg</t>
  </si>
  <si>
    <t>1657513e-6fd9-4856-9682-28fc37f13190</t>
  </si>
  <si>
    <t>https://data-scope.s3.amazonaws.com/images/2021/10/23683/ba1f5866e439f1d400b465123471133d.jpg</t>
  </si>
  <si>
    <t>50047d84-b33f-46c7-98ae-6f81975771a4</t>
  </si>
  <si>
    <t>17/314350-315460cv</t>
  </si>
  <si>
    <t>17/314561-315804tu</t>
  </si>
  <si>
    <t>https://data-scope.s3.amazonaws.com/images/2021/10/23683/5e46e53705556947a8e568c6074504f2.jpg</t>
  </si>
  <si>
    <t>f56771a0-210d-48c7-970f-e7867a66b102</t>
  </si>
  <si>
    <t>17/349693-349878cv</t>
  </si>
  <si>
    <t>17/349528-350003tu</t>
  </si>
  <si>
    <t>37682830-3c45-4601-bb48-7c339189fe87</t>
  </si>
  <si>
    <t>17/347684-348689tg</t>
  </si>
  <si>
    <t>17/348186-348540tu</t>
  </si>
  <si>
    <t>bc96882f-ee14-49e0-b707-35626ee80137</t>
  </si>
  <si>
    <t>Tunel - Drenagem Danificada</t>
  </si>
  <si>
    <t>6ae5e71c-d19f-43dc-8fb2-8db8bba67057</t>
  </si>
  <si>
    <t>6d627e53-9501-4b5f-9cb4-59d3ecb60589</t>
  </si>
  <si>
    <t>48079b27-0e47-4fbc-9439-5f49be3edc1b</t>
  </si>
  <si>
    <t>b67f909b-18a4-4bc3-a2ae-896a534ca7e7</t>
  </si>
  <si>
    <t>ec5b4a97-cf55-470f-b0f4-fc790e9f134d</t>
  </si>
  <si>
    <t>c5977949-e68a-49f2-9ecc-b3e0ab3fc4ad</t>
  </si>
  <si>
    <t>505fbd6a-61aa-4837-bba9-b32b4517263f</t>
  </si>
  <si>
    <t>17/350463-351241tg</t>
  </si>
  <si>
    <t>17/350952-351473tu</t>
  </si>
  <si>
    <t>ea655914-8434-43d7-8afe-90a9815bbe7b</t>
  </si>
  <si>
    <t>e1b3910c-2482-4458-a9ea-0064c6852af6</t>
  </si>
  <si>
    <t>2799cd01-e6d6-4269-9f7b-267a2d967ae5</t>
  </si>
  <si>
    <t>b3f16cea-cd5d-4c6c-9679-c200f10e5169</t>
  </si>
  <si>
    <t>cdb319f3-5b64-4d62-90fe-dde894946ea6</t>
  </si>
  <si>
    <t>17/215700-216250cv</t>
  </si>
  <si>
    <t>17/215842-216306tu</t>
  </si>
  <si>
    <t>https://data-scope.s3.amazonaws.com/images/2021/10/23683/c8942bf827df45723f5d86d4d97a7769.jpg</t>
  </si>
  <si>
    <t>NVG-NRO</t>
  </si>
  <si>
    <t>ddea5e07-30f3-4151-a357-9b94d0a74f16</t>
  </si>
  <si>
    <t>https://data-scope.s3.amazonaws.com/images/2021/10/23683/e3973bceb4b69372862b15751d163c47.jpg</t>
  </si>
  <si>
    <t>b30efc7d-01be-4645-94a9-968e99848119</t>
  </si>
  <si>
    <t>https://data-scope.s3.amazonaws.com/images/2021/10/23683/002e74dd4d2e4edcafe8bfc45dfa8c33.jpg</t>
  </si>
  <si>
    <t>17e189ba-6ccd-432f-bdd3-9eb18a1f5923</t>
  </si>
  <si>
    <t>17/223290-223800tg</t>
  </si>
  <si>
    <t>17/223160-223501tu</t>
  </si>
  <si>
    <t>https://data-scope.s3.amazonaws.com/images/2021/10/23683/ccc201bb77ddabbe5f7928f191b8ed88.jpg</t>
  </si>
  <si>
    <t>5250d9f0-019e-46b0-83c8-993fed35766d</t>
  </si>
  <si>
    <t>https://data-scope.s3.amazonaws.com/images/2021/10/23683/509d9ab3596cb32ed68df33a2435be3f.jpg</t>
  </si>
  <si>
    <t>be7399f2-9776-4b36-9a61-91728d4eb6dc</t>
  </si>
  <si>
    <t>17/239800-240100cv</t>
  </si>
  <si>
    <t>17/239910-239930tu</t>
  </si>
  <si>
    <t>https://data-scope.s3.amazonaws.com/images/2021/10/23683/e4de5cb69f44264b9490e68a293a63fc.jpg</t>
  </si>
  <si>
    <t>6d3e826e-cee2-4fe3-a428-821f5c69c4d7</t>
  </si>
  <si>
    <t>https://data-scope.s3.amazonaws.com/images/2021/10/23683/4e7115f9873469ba9e621692d9182b8c.jpg</t>
  </si>
  <si>
    <t>dab55714-d175-4136-83b5-8feff34a0a1d</t>
  </si>
  <si>
    <t>https://data-scope.s3.amazonaws.com/images/2021/10/23683/9adb316634291fa14f6ed5c696b73407.jpg</t>
  </si>
  <si>
    <t>9bcb0723-51be-4355-ada9-abcfd0758926</t>
  </si>
  <si>
    <t>https://data-scope.s3.amazonaws.com/images/2021/10/23683/9fc475c158125bfa1453b05d2337079f.jpg</t>
  </si>
  <si>
    <t>4643937a-25c2-4969-8a8c-8cb158a64839</t>
  </si>
  <si>
    <t>https://data-scope.s3.amazonaws.com/images/2021/10/23683/1f3cd8f86a109bdc0353103f5c4b4aa1.jpg</t>
  </si>
  <si>
    <t>cc516646-0c78-4909-ba98-44bdbf17a996</t>
  </si>
  <si>
    <t>17/224590-225050cv</t>
  </si>
  <si>
    <t>17/224635-225079tu</t>
  </si>
  <si>
    <t>https://data-scope.s3.amazonaws.com/images/2021/10/23683/800fa5142028c2c3f42ef7d4980908ef.jpg</t>
  </si>
  <si>
    <t>37e49c13-b076-43b9-b1b1-07883f109a1f</t>
  </si>
  <si>
    <t>https://data-scope.s3.amazonaws.com/images/2021/10/23683/00c3e0c8d15fa22d47c92290c07cf241.jpg</t>
  </si>
  <si>
    <t>2eb6a7c8-57e3-4df3-9e9d-d99ace001b00</t>
  </si>
  <si>
    <t>https://data-scope.s3.amazonaws.com/images/2021/10/23683/757a869b26d264d20d76f6e48e0d1f9b.jpg</t>
  </si>
  <si>
    <t>35aeef8b-9582-4f6a-b077-725ba494d75c</t>
  </si>
  <si>
    <t>17/229080-229450tg</t>
  </si>
  <si>
    <t>17/229048-229713tu</t>
  </si>
  <si>
    <t>https://data-scope.s3.amazonaws.com/images/2021/10/23683/4a3637c93da9f807e430ed8ae8d3f5cc.jpg</t>
  </si>
  <si>
    <t>6326e171-4dd3-4d94-8b43-6ac4b5123599</t>
  </si>
  <si>
    <t>https://data-scope.s3.amazonaws.com/images/2021/10/23683/7f404bc87ce8843f18056b22d670f5e5.jpg</t>
  </si>
  <si>
    <t>e5fb5261-859e-4fc7-bcda-4f27d75b38f9</t>
  </si>
  <si>
    <t>https://data-scope.s3.amazonaws.com/images/2021/10/23683/c16ccb8e113d58da7eae21ea0fc8f9b6.jpg</t>
  </si>
  <si>
    <t>f80de050-fb4b-44d0-a633-dfef6b07d9a1</t>
  </si>
  <si>
    <t>https://data-scope.s3.amazonaws.com/images/2021/10/23683/55a8e2ad398aa12a1a6be3264c0c3894.jpg</t>
  </si>
  <si>
    <t>e9e6a0f4-1de1-4b57-9e86-cb6f0a0804ab</t>
  </si>
  <si>
    <t>https://data-scope.s3.amazonaws.com/images/2021/10/23683/fb4c81e9fdff59d756525a3312d1e8e5.jpg</t>
  </si>
  <si>
    <t>41e2caa7-ae79-44da-9cd1-e81258a94441</t>
  </si>
  <si>
    <t>17/253450-255050tg</t>
  </si>
  <si>
    <t>17/254201-254637tu</t>
  </si>
  <si>
    <t>https://data-scope.s3.amazonaws.com/images/2021/10/23683/31a18b9d19d203f682a1d01cc2a7d2ab.jpg</t>
  </si>
  <si>
    <t>NRI-NJO</t>
  </si>
  <si>
    <t>e594ef4b-6f51-42c5-92ee-a14a7e517e37</t>
  </si>
  <si>
    <t>https://data-scope.s3.amazonaws.com/images/2021/10/23683/c2c7c95cce56b486bcca0179f9a1dd27.jpg</t>
  </si>
  <si>
    <t>5adebebf-a0ae-46b6-a9e3-f99b5e0ba1f8</t>
  </si>
  <si>
    <t>https://data-scope.s3.amazonaws.com/images/2021/10/23683/024b43d513d1aab13505bcbd124e7bc3.jpg</t>
  </si>
  <si>
    <t>a72dc21d-9109-443b-8975-a436a12f39c9</t>
  </si>
  <si>
    <t>https://data-scope.s3.amazonaws.com/images/2021/10/23683/55440b7c76676c9c6356e77ff03382d4.jpg</t>
  </si>
  <si>
    <t>fa3345e3-c4da-4efd-b89d-71ed10fd5e21</t>
  </si>
  <si>
    <t>https://data-scope.s3.amazonaws.com/images/2021/10/23683/5f6c5b0c2cb862f8b6ab42f06ae7fe7f.jpg</t>
  </si>
  <si>
    <t>baac5212-82c9-4c3d-a0d0-e73ecdbefcd7</t>
  </si>
  <si>
    <t>https://data-scope.s3.amazonaws.com/images/2021/10/23683/24b192a7d9d5316f0feb3a51175c2447.jpg</t>
  </si>
  <si>
    <t>a83223a8-a38e-4433-a492-ea60d0f0d4b9</t>
  </si>
  <si>
    <t>https://data-scope.s3.amazonaws.com/images/2021/10/23683/f7aa94017cdcc25ba18e0138845425fe.jpg</t>
  </si>
  <si>
    <t>ecb8084a-4444-43e5-96f7-bc3a9d22bd5f</t>
  </si>
  <si>
    <t>https://data-scope.s3.amazonaws.com/images/2021/10/23683/e46a99f71259c563bb15aa0c37bf5c73.jpg</t>
  </si>
  <si>
    <t>fa3d4fb4-b48d-4d48-8b34-5d1bb4439fb4</t>
  </si>
  <si>
    <t>17/311190-312000tg</t>
  </si>
  <si>
    <t>17/311457-312066tu</t>
  </si>
  <si>
    <t>https://data-scope.s3.amazonaws.com/images/2021/10/23683/1a55e894724b6c1e8c54961b73e5fa77.jpg</t>
  </si>
  <si>
    <t>0cc0b0a2-0365-47fa-9554-860ec1970c01</t>
  </si>
  <si>
    <t>https://data-scope.s3.amazonaws.com/images/2021/10/23683/2e63089c1d73c79edad68acfbf345202.jpg</t>
  </si>
  <si>
    <t>f8875695-fbf9-49f5-add6-bae33499e626</t>
  </si>
  <si>
    <t>https://data-scope.s3.amazonaws.com/images/2021/10/23683/145c2e5c896aea70eb2328e454e7163e.jpg</t>
  </si>
  <si>
    <t>cf2d76fc-f2f8-46ef-9613-cdd46a5af39f</t>
  </si>
  <si>
    <t>https://data-scope.s3.amazonaws.com/images/2021/10/23683/733f282e873c8568a4e49babb66ea50b.jpg</t>
  </si>
  <si>
    <t>ad051df3-667d-488a-af68-259f782f27ef</t>
  </si>
  <si>
    <t>https://data-scope.s3.amazonaws.com/images/2021/10/23683/639ec61a206dd0ca85473a223e562a37.jpg</t>
  </si>
  <si>
    <t>69b895de-a0bb-42cd-9cb8-b50041228aef</t>
  </si>
  <si>
    <t>https://data-scope.s3.amazonaws.com/images/2021/10/23683/a4825bd074181e006503c66a2d0a2f7f.jpg</t>
  </si>
  <si>
    <t>16666918-b8e5-4dd4-9844-ad6733105a89</t>
  </si>
  <si>
    <t>https://data-scope.s3.amazonaws.com/images/2021/10/23683/d6f0a6bc20f190b95aa1db629ada71a1.jpg</t>
  </si>
  <si>
    <t>5012c3a7-677b-496f-9aca-3180caac9be4</t>
  </si>
  <si>
    <t>https://data-scope.s3.amazonaws.com/images/2021/10/23683/b4faf6a2fdd1993233a1665129d47d30.jpg</t>
  </si>
  <si>
    <t>0cf2033a-9973-4f95-819a-39f4fa7a8db8</t>
  </si>
  <si>
    <t>17/323570-323908tg</t>
  </si>
  <si>
    <t>17/323665-324110tu</t>
  </si>
  <si>
    <t>https://data-scope.s3.amazonaws.com/images/2021/11/23683/a12618a8bd988452ce6784969b4e4b42.jpg</t>
  </si>
  <si>
    <t>4b1133d0-cd67-4a4f-8c22-03dc11fb10d9</t>
  </si>
  <si>
    <t>https://data-scope.s3.amazonaws.com/images/2021/11/23683/f50cd8e8aa4a5afaf78540b12f3f02ee.jpg</t>
  </si>
  <si>
    <t>ac07a538-a7ee-4c2f-903a-8ce7c629b022</t>
  </si>
  <si>
    <t>2147e94c-5fa4-4cf6-81c3-a8edea7c44c6</t>
  </si>
  <si>
    <t>17/324392-324961tg</t>
  </si>
  <si>
    <t>17/324747-325129tu</t>
  </si>
  <si>
    <t>f27e2a3a-d44b-4e84-8f9e-5b461ab40a0b</t>
  </si>
  <si>
    <t>e558e161-2e48-4748-bbc5-69fb6734ea25</t>
  </si>
  <si>
    <t>e282d1e1-afc3-46cf-b94b-3b4efe3ca321</t>
  </si>
  <si>
    <t>a0fb0b69-8d43-445e-8c8d-db33113d1fc3</t>
  </si>
  <si>
    <t>34967310-f7ab-4860-a946-a551371316ab</t>
  </si>
  <si>
    <t>17/326181-326356cv</t>
  </si>
  <si>
    <t>17/326000-326495tu</t>
  </si>
  <si>
    <t>27e7e581-1542-45e8-b60f-54e6005f1581</t>
  </si>
  <si>
    <t>fb4b6b6b-09c4-4a3c-8a27-86a6bd6c8739</t>
  </si>
  <si>
    <t>738cc799-1783-4b8f-a4c3-3210050aa9d9</t>
  </si>
  <si>
    <t>69ef1b16-5fc8-4a41-bab2-b133e6b8d513</t>
  </si>
  <si>
    <t>9c560268-12f8-417a-880f-58e751721e6e</t>
  </si>
  <si>
    <t>17/326356-327472tg</t>
  </si>
  <si>
    <t>17/326952-327902tu</t>
  </si>
  <si>
    <t>492a472f-4aa8-4014-96ab-b5c443a1612d</t>
  </si>
  <si>
    <t>Luis Matinelli</t>
  </si>
  <si>
    <t>Direito</t>
  </si>
  <si>
    <t>0eaf43cd-6ebe-4a53-8053-27a24d80d2f7</t>
  </si>
  <si>
    <t>06199001-24c0-4fbd-aa24-9fdd51770285</t>
  </si>
  <si>
    <t>7e2aa88a-bf8c-430b-871d-2c756c6e3cf6</t>
  </si>
  <si>
    <t>17/328097-328818tg</t>
  </si>
  <si>
    <t>17/328478-328995tu</t>
  </si>
  <si>
    <t>03390568-5f7d-4618-a4d2-906d1654f34c</t>
  </si>
  <si>
    <t>ad5d2efa-e1af-494f-98b3-987980621d16</t>
  </si>
  <si>
    <t>e6584cf1-0670-41c2-974d-5a771931de03</t>
  </si>
  <si>
    <t>bcf87b8e-cf25-4f53-a966-c5155c5f2e8b</t>
  </si>
  <si>
    <t>815b4ef9-1eef-430d-a1c1-24ff7a0d23b8</t>
  </si>
  <si>
    <t>17/329736-330033tg</t>
  </si>
  <si>
    <t>17/329657-330029tu</t>
  </si>
  <si>
    <t>4785e9ef-c746-4690-a1de-cbe458dfc960</t>
  </si>
  <si>
    <t>7bf959e8-1b1e-41d7-a44c-0eb05f515fb7</t>
  </si>
  <si>
    <t>17/330405-331407tg</t>
  </si>
  <si>
    <t>17/330887-331571tu</t>
  </si>
  <si>
    <t>a1875a70-ab22-4ae7-acc8-bffb27f0329b</t>
  </si>
  <si>
    <t>e2a55b77-019f-4f89-8077-3146ae0699cb</t>
  </si>
  <si>
    <t>c4eb66ec-a0b8-459b-9063-3d999144a8f0</t>
  </si>
  <si>
    <t>941a6273-0e02-4fa8-b0c7-5a910ca16d8b</t>
  </si>
  <si>
    <t>cbeafd0f-64fd-4c35-bd63-694c0813e9c1</t>
  </si>
  <si>
    <t>f2843c82-6953-447a-9eff-c86cbde0f611</t>
  </si>
  <si>
    <t>17/332104-332322cv</t>
  </si>
  <si>
    <t>17/331964-332531tu</t>
  </si>
  <si>
    <t>Tunel - Drenagem Insuficiente</t>
  </si>
  <si>
    <t>8e1fcd9e-aa60-4cbd-ae05-5f2d20af1078</t>
  </si>
  <si>
    <t>bb9f2345-2648-458d-9996-064a7667460b</t>
  </si>
  <si>
    <t>849202c1-c236-401d-ab4e-0d08f2c13728</t>
  </si>
  <si>
    <t>02eb9919-238c-4769-b146-df259b5c86e9</t>
  </si>
  <si>
    <t>17/332656-333059cv</t>
  </si>
  <si>
    <t>17/332726-332890tu</t>
  </si>
  <si>
    <t>886c1ea7-6edb-451a-9929-8b4f52c98a5c</t>
  </si>
  <si>
    <t>acbbbb67-d7d9-4949-b2bc-8bc130e998fa</t>
  </si>
  <si>
    <t>e17f08d4-d27a-477c-adf4-ffa88dc8615f</t>
  </si>
  <si>
    <t>7eeeac20-ad52-4b49-8afb-1a0e2e40ff64</t>
  </si>
  <si>
    <t>f76dd496-16ed-4cf5-b5fd-bf466003ddc4</t>
  </si>
  <si>
    <t>17/333059-333404tg</t>
  </si>
  <si>
    <t>17/333000-333285tu</t>
  </si>
  <si>
    <t>e73958ab-7b5e-4aa7-9869-a2c07ab1b6c0</t>
  </si>
  <si>
    <t>3d9bf19a-fac2-46f9-a0d9-310e66d9d36a</t>
  </si>
  <si>
    <t>884e195b-4e10-431c-8e91-188694fd38d0</t>
  </si>
  <si>
    <t>127646eb-97ce-4e26-b171-0a3947d75be8</t>
  </si>
  <si>
    <t>c431114b-3992-4e35-9fc3-6c3f16b5488c</t>
  </si>
  <si>
    <t>00339673-c7a8-4012-9f07-66466e0a7a72</t>
  </si>
  <si>
    <t>8619a474-dc07-48c1-b166-2183f31a78d3</t>
  </si>
  <si>
    <t>502662f2-7c68-42f3-89e6-763d20389dde</t>
  </si>
  <si>
    <t>24/164000-165000cv</t>
  </si>
  <si>
    <t>24/164678-165241tu</t>
  </si>
  <si>
    <t>Teto</t>
  </si>
  <si>
    <t>https://data-scope.s3.amazonaws.com/images/2021/11/23683/ddddbed3da61c083b5bfebea6e2789c2.jpg</t>
  </si>
  <si>
    <t>NRP-NSM</t>
  </si>
  <si>
    <t>b75a9d24-18e7-400a-95d3-9fd10ed8ef57</t>
  </si>
  <si>
    <t>ESQUERDO</t>
  </si>
  <si>
    <t>https://data-scope.s3.amazonaws.com/images/2021/11/23683/6801d17eaf15da35c474e12281cf2056.jpg</t>
  </si>
  <si>
    <t>bfd678b4-8698-4e2c-89ba-54103290ef60</t>
  </si>
  <si>
    <t>DIREITO</t>
  </si>
  <si>
    <t>https://data-scope.s3.amazonaws.com/images/2021/11/23683/8fccb85dba484efc119ad0fee5180807.jpg</t>
  </si>
  <si>
    <t>76e98d94-3b4c-4e4b-b48d-2765a3d9ad5c</t>
  </si>
  <si>
    <t>https://data-scope.s3.amazonaws.com/images/2021/11/23683/016bfe6d72bc9c30c7dd4bc6c777ae21.jpg</t>
  </si>
  <si>
    <t>e844f477-6ced-45eb-9ba3-b56ca5974aa7</t>
  </si>
  <si>
    <t>https://data-scope.s3.amazonaws.com/images/2021/11/23683/67986065da020afd5f97bf944da59efc.jpg</t>
  </si>
  <si>
    <t>a13d3b82-4bf9-4a10-909a-c0c183c47e3b</t>
  </si>
  <si>
    <t>https://data-scope.s3.amazonaws.com/images/2021/11/23683/8d22688560ac1c76e61783a32239d726.jpg</t>
  </si>
  <si>
    <t>7985ccc6-1dbb-4e76-ab89-98c0240d6049</t>
  </si>
  <si>
    <t>https://data-scope.s3.amazonaws.com/images/2021/11/23683/b97b8de2169844c36ffb728050688b83.jpg</t>
  </si>
  <si>
    <t>4732a46e-6549-4e88-ac63-488f17b1ea41</t>
  </si>
  <si>
    <t>https://data-scope.s3.amazonaws.com/images/2021/11/23683/142c8249b9264e8fadb8eccda89569db.jpg</t>
  </si>
  <si>
    <t>77532980-cf15-447b-9c3e-a8522e03e9a4</t>
  </si>
  <si>
    <t>https://data-scope.s3.amazonaws.com/images/2021/11/23683/86a331cfe8f8ded5c95afd7533b43ca3.jpg</t>
  </si>
  <si>
    <t>8d22689e-3513-4f26-b366-55acb3c94077</t>
  </si>
  <si>
    <t>17/106720-107860tg</t>
  </si>
  <si>
    <t>17/106566-106747tu</t>
  </si>
  <si>
    <t>teto do tunel com queda constante de blocos, causa acidente, demanda projeto</t>
  </si>
  <si>
    <t>NJO-NRO</t>
  </si>
  <si>
    <t>5e9f21bd-d10f-4f89-b930-88d9f1629018</t>
  </si>
  <si>
    <t>Sem Evolução</t>
  </si>
  <si>
    <t>25/331972-332774cv</t>
  </si>
  <si>
    <t>25/332353-332833tu</t>
  </si>
  <si>
    <t>Esquerdo</t>
  </si>
  <si>
    <t>1322-1390</t>
  </si>
  <si>
    <t>NSM-NCY</t>
  </si>
  <si>
    <t>5f5786f8-20d9-42f4-913d-bbe67f032317</t>
  </si>
  <si>
    <t>Eduardo Wiezbicki</t>
  </si>
  <si>
    <t>2530-39</t>
  </si>
  <si>
    <t>53dac76a-0a28-483d-83da-8d758d85148f</t>
  </si>
  <si>
    <t>17/102850-103800tg</t>
  </si>
  <si>
    <t>17/103090-104282tu</t>
  </si>
  <si>
    <t>https://data-scope.s3.amazonaws.com/images/2021/8/23683/cda7c3f17d4fcf3125178369ba5e38f9.jpg</t>
  </si>
  <si>
    <t>a62b0333-78de-4788-9f4c-34575fc90cf1</t>
  </si>
  <si>
    <t>https://data-scope.s3.amazonaws.com/images/2021/8/23683/55d5dc05bc23f72b45d5ca0697373f16.jpg</t>
  </si>
  <si>
    <t>8c8f30e9-922c-43dd-a1c6-b21d4baf4a25</t>
  </si>
  <si>
    <t>https://data-scope.s3.amazonaws.com/images/2021/8/23683/6e4c474376c511533536fc63dcc6751d.jpg</t>
  </si>
  <si>
    <t>4975c07c-f1a9-435e-9f2f-c435ad02aa82</t>
  </si>
  <si>
    <t>17/106480-106720cv</t>
  </si>
  <si>
    <t>https://data-scope.s3.amazonaws.com/images/2021/8/23683/1fd04c90235cda6e3295f82c9a7dc59b.jpg</t>
  </si>
  <si>
    <t>d33783cf-68a4-42d2-b32f-e81d6a724653</t>
  </si>
  <si>
    <t>https://data-scope.s3.amazonaws.com/images/2021/8/23683/ef34b115883c787df8a65f257e87a0f7.jpg</t>
  </si>
  <si>
    <t>25d7073d-ded8-4dcd-80b7-c15c113831fc</t>
  </si>
  <si>
    <t>https://data-scope.s3.amazonaws.com/images/2021/8/23683/46bd692292d789a50d8a600fd26985dd.jpg</t>
  </si>
  <si>
    <t>4c7b23ef-33c1-4868-beea-0184d08bd413</t>
  </si>
  <si>
    <t>https://data-scope.s3.amazonaws.com/images/2021/8/23683/633214ac348876aaf2de2129e0fb438b.jpg</t>
  </si>
  <si>
    <t>508841a0-6e11-426a-ab02-c72132367c1c</t>
  </si>
  <si>
    <t>17/107860-109000tg</t>
  </si>
  <si>
    <t>17/106995-109716tu</t>
  </si>
  <si>
    <t>https://data-scope.s3.amazonaws.com/images/2021/8/23683/d0602be09d99b55787b9f6bb0d3f58cc.jpg</t>
  </si>
  <si>
    <t>33b02937-40fa-43a3-8838-c8682e819a65</t>
  </si>
  <si>
    <t>https://data-scope.s3.amazonaws.com/images/2021/8/23683/687107757390fd84c31bb66bc8e68b5e.jpg</t>
  </si>
  <si>
    <t>5dc76edc-d326-4f30-9ff9-098d1a08415b</t>
  </si>
  <si>
    <t>https://data-scope.s3.amazonaws.com/images/2021/8/23683/b5ec7b1b2e5a690135f122d8ead747ec.jpg</t>
  </si>
  <si>
    <t>6c516f4c-2d07-4e7c-af5c-da5d6831a305</t>
  </si>
  <si>
    <t>17/111300-111920cv</t>
  </si>
  <si>
    <t>17/111487-112027tu</t>
  </si>
  <si>
    <t>https://data-scope.s3.amazonaws.com/images/2021/8/23683/68ced3335fb2c13dce37b861537ef07f.jpg</t>
  </si>
  <si>
    <t>fb29c2a5-8905-46a3-8975-e77fb101dd18</t>
  </si>
  <si>
    <t>https://data-scope.s3.amazonaws.com/images/2021/8/23683/c0f2c482764476ce6a4c8ea2f1a8e220.jpg</t>
  </si>
  <si>
    <t>c21bfb94-7e4c-4e4d-add9-f1b53b74543a</t>
  </si>
  <si>
    <t>17/122380-123560tg</t>
  </si>
  <si>
    <t>17/121538-123461tu</t>
  </si>
  <si>
    <t>https://data-scope.s3.amazonaws.com/images/2021/9/23683/a6966aa1f7eba080f7a9a187118254ec.jpg</t>
  </si>
  <si>
    <t>070990bc-7672-4b40-b5b2-fb48cfe5b7d1</t>
  </si>
  <si>
    <t>https://data-scope.s3.amazonaws.com/images/2021/9/23683/769d1a5200785387cce204b9f2938568.jpg</t>
  </si>
  <si>
    <t>3483b920-d90f-455f-87c4-a82e610996c6</t>
  </si>
  <si>
    <t>https://data-scope.s3.amazonaws.com/images/2021/9/23683/307eb3256ab97b8516e554a55b314184.jpg</t>
  </si>
  <si>
    <t>80e892d0-72b9-48d4-9c20-66f197a1c122</t>
  </si>
  <si>
    <t>https://data-scope.s3.amazonaws.com/images/2021/9/23683/fb844b01e627168ad37ea7d53409416c.jpg</t>
  </si>
  <si>
    <t>e1a95763-22c2-4638-9232-122442440b62</t>
  </si>
  <si>
    <t>https://data-scope.s3.amazonaws.com/images/2021/9/23683/55cdddd02485ca88949916f5d851c02f.jpg</t>
  </si>
  <si>
    <t>cbd8933b-e00a-42c3-acfd-f7a2a30bdc43</t>
  </si>
  <si>
    <t>https://data-scope.s3.amazonaws.com/images/2021/9/23683/816e8e63d221113dd6429925a0eb7007.jpg</t>
  </si>
  <si>
    <t>0fbc4442-0446-4257-8d71-0e4b50f1cad9</t>
  </si>
  <si>
    <t>17/142645-143970tg</t>
  </si>
  <si>
    <t>17/141704-143709tu</t>
  </si>
  <si>
    <t>https://data-scope.s3.amazonaws.com/images/2021/9/23683/14dcce37d33e99d7743ed99aac76429a.jpg</t>
  </si>
  <si>
    <t>e5ce4515-692c-4df6-a285-c8df7e589c3d</t>
  </si>
  <si>
    <t>https://data-scope.s3.amazonaws.com/images/2021/9/23683/cdb531afabef8621bf96ebf1c60c4fab.jpg</t>
  </si>
  <si>
    <t>3a07034e-3d19-4d24-aa06-3939225b5cb6</t>
  </si>
  <si>
    <t>https://data-scope.s3.amazonaws.com/images/2021/9/23683/537fdc643fa8df95510346d11ed14956.jpg</t>
  </si>
  <si>
    <t>2146dee8-ea3c-44e8-a70a-7c7f2c6c6c4d</t>
  </si>
  <si>
    <t>https://data-scope.s3.amazonaws.com/images/2021/9/23683/17a77a6cf4975fa4bd03704dde8b7356.jpg</t>
  </si>
  <si>
    <t>d6470289-cb68-4563-af3e-571dad280c31</t>
  </si>
  <si>
    <t>https://data-scope.s3.amazonaws.com/images/2021/9/23683/c093c6057fb0517500e0b10c0a60423c.jpg</t>
  </si>
  <si>
    <t>2dbe31b9-88e2-416e-a2b6-4cc5f97427ea</t>
  </si>
  <si>
    <t>https://data-scope.s3.amazonaws.com/images/2021/9/23683/1ec309788cdfa81c5475446c89ffc206.jpg</t>
  </si>
  <si>
    <t>8c6b7fff-7752-4eec-baff-5bd6a2d6214f</t>
  </si>
  <si>
    <t>https://data-scope.s3.amazonaws.com/images/2021/9/23683/c0c6e201cfa61bff62460cb09be4eb4d.jpg</t>
  </si>
  <si>
    <t>e38d11d3-13d0-4913-8b67-31bd44c68830</t>
  </si>
  <si>
    <t>https://data-scope.s3.amazonaws.com/images/2021/9/23683/875af3d226f2f41c5e7626c3355c8aba.jpg</t>
  </si>
  <si>
    <t>e41b5890-2daa-478f-96fd-94281c61728c</t>
  </si>
  <si>
    <t>17/149450-149950tg</t>
  </si>
  <si>
    <t>17/149260-149924tu</t>
  </si>
  <si>
    <t>https://data-scope.s3.amazonaws.com/images/2021/9/23683/d238362ee26fb9ef0e489aab9574ae11.jpg</t>
  </si>
  <si>
    <t>5410805c-b894-47d8-8f57-0bed3d18826a</t>
  </si>
  <si>
    <t>https://data-scope.s3.amazonaws.com/images/2021/9/23683/7f76cc8f06c4c3acf5ad72516899a5a6.jpg</t>
  </si>
  <si>
    <t>a1b84704-4ad9-43c4-964d-92b277fc9c1d</t>
  </si>
  <si>
    <t>17/156210-157700tg</t>
  </si>
  <si>
    <t>17/156454-157868tu</t>
  </si>
  <si>
    <t>https://data-scope.s3.amazonaws.com/images/2021/9/23683/3c95a1a5b6ab800714f1d228f7f5b9cc.jpg</t>
  </si>
  <si>
    <t>75f69805-bf45-4574-a64c-f271190cca2e</t>
  </si>
  <si>
    <t>https://data-scope.s3.amazonaws.com/images/2021/9/23683/bb0a62e4989ba2b8346e0c9be3004814.jpg</t>
  </si>
  <si>
    <t>14100ab8-8922-4a72-b305-5193b10f2ae2</t>
  </si>
  <si>
    <t>17/169820-169915tg</t>
  </si>
  <si>
    <t>17/169774-169888tu</t>
  </si>
  <si>
    <t>https://data-scope.s3.amazonaws.com/images/2021/9/23683/613fa9afc498b9da5eb99d271bd84bc2.jpg</t>
  </si>
  <si>
    <t>b82ae12d-9a86-4a4c-a383-898bb04ad49a</t>
  </si>
  <si>
    <t>https://data-scope.s3.amazonaws.com/images/2021/9/23683/dc7ca8c62da8fb5297b078682907c86d.jpg</t>
  </si>
  <si>
    <t>b8bc998e-4257-43d9-bbb0-2cf5822c83ca</t>
  </si>
  <si>
    <t>17/170930-171770cv</t>
  </si>
  <si>
    <t>17/171266-171811tu</t>
  </si>
  <si>
    <t>https://data-scope.s3.amazonaws.com/images/2021/9/23683/0f27a09f22641c50721b40a2b7d660ed.jpg</t>
  </si>
  <si>
    <t>506890dd-0bea-4564-9c69-0750142afe32</t>
  </si>
  <si>
    <t>https://data-scope.s3.amazonaws.com/images/2021/9/23683/af0711df0a6aa550c74e59d30c3d88f8.jpg</t>
  </si>
  <si>
    <t>d85846c2-456f-4476-be19-c6cb39a2635f</t>
  </si>
  <si>
    <t>Cleiton da Silva</t>
  </si>
  <si>
    <t>Evolução</t>
  </si>
  <si>
    <t>17/174500-174700tg</t>
  </si>
  <si>
    <t>17/174527-174721tu</t>
  </si>
  <si>
    <t>3ee15122-e3ff-425f-82b8-fc4d773afaa0</t>
  </si>
  <si>
    <t>17/175640-176600tg</t>
  </si>
  <si>
    <t>17/175981-176692tu</t>
  </si>
  <si>
    <t>https://data-scope.s3.amazonaws.com/images/2021/9/23683/8d5e6b3346ed4aa671140ad03449be9b.jpg</t>
  </si>
  <si>
    <t>b4922fcc-6aba-48d9-9468-72a4f4d77505</t>
  </si>
  <si>
    <t>https://data-scope.s3.amazonaws.com/images/2021/9/23683/fd1f9fb889c6b8908ca5e4fd6eed0a2c.jpg</t>
  </si>
  <si>
    <t>87e35664-cfd1-4101-9463-67774fc53b12</t>
  </si>
  <si>
    <t>17/198780-199700tg</t>
  </si>
  <si>
    <t>17/199094-200031tu</t>
  </si>
  <si>
    <t>https://data-scope.s3.amazonaws.com/images/2021/9/23683/9472066f068064c22e7334fc0cc59fa5.jpg</t>
  </si>
  <si>
    <t>ba2af7fe-5ae5-4801-80b4-62b855ffb7ff</t>
  </si>
  <si>
    <t>https://data-scope.s3.amazonaws.com/images/2021/9/23683/7a2ff79886c15ec3e73685c6e30dd0a2.jpg</t>
  </si>
  <si>
    <t>df037378-8b63-4a37-a07b-55110e8527c0</t>
  </si>
  <si>
    <t>https://data-scope.s3.amazonaws.com/images/2021/9/23683/4370a4b519e306cfc9c2683f8e1bcef8.jpg</t>
  </si>
  <si>
    <t>881a24d5-e285-44ff-8ed2-67353f7f48a7</t>
  </si>
  <si>
    <t>17/207400-208100cv</t>
  </si>
  <si>
    <t>17/207567-207894tu</t>
  </si>
  <si>
    <t>https://data-scope.s3.amazonaws.com/images/2021/9/23683/ce81783c9b875dc50d3452818467a01b.jpg</t>
  </si>
  <si>
    <t>4aa658a1-a7b6-4f23-ba51-576d8654ed3b</t>
  </si>
  <si>
    <t>https://data-scope.s3.amazonaws.com/images/2021/9/23683/86963ae14df1d48754eb5bcc3509ae00.jpg</t>
  </si>
  <si>
    <t>a865b8f0-aaaa-44de-bde1-8219985833b4</t>
  </si>
  <si>
    <t>https://data-scope.s3.amazonaws.com/images/2021/9/23683/c091183f431e7bffdb3e9a3234c13cbe.jpg</t>
  </si>
  <si>
    <t>ee360175-4c6e-4fda-a458-40abe3a449f1</t>
  </si>
  <si>
    <t>https://data-scope.s3.amazonaws.com/images/2021/9/23683/9d04a9d3cb6be146e105898f8c13efb3.jpg</t>
  </si>
  <si>
    <t>59cb7435-1ffe-406c-a81b-802d451bd7c2</t>
  </si>
  <si>
    <t>https://data-scope.s3.amazonaws.com/images/2021/9/23683/b92c49cde7c2836e9eea2abe1a2caedd.jpg</t>
  </si>
  <si>
    <t>1ddae220-9649-4642-bae8-ccf56aa41d68</t>
  </si>
  <si>
    <t>https://data-scope.s3.amazonaws.com/images/2021/9/23683/f41fed10eef339c7e528931ef12d6830.jpg</t>
  </si>
  <si>
    <t>337a8568-b443-4a4e-a044-022f89c0d67e</t>
  </si>
  <si>
    <t>17/231050-232400tg</t>
  </si>
  <si>
    <t>17/231272-232357tu</t>
  </si>
  <si>
    <t>https://data-scope.s3.amazonaws.com/images/2021/9/23683/476a4af26147b8c6ea4b2e10ac7610bc.jpg</t>
  </si>
  <si>
    <t>2176b6c6-c7bb-4ae9-b5c3-c585f9b7de86</t>
  </si>
  <si>
    <t>https://data-scope.s3.amazonaws.com/images/2021/9/23683/7c5b8bfbe3d0de4d87dadee9fefb6cb4.jpg</t>
  </si>
  <si>
    <t>a9cbf11c-b859-4170-91d4-8de3fa53b4ec</t>
  </si>
  <si>
    <t>https://data-scope.s3.amazonaws.com/images/2021/9/23683/659aab4a4d4b61d58336cd06b71fdafe.jpg</t>
  </si>
  <si>
    <t>6a75f521-5876-44b5-bd0c-e6418ed5284e</t>
  </si>
  <si>
    <t>https://data-scope.s3.amazonaws.com/images/2021/9/23683/1f05d2161100ae9a4efce70b037b3d0f.jpg</t>
  </si>
  <si>
    <t>0da7e64b-4fd0-4693-835a-feb7cab4de93</t>
  </si>
  <si>
    <t>https://data-scope.s3.amazonaws.com/images/2021/9/23683/ab47559d9a3e235708953fe6ad34478f.jpg</t>
  </si>
  <si>
    <t>2c4b8fd9-ddc6-4185-b294-93a401d85222</t>
  </si>
  <si>
    <t>https://data-scope.s3.amazonaws.com/images/2021/9/23683/cfa5d4b941e4ad2db2190161b7075fbe.jpg</t>
  </si>
  <si>
    <t>f8ab37d5-fe85-4118-85d6-b74fd1557136</t>
  </si>
  <si>
    <t>17/236320-236700tg</t>
  </si>
  <si>
    <t>17/236378-236977tu</t>
  </si>
  <si>
    <t>https://data-scope.s3.amazonaws.com/images/2021/9/23683/c7a57f18f2fb3c3c0c75c1e0f03936ba.jpg</t>
  </si>
  <si>
    <t>f76b3de3-1d38-4e38-9587-c5fff9053f6b</t>
  </si>
  <si>
    <t>17/126460-127000cv</t>
  </si>
  <si>
    <t>17/126613-126964tu</t>
  </si>
  <si>
    <t>https://data-scope.s3.amazonaws.com/images/2021/9/23683/45c4ddb226329458a975c2f54f578442.jpg</t>
  </si>
  <si>
    <t>077e03dd-0dc2-4d42-a1f7-e0bf70fb3942</t>
  </si>
  <si>
    <t>https://data-scope.s3.amazonaws.com/images/2021/9/23683/00a1cd95a35d6532a2ecc4d822694c10.jpg</t>
  </si>
  <si>
    <t>3edd7fa3-5abc-4b0b-b605-cb02b72aa4ee</t>
  </si>
  <si>
    <t>https://data-scope.s3.amazonaws.com/images/2021/9/23683/a5725b695d881ff0b0c6af65b878b1bb.jpg</t>
  </si>
  <si>
    <t>d31d6c65-3613-4383-a9e6-dba8f8b2c483</t>
  </si>
  <si>
    <t>17/128300-129100tg</t>
  </si>
  <si>
    <t>17/128319-129455tu</t>
  </si>
  <si>
    <t>https://data-scope.s3.amazonaws.com/images/2021/9/23683/a729865eee2a7e7780700b854e73b2b3.jpg</t>
  </si>
  <si>
    <t>edccbdea-6b01-4579-a4e5-ad977f25c516</t>
  </si>
  <si>
    <t>https://data-scope.s3.amazonaws.com/images/2021/9/23683/80e80b5e62dd978c0036fc2c00474df8.jpg</t>
  </si>
  <si>
    <t>58629177-bfac-466b-b235-2e1a55786645</t>
  </si>
  <si>
    <t>https://data-scope.s3.amazonaws.com/images/2021/9/23683/0e28ca0d72c32ddf2a366b3e0a88f56e.jpg</t>
  </si>
  <si>
    <t>f9252b25-d2fe-445d-a4a4-83e32caffaf4</t>
  </si>
  <si>
    <t>https://data-scope.s3.amazonaws.com/images/2021/9/23683/33c0e219e7eecd17b23a9b3ee2c8f96f.jpg</t>
  </si>
  <si>
    <t>853cc8cf-8454-4b36-ab65-2eb742545db2</t>
  </si>
  <si>
    <t>https://data-scope.s3.amazonaws.com/images/2021/9/23683/2f8d3aa24ec2b919ad6591960f460739.jpg</t>
  </si>
  <si>
    <t>a86e2dde-8bf3-4e0a-b6b6-a862839866f3</t>
  </si>
  <si>
    <t>https://data-scope.s3.amazonaws.com/images/2021/9/23683/8e46a26b6354f5d8ef1b7edd802cdc74.jpg</t>
  </si>
  <si>
    <t>c175f1d5-c327-4b90-b031-870421e10f40</t>
  </si>
  <si>
    <t>https://data-scope.s3.amazonaws.com/images/2021/9/23683/fefaff7b37c41fa71c631e3e5dd41b30.jpg</t>
  </si>
  <si>
    <t>cedb2ecc-8018-4bfa-bc30-fd6ce35b08ee</t>
  </si>
  <si>
    <t>14/125722-125840cv</t>
  </si>
  <si>
    <t>14/125799-125848tu</t>
  </si>
  <si>
    <t xml:space="preserve">Por toda extensão do túnel. Em ambos os lados </t>
  </si>
  <si>
    <t>212-16</t>
  </si>
  <si>
    <t>LRI-LSB</t>
  </si>
  <si>
    <t>708a4897-8542-46ec-af4a-3cd3d528795d</t>
  </si>
  <si>
    <t>14/118869-119055cv</t>
  </si>
  <si>
    <t>14/118881-118918tu</t>
  </si>
  <si>
    <t xml:space="preserve">Em ambos os lados </t>
  </si>
  <si>
    <t>864-66</t>
  </si>
  <si>
    <t>ad443d92-31a8-433a-8e05-0d95897c75c6</t>
  </si>
  <si>
    <t>14/120900-121152cv</t>
  </si>
  <si>
    <t>14/120925-120994tu</t>
  </si>
  <si>
    <t>683-85</t>
  </si>
  <si>
    <t>efafe1c1-658d-4508-b233-61d227948366</t>
  </si>
  <si>
    <t>14/122324-122376tg</t>
  </si>
  <si>
    <t>14/122275-122393tu</t>
  </si>
  <si>
    <t>602-04</t>
  </si>
  <si>
    <t>4e978c23-8bee-4b4c-a8ce-a6fb838388b8</t>
  </si>
  <si>
    <t>605-06</t>
  </si>
  <si>
    <t>ef84bbfc-075e-4721-8ad5-75e61ceb4ea9</t>
  </si>
  <si>
    <t>Virlei Lio</t>
  </si>
  <si>
    <t>14/107571-107876cv</t>
  </si>
  <si>
    <t>14/107685-107853tu</t>
  </si>
  <si>
    <t>135-138</t>
  </si>
  <si>
    <t>bbe4e18e-5e79-4b0d-a8b4-71bbb56ba4be</t>
  </si>
  <si>
    <t xml:space="preserve">Infiltração na entrada do túnel </t>
  </si>
  <si>
    <t>5218-20</t>
  </si>
  <si>
    <t>d987a057-94b5-44c9-8971-1068747932de</t>
  </si>
  <si>
    <t>5221-25</t>
  </si>
  <si>
    <t>d06d1403-4257-4c43-a94c-9d181ba602bb</t>
  </si>
  <si>
    <t xml:space="preserve">Alguns pontos ao longo do túnel </t>
  </si>
  <si>
    <t>5226-37</t>
  </si>
  <si>
    <t>8ccac1f0-1b20-40a6-b673-733bc3a4e8db</t>
  </si>
  <si>
    <t>5343-45</t>
  </si>
  <si>
    <t>9586c624-f7d3-41d4-bb54-265bb6192a4b</t>
  </si>
  <si>
    <t>6055-57</t>
  </si>
  <si>
    <t>f060ff86-809f-4242-a42a-30be0fd042d0</t>
  </si>
  <si>
    <t>17/156187-156429tu</t>
  </si>
  <si>
    <t>6716-17</t>
  </si>
  <si>
    <t>a1211730-1fc0-4a3c-a709-9dbfb52c69fb</t>
  </si>
  <si>
    <t xml:space="preserve">Em Ambos os lados </t>
  </si>
  <si>
    <t>6689-96</t>
  </si>
  <si>
    <t>fedb2626-54fb-4bb0-8db5-26ec3e7af5de</t>
  </si>
  <si>
    <t>7238-41</t>
  </si>
  <si>
    <t>a658c30f-af5a-4fda-ac1e-48d5a49425c8</t>
  </si>
  <si>
    <t>7302-06</t>
  </si>
  <si>
    <t>c98744cb-6af3-4d6b-bd1f-2ec86897be12</t>
  </si>
  <si>
    <t>Em ambos os lados</t>
  </si>
  <si>
    <t>7620-21</t>
  </si>
  <si>
    <t>Tunel - Revestimento Armadura Exposta</t>
  </si>
  <si>
    <t>7711-15</t>
  </si>
  <si>
    <t>7716-18</t>
  </si>
  <si>
    <t>Emboque Final</t>
  </si>
  <si>
    <t>7719-23</t>
  </si>
  <si>
    <t>7967-69</t>
  </si>
  <si>
    <t>5b00f65a-9e31-4511-af09-24c8ac8ac8f5</t>
  </si>
  <si>
    <t>7970-73</t>
  </si>
  <si>
    <t>ab572bd5-672f-4d25-aa1f-94bd130a71b4</t>
  </si>
  <si>
    <t>8045-46</t>
  </si>
  <si>
    <t>a671b5d5-0303-420c-bca8-e81d9bacf0ed</t>
  </si>
  <si>
    <t>8150-52</t>
  </si>
  <si>
    <t>d7f851e7-3456-4cb7-bee6-d15b391e4e42</t>
  </si>
  <si>
    <t>Km 220+609</t>
  </si>
  <si>
    <t>8153-54</t>
  </si>
  <si>
    <t>addd3641-4d6f-497a-ab0b-e5ef0e353e8a</t>
  </si>
  <si>
    <t>41-45</t>
  </si>
  <si>
    <t>6176e243-baa5-418d-8d32-0e74f6c7e9a5</t>
  </si>
  <si>
    <t>42-44</t>
  </si>
  <si>
    <t>c478497e-eeaa-4d6f-9939-2cb223f0a5cb</t>
  </si>
  <si>
    <t>8235-38</t>
  </si>
  <si>
    <t>8239-43</t>
  </si>
  <si>
    <t>8412-16</t>
  </si>
  <si>
    <t>27-29</t>
  </si>
  <si>
    <t>878ffb69-e517-4f68-96b6-81d94f9eaa03</t>
  </si>
  <si>
    <t>17/121200-122380tg</t>
  </si>
  <si>
    <t xml:space="preserve">Queda de blocos do teto do túnel </t>
  </si>
  <si>
    <t>625b2fba-725b-49a9-83a9-d2d7ad632b01</t>
  </si>
  <si>
    <t>Luis Martins</t>
  </si>
  <si>
    <t>17/127800-128300cv</t>
  </si>
  <si>
    <t>Tunel - Queda de Blocos</t>
  </si>
  <si>
    <t xml:space="preserve">Queda de blocos no meio do túnel </t>
  </si>
  <si>
    <t>4a337563-2dff-4be4-adfc-febeda305f08</t>
  </si>
  <si>
    <t>Adriano Zadra</t>
  </si>
  <si>
    <t>16/115723-115807tg</t>
  </si>
  <si>
    <t>16/115703-115906tu</t>
  </si>
  <si>
    <t>1766-1781</t>
  </si>
  <si>
    <t>9041bbb1-89f2-4a14-8fee-257253349c9a</t>
  </si>
  <si>
    <t>920b01d5-4cf1-4073-ad6b-84534b19dfb8</t>
  </si>
  <si>
    <t>16/125969-126613tg</t>
  </si>
  <si>
    <t>16/125676-126684tu</t>
  </si>
  <si>
    <t>7585-7609</t>
  </si>
  <si>
    <t>b3b1df01-7282-4994-8111-69b3c7ce4d53</t>
  </si>
  <si>
    <t>P4</t>
  </si>
  <si>
    <t>1a01f5ec-c278-4209-a625-04fa8c08affb</t>
  </si>
  <si>
    <t>16/133772-134501cv</t>
  </si>
  <si>
    <t>16/133645-134155tu</t>
  </si>
  <si>
    <t>Ambos</t>
  </si>
  <si>
    <t xml:space="preserve">Ambos lados </t>
  </si>
  <si>
    <t>7610-7636</t>
  </si>
  <si>
    <t>47a6808a-c221-40d0-8b33-492805f8c94f</t>
  </si>
  <si>
    <t>0477fe2a-b026-4888-a63b-a37c747c32a5</t>
  </si>
  <si>
    <t>95f4f17b-8dc3-435a-b1d8-045bfe098aa1</t>
  </si>
  <si>
    <t>42c4f06f-5bc4-47e4-8a66-b9ad8e3e0e2a</t>
  </si>
  <si>
    <t>7622-29</t>
  </si>
  <si>
    <t>08c88887-35b6-437b-bd82-99f4544441c6</t>
  </si>
  <si>
    <t>22100157-bf59-40e6-877c-d4cc6b3fd4ad</t>
  </si>
  <si>
    <t>18af7168-b356-454f-a9c7-2da3601950f5</t>
  </si>
  <si>
    <t>9114-15</t>
  </si>
  <si>
    <t>9cc7a68c-7a4d-42ee-b5fa-3621c6063058</t>
  </si>
  <si>
    <t>9140-42</t>
  </si>
  <si>
    <t>5184a551-fc7b-46d9-9ab5-2e805118d4c2</t>
  </si>
  <si>
    <t>9186-89</t>
  </si>
  <si>
    <t>7636baeb-2b6e-496c-a0be-c41af46d571c</t>
  </si>
  <si>
    <t>9214-16</t>
  </si>
  <si>
    <t>8a2962c1-3a9e-4185-91f6-8070253ce998</t>
  </si>
  <si>
    <t>9217-20</t>
  </si>
  <si>
    <t>092a23f6-c9a2-49d7-9031-c691ea7b1a4a</t>
  </si>
  <si>
    <t>32177548-97e1-455f-abb1-bb6fe24f7275</t>
  </si>
  <si>
    <t>d6c6acd0-2650-49db-88a6-fa6e07cd302b</t>
  </si>
  <si>
    <t>56f07ce5-1c69-4b1c-be1a-6358fb3a9989</t>
  </si>
  <si>
    <t>17/309920-310650cv</t>
  </si>
  <si>
    <t xml:space="preserve">Nicholas </t>
  </si>
  <si>
    <t>17/319800-320200tg</t>
  </si>
  <si>
    <t>9a53f399-f816-41cd-b671-6490a9945f89</t>
  </si>
  <si>
    <t>Queda de mto material das paredes</t>
  </si>
  <si>
    <t>691d62e8-a381-477f-a95d-c42f311a7676</t>
  </si>
  <si>
    <t>17/324323-324392cv</t>
  </si>
  <si>
    <t>4a716a73-48aa-45ab-8d34-13ba117019b9</t>
  </si>
  <si>
    <t>17/325046-326181tg</t>
  </si>
  <si>
    <t>026bd779-63d3-4f4f-84c6-035f0e7afe9b</t>
  </si>
  <si>
    <t>Revestimento de concreto todo exposto danificado, precisa de inspeção detalhada</t>
  </si>
  <si>
    <t>cd75a95f-fda2-4113-9e13-20ff784f2dd8</t>
  </si>
  <si>
    <t>17/329607-329736cv</t>
  </si>
  <si>
    <t>89df7900-a8bc-4ba6-85e4-b847db6c2946</t>
  </si>
  <si>
    <t>57bed49d-d199-4038-af3e-4a0de55c0513</t>
  </si>
  <si>
    <t>17/331614-332104tg</t>
  </si>
  <si>
    <t>08f262f9-ed2b-4428-8b08-9c67366ec679</t>
  </si>
  <si>
    <t>17/237050-237650tg</t>
  </si>
  <si>
    <t>Queda pontual das paredes junto ao emboque sul</t>
  </si>
  <si>
    <t>76354299-d325-431f-891c-a3d48a3ed8d2</t>
  </si>
  <si>
    <t>4ad87dfc-d2cc-4860-b4f7-08c40b3dad14</t>
  </si>
  <si>
    <t>George Vieira</t>
  </si>
  <si>
    <t>7/500367-500636cv</t>
  </si>
  <si>
    <t>7/500215-500618tu</t>
  </si>
  <si>
    <t>6930</t>
  </si>
  <si>
    <t>LOD-LAP</t>
  </si>
  <si>
    <t>ac2f5b79-2bd4-4756-9d88-26f0a92f793b</t>
  </si>
  <si>
    <t>Execução</t>
  </si>
  <si>
    <t>7/483740-484860cv</t>
  </si>
  <si>
    <t>7/484321-484771tu</t>
  </si>
  <si>
    <t> </t>
  </si>
  <si>
    <t>P5</t>
  </si>
  <si>
    <t>6350</t>
  </si>
  <si>
    <t>LFI-LOD</t>
  </si>
  <si>
    <t>8b371960-e8ca-4a5c-bdbc-35489ff8b7ac</t>
  </si>
  <si>
    <t>13/051089-052034tg</t>
  </si>
  <si>
    <t>13/051496-051791tu</t>
  </si>
  <si>
    <t>6978-84</t>
  </si>
  <si>
    <t>LEB-LRI</t>
  </si>
  <si>
    <t>339d8a73-e750-417a-b2c4-db66a52637ee</t>
  </si>
  <si>
    <t>6970-74</t>
  </si>
  <si>
    <t>a973ed11-b4d6-40f2-8679-66b065a80f1d</t>
  </si>
  <si>
    <t>13/023220-023437tg</t>
  </si>
  <si>
    <t>13/023221-023421tu</t>
  </si>
  <si>
    <t xml:space="preserve">Por toda a extensão do túnel </t>
  </si>
  <si>
    <t>7542-52</t>
  </si>
  <si>
    <t>bd7061be-c8c8-49d4-954b-f2ccdddd2247</t>
  </si>
  <si>
    <t>10/057870-058395cv</t>
  </si>
  <si>
    <t>10/058088-058221tu</t>
  </si>
  <si>
    <t>999-1037</t>
  </si>
  <si>
    <t>LIC-LPG</t>
  </si>
  <si>
    <t>3438d6b4-3cca-4d98-ac99-1275fb9e5e16</t>
  </si>
  <si>
    <t>16/218583-219727tg</t>
  </si>
  <si>
    <t>16/219185-219653tu</t>
  </si>
  <si>
    <t>3583-3586</t>
  </si>
  <si>
    <t>9a5ac1c4-2c22-4462-8a59-b16ab13e951b</t>
  </si>
  <si>
    <t>3587-3592</t>
  </si>
  <si>
    <t>dba80967-147f-488e-b3de-8878d8035989</t>
  </si>
  <si>
    <t>3593-3597</t>
  </si>
  <si>
    <t>0bfcc5cf-be8f-416b-a0aa-65e67bf68f64</t>
  </si>
  <si>
    <t xml:space="preserve">Ambos os lados </t>
  </si>
  <si>
    <t>3598-3609</t>
  </si>
  <si>
    <t>2815dcd7-edc1-44a5-a4d6-57db5e976ec8</t>
  </si>
  <si>
    <t>3610-3615</t>
  </si>
  <si>
    <t>771b5305-85ea-405d-8224-ac6169dbe9c0</t>
  </si>
  <si>
    <t xml:space="preserve">Queda de bloco na região da abóboda </t>
  </si>
  <si>
    <t>3616-3618</t>
  </si>
  <si>
    <t>0bb74397-5d78-4b03-aa1f-908fdd20b633</t>
  </si>
  <si>
    <t>16/229328-230108tu</t>
  </si>
  <si>
    <t>3726-3730</t>
  </si>
  <si>
    <t>a5a2c5df-2366-45e6-87a3-dc102b8f9dae</t>
  </si>
  <si>
    <t>Ambos os lados</t>
  </si>
  <si>
    <t>3731-3745</t>
  </si>
  <si>
    <t>91ffbe6f-c93d-4120-b483-66f147709025</t>
  </si>
  <si>
    <t>16/237809-238090tg</t>
  </si>
  <si>
    <t>4628-30</t>
  </si>
  <si>
    <t>d479eddf-2101-4c3d-8a45-a29303c525a5</t>
  </si>
  <si>
    <t>17/375669-375922cv</t>
  </si>
  <si>
    <t>17/375622-375972tu</t>
  </si>
  <si>
    <t>5273-75</t>
  </si>
  <si>
    <t>64f8f3e8-b581-4cde-be26-497c7d889a63</t>
  </si>
  <si>
    <t>5280-85</t>
  </si>
  <si>
    <t>e04b0a77-8d5c-46b9-91c9-da809bbb0064</t>
  </si>
  <si>
    <t>5583-89</t>
  </si>
  <si>
    <t>9d79acaf-ab9f-4f9f-84f9-fea3bf946035</t>
  </si>
  <si>
    <t>5601-03</t>
  </si>
  <si>
    <t>2bd49383-7a31-4088-893c-586ef5b606aa</t>
  </si>
  <si>
    <t>5628-31</t>
  </si>
  <si>
    <t>5e8651dd-2189-4123-b42b-e1bd9ea63f54</t>
  </si>
  <si>
    <t>5632-36</t>
  </si>
  <si>
    <t>aa68e5cd-5383-4567-8b08-f6d33806dae5</t>
  </si>
  <si>
    <t>5652-54</t>
  </si>
  <si>
    <t>ac7b0171-13df-4c8c-8fba-ca8ff48788e7</t>
  </si>
  <si>
    <t>5655-60</t>
  </si>
  <si>
    <t>66a55715-2802-4872-a750-b6f6e090ac6c</t>
  </si>
  <si>
    <t>5676-80</t>
  </si>
  <si>
    <t>d0098788-9e57-4838-90f3-4bf56de89add</t>
  </si>
  <si>
    <t>5681-84</t>
  </si>
  <si>
    <t>9d68d6a5-36fc-41c4-8ae6-623872bf4b74</t>
  </si>
  <si>
    <t>5839-41</t>
  </si>
  <si>
    <t>4feafc6d-dda9-4721-a7d1-fe44298b6903</t>
  </si>
  <si>
    <t>4627-4631</t>
  </si>
  <si>
    <t>72fd9672-a9d0-40f0-b533-fcf95ac72da2</t>
  </si>
  <si>
    <t>6075-79</t>
  </si>
  <si>
    <t>1eb87c8c-34bc-41e7-b59b-a71d94b479c0</t>
  </si>
  <si>
    <t>6014-16</t>
  </si>
  <si>
    <t>b1d8b923-1695-4903-9059-3b75897eab1a</t>
  </si>
  <si>
    <t>6012-13</t>
  </si>
  <si>
    <t>86f32c42-6bf9-4700-83dc-271d1be6075a</t>
  </si>
  <si>
    <t>4676-4678</t>
  </si>
  <si>
    <t>46ce0da7-31a2-40fd-8b4f-a08be7e47f13</t>
  </si>
  <si>
    <t>4670-4675</t>
  </si>
  <si>
    <t>1d23f86a-a3d1-47e8-917f-4f843eebdf88</t>
  </si>
  <si>
    <t>4727-4732</t>
  </si>
  <si>
    <t>18e82de2-6db1-43f4-9f01-b00cb9bf831e</t>
  </si>
  <si>
    <t>4733-4737</t>
  </si>
  <si>
    <t>92555bf7-5146-4777-aff3-5acb351e9536</t>
  </si>
  <si>
    <t>17/321050-321250cv</t>
  </si>
  <si>
    <t>17/320744-321510tu</t>
  </si>
  <si>
    <t>4749-4760</t>
  </si>
  <si>
    <t>923f6372-5d3f-48e0-8b8e-1c2f1439bb63</t>
  </si>
  <si>
    <t>4761-4770</t>
  </si>
  <si>
    <t>b67a21e7-87d1-4a9e-9922-16bc5e4c0112</t>
  </si>
  <si>
    <t>4771-4782</t>
  </si>
  <si>
    <t>fef83898-da81-449f-83de-1587045a96bf</t>
  </si>
  <si>
    <t>6234-36</t>
  </si>
  <si>
    <t>02ad6c65-24a2-4f43-9c71-b44f34b9547b</t>
  </si>
  <si>
    <t>6230-32</t>
  </si>
  <si>
    <t>5142eeee-6147-42b3-a183-c619fab83a5e</t>
  </si>
  <si>
    <t>6194-98</t>
  </si>
  <si>
    <t>2d81ecac-9acc-4440-b8eb-abf26b4c9fdf</t>
  </si>
  <si>
    <t>6160-67</t>
  </si>
  <si>
    <t>8f3ec13b-f9cc-47b9-8c5c-4b7f31bd524c</t>
  </si>
  <si>
    <t>6110-11</t>
  </si>
  <si>
    <t>aedd5a5c-fbe1-493a-9ad2-48ddf1d92edd</t>
  </si>
  <si>
    <t>16/169658-170635tg</t>
  </si>
  <si>
    <t>16/169961-170357tu</t>
  </si>
  <si>
    <t>5249-5289</t>
  </si>
  <si>
    <t>6e06e648-2cb3-4fea-bb32-e05e087ec39b</t>
  </si>
  <si>
    <t>9a6b9872-b374-47bb-8843-acb57d48801c</t>
  </si>
  <si>
    <t>19/074012-074538cv</t>
  </si>
  <si>
    <t>19/074520-074976tu</t>
  </si>
  <si>
    <t>8431-33</t>
  </si>
  <si>
    <t>NRO-NPF</t>
  </si>
  <si>
    <t>a30fcc46-9ae7-46f3-981d-1c47d127efbf</t>
  </si>
  <si>
    <t>8434-35</t>
  </si>
  <si>
    <t>eb6b1909-a8c5-459c-9ec7-8e9c5c53c578</t>
  </si>
  <si>
    <t>19/032512-032995tg</t>
  </si>
  <si>
    <t>19/032213-033425tu</t>
  </si>
  <si>
    <t>7398-7401</t>
  </si>
  <si>
    <t>79580ded-1217-4d37-86a5-3ba6eaec8fb0</t>
  </si>
  <si>
    <t>c2642820-0f24-41fd-916c-1574387d3cc9</t>
  </si>
  <si>
    <t>19/033772-034640cv</t>
  </si>
  <si>
    <t>19/034306-035332tu</t>
  </si>
  <si>
    <t>7435-45</t>
  </si>
  <si>
    <t>3e991ae8-9fec-4030-9616-eab815614818</t>
  </si>
  <si>
    <t>7446-47</t>
  </si>
  <si>
    <t>caaaa52d-8ba5-431b-b953-04510e0e9493</t>
  </si>
  <si>
    <t>19/034640-035685tg</t>
  </si>
  <si>
    <t>7448-54</t>
  </si>
  <si>
    <t>37591370-bb62-4ad1-8e40-4ee78fa0f7f8</t>
  </si>
  <si>
    <t>7455-61</t>
  </si>
  <si>
    <t>4c711a6c-b2fc-4dc3-a44a-7ba390a4429a</t>
  </si>
  <si>
    <t>19/035409-035689tu</t>
  </si>
  <si>
    <t xml:space="preserve">Parede de emboque inicial Danificado. </t>
  </si>
  <si>
    <t>7489-94</t>
  </si>
  <si>
    <t>5c90aa7e-0510-443f-96de-565a6b3c6ed4</t>
  </si>
  <si>
    <t>19/037750-038670cv</t>
  </si>
  <si>
    <t>19/037583-038479tu</t>
  </si>
  <si>
    <t>7546-47</t>
  </si>
  <si>
    <t>20bdab49-93df-423b-b331-8f35f5d62de8</t>
  </si>
  <si>
    <t>7548-60</t>
  </si>
  <si>
    <t>8c730889-4ec8-492a-b006-e9455e4ba2b4</t>
  </si>
  <si>
    <t>19/038880-038940cv</t>
  </si>
  <si>
    <t>19/038926-039414tu</t>
  </si>
  <si>
    <t>Tunel - Revestimento Fissuras E Trincas</t>
  </si>
  <si>
    <t>7579-80</t>
  </si>
  <si>
    <t>f5ad2e37-32d2-4bf0-854c-e919ce586992</t>
  </si>
  <si>
    <t>19/042210-043320cv</t>
  </si>
  <si>
    <t>19/042644-044803tu</t>
  </si>
  <si>
    <t>7661-66</t>
  </si>
  <si>
    <t>f5f88b65-b729-42b7-954e-edde40ccd321</t>
  </si>
  <si>
    <t>7667-68</t>
  </si>
  <si>
    <t>f270d647-1a73-4820-8b5e-4c539aa7f56e</t>
  </si>
  <si>
    <t>7669-72</t>
  </si>
  <si>
    <t>307d90a1-bf73-4bed-9eab-834bacf35d42</t>
  </si>
  <si>
    <t xml:space="preserve">Queda da estrutura metálica de fiação. </t>
  </si>
  <si>
    <t>7673-74</t>
  </si>
  <si>
    <t>4ea73ae0-1754-4405-a635-bdd3ba7ff720</t>
  </si>
  <si>
    <t>19/046090-046720cv</t>
  </si>
  <si>
    <t>19/046033-046568tu</t>
  </si>
  <si>
    <t>7693-95</t>
  </si>
  <si>
    <t>e57d9ccc-28a3-42ba-a315-4861ce0f0578</t>
  </si>
  <si>
    <t xml:space="preserve">Em ambos os lados. </t>
  </si>
  <si>
    <t>7696-7712</t>
  </si>
  <si>
    <t>7e63ac7a-f4a3-4236-bdaa-23e5da79cb73</t>
  </si>
  <si>
    <t xml:space="preserve">Queda da estrutura metálica da fiação. </t>
  </si>
  <si>
    <t>7713-15</t>
  </si>
  <si>
    <t>a1a8b4d7-0803-49f6-a292-0a0efcae392b</t>
  </si>
  <si>
    <t xml:space="preserve">Queda da estrutura metálica da fiação </t>
  </si>
  <si>
    <t>545e7bdf-9dc5-4b96-9909-7de21741ad10</t>
  </si>
  <si>
    <t>19/046920-047030cv</t>
  </si>
  <si>
    <t>19/046895-047424tu</t>
  </si>
  <si>
    <t>7723-40</t>
  </si>
  <si>
    <t>4850c45e-9f5e-43c6-bd5c-00356d8a3f2c</t>
  </si>
  <si>
    <t>6/343430-344520tg</t>
  </si>
  <si>
    <t>6/343588-343951tu</t>
  </si>
  <si>
    <t>2311-14</t>
  </si>
  <si>
    <t>LLZ-LUS</t>
  </si>
  <si>
    <t>cffc71bc-73b3-470d-860c-132e64832176</t>
  </si>
  <si>
    <t>2315-17</t>
  </si>
  <si>
    <t>be88af48-8f5a-4c89-af0d-947698f5ad35</t>
  </si>
  <si>
    <t>17/317870-318280cv</t>
  </si>
  <si>
    <t>Luis</t>
  </si>
  <si>
    <t>8271-8362</t>
  </si>
  <si>
    <t>LFJ-LLS</t>
  </si>
  <si>
    <t>140c2488-2434-4964-99d6-a97bd5e5b9ce</t>
  </si>
  <si>
    <t>16/229760-229935cv</t>
  </si>
  <si>
    <t>39/353395-353640cv</t>
  </si>
  <si>
    <t>39/353282-353816tu</t>
  </si>
  <si>
    <t>5463-66</t>
  </si>
  <si>
    <t>ZIE-LLZ</t>
  </si>
  <si>
    <t>c6dafecb-eab6-4653-a6d5-a9cf6e7d75e2</t>
  </si>
  <si>
    <t>5467-72</t>
  </si>
  <si>
    <t>98f09200-5896-4f71-a185-3f963498317b</t>
  </si>
  <si>
    <t>39/355660-356240cv</t>
  </si>
  <si>
    <t>39/355548-355936tu</t>
  </si>
  <si>
    <t>5566-67</t>
  </si>
  <si>
    <t>69328b08-4c32-478d-abf3-2696f8ff93ea</t>
  </si>
  <si>
    <t>5568-72</t>
  </si>
  <si>
    <t>b78432aa-5e74-4510-9a42-fba9fe665ede</t>
  </si>
  <si>
    <t>39/361505-361955cv</t>
  </si>
  <si>
    <t>39/361589-362137tu</t>
  </si>
  <si>
    <t>5723-28</t>
  </si>
  <si>
    <t>5bafbf08-b634-4071-aed4-3804e275f5f5</t>
  </si>
  <si>
    <t>5729-56</t>
  </si>
  <si>
    <t>4a086a6c-9b2d-4d84-b5a3-93f82684d230</t>
  </si>
  <si>
    <t>7/480015-480315cv</t>
  </si>
  <si>
    <t>7/479906-480173tu</t>
  </si>
  <si>
    <t>6199</t>
  </si>
  <si>
    <t>9a7ea263-c784-498f-82ea-62f1ad11d27d</t>
  </si>
  <si>
    <t>7/503260-503970tg</t>
  </si>
  <si>
    <t>7/502853-503788tu</t>
  </si>
  <si>
    <t>57261</t>
  </si>
  <si>
    <t>bb84472c-9476-4514-853a-7ade2697e626</t>
  </si>
  <si>
    <t>8884-86</t>
  </si>
  <si>
    <t>c4a2debd-7a84-4038-acc5-b29377c031f3</t>
  </si>
  <si>
    <t>Luiz Santos</t>
  </si>
  <si>
    <t>7/427546-427858tg</t>
  </si>
  <si>
    <t>7/427274-427876tu</t>
  </si>
  <si>
    <t>3464-3466</t>
  </si>
  <si>
    <t>2c3c43be-eb54-4f75-92fa-9e704bdf7208</t>
  </si>
  <si>
    <t>1/332630-332730tg</t>
  </si>
  <si>
    <t>1/331901-333557tu</t>
  </si>
  <si>
    <t>7646</t>
  </si>
  <si>
    <t>LAP-LMG</t>
  </si>
  <si>
    <t>16cf4023-48e6-48b1-b32d-ff8060327db3</t>
  </si>
  <si>
    <t>1122-1132</t>
  </si>
  <si>
    <t>8fb563fc-2c95-4682-a939-f41fbd1eaadd</t>
  </si>
  <si>
    <t>1109-1112</t>
  </si>
  <si>
    <t>9080f571-e89a-40d5-9e05-f2a0fb800110</t>
  </si>
  <si>
    <t>7468</t>
  </si>
  <si>
    <t>13e85276-3d24-447e-ae1e-751112c4949d</t>
  </si>
  <si>
    <t>7535</t>
  </si>
  <si>
    <t>5cc3eda5-5978-44b6-8cd5-6810a18bea4a</t>
  </si>
  <si>
    <t>1066-1069</t>
  </si>
  <si>
    <t>653ed9eb-93ca-41a5-9ea4-b17b9bf38e9d</t>
  </si>
  <si>
    <t>1063-1065</t>
  </si>
  <si>
    <t>606e13a7-d0de-4914-b416-b5427855417a</t>
  </si>
  <si>
    <t>1/334810-335080tg</t>
  </si>
  <si>
    <t>1/334627-335242tu</t>
  </si>
  <si>
    <t>1000-1003</t>
  </si>
  <si>
    <t>de7ba273-4c35-499e-8c84-120d1aef3443</t>
  </si>
  <si>
    <t>7/529292-530582tg</t>
  </si>
  <si>
    <t>7/529564-530544tu</t>
  </si>
  <si>
    <t>85</t>
  </si>
  <si>
    <t>30801786-39f9-45d0-bca6-48c024b38816</t>
  </si>
  <si>
    <t>80</t>
  </si>
  <si>
    <t>99a4a085-dbc2-44b4-bd7a-a5c5f2d84a8d</t>
  </si>
  <si>
    <t>Lado direito do túnel.</t>
  </si>
  <si>
    <t>10/079798-080237tg</t>
  </si>
  <si>
    <t>10/079681-080164tu</t>
  </si>
  <si>
    <t>3820-28</t>
  </si>
  <si>
    <t>08047c1b-3635-4b79-a540-b01466159957</t>
  </si>
  <si>
    <t>William Silva</t>
  </si>
  <si>
    <t>7559-67</t>
  </si>
  <si>
    <t>5dcc1b16-b9b4-4a28-8414-a66a6cc64c20</t>
  </si>
  <si>
    <t>Luis Martinelli</t>
  </si>
  <si>
    <t>15/005800-006030tu</t>
  </si>
  <si>
    <t>2652-56</t>
  </si>
  <si>
    <t>LUN-LNG</t>
  </si>
  <si>
    <t>e3bdcfed-cba8-4302-8af5-75f1fad966c9</t>
  </si>
  <si>
    <t>2657-62</t>
  </si>
  <si>
    <t>0c852d12-df5f-4563-a34b-f819985d05eb</t>
  </si>
  <si>
    <t>2663-65</t>
  </si>
  <si>
    <t>b66b3631-8979-4b62-a9b7-d2ade5983960</t>
  </si>
  <si>
    <t>Laje Tunel - Danificada</t>
  </si>
  <si>
    <t>2666-69</t>
  </si>
  <si>
    <t>6e1055e9-bb79-4b7f-8985-97df47d1a7c8</t>
  </si>
  <si>
    <t>15/008150-008420tu</t>
  </si>
  <si>
    <t>2830-32</t>
  </si>
  <si>
    <t>ff6182f2-18b1-47df-a712-b0957faab333</t>
  </si>
  <si>
    <t>2833-35</t>
  </si>
  <si>
    <t>ce2f945f-17b2-45f5-8b27-0a55a1eff362</t>
  </si>
  <si>
    <t>Cristiano Saldanha</t>
  </si>
  <si>
    <t>7/425833-426293cv</t>
  </si>
  <si>
    <t>7/426215-426503tu</t>
  </si>
  <si>
    <t>6425dc51-12e6-44fe-bac2-088783e07c6b</t>
  </si>
  <si>
    <t>9/190120-191250cv</t>
  </si>
  <si>
    <t>9/190279-190538tu</t>
  </si>
  <si>
    <t>2637-50</t>
  </si>
  <si>
    <t>LEB-LUS</t>
  </si>
  <si>
    <t>332b64b3-d913-44c5-9476-7717e3d7240e</t>
  </si>
  <si>
    <t>Tiago Beatriz</t>
  </si>
  <si>
    <t>37/325772-326582cv</t>
  </si>
  <si>
    <t>37/325841-326096tu</t>
  </si>
  <si>
    <t xml:space="preserve">Túnel Km certo 325+470 ao Km 325+615.Túnel com infiltração, fissura, Plataforma assoreado e com acúmulo de água. </t>
  </si>
  <si>
    <t>5417</t>
  </si>
  <si>
    <t>NBG-NRH</t>
  </si>
  <si>
    <t>83621b68-fa5f-413d-9e27-d1023da616db</t>
  </si>
  <si>
    <t>13c355ff-7382-4160-bbec-05b997afdbd0</t>
  </si>
  <si>
    <t>19/032995-033660cv</t>
  </si>
  <si>
    <t>19/044712-044956cv</t>
  </si>
  <si>
    <t>17/106140-106480tg</t>
  </si>
  <si>
    <t>7/505170-505470cv</t>
  </si>
  <si>
    <t>7/505338-506177tu</t>
  </si>
  <si>
    <t>1965d26c-8877-4133-ad38-7347179ff5fb</t>
  </si>
  <si>
    <t>7/499944-500367tg</t>
  </si>
  <si>
    <t>6929</t>
  </si>
  <si>
    <t>8eec2858-9323-4107-be6f-e8185f71106b</t>
  </si>
  <si>
    <t>Engenharia</t>
  </si>
  <si>
    <t>Carlos Rodrigues</t>
  </si>
  <si>
    <t>954ffeb3-4db9-41b5-89e0-17cb1028e6ef</t>
  </si>
  <si>
    <t>17/333404-334160cv</t>
  </si>
  <si>
    <t>17/333534-334310tu</t>
  </si>
  <si>
    <t>17/375254-375669tg</t>
  </si>
  <si>
    <t>10/065005-065300cv</t>
  </si>
  <si>
    <t>10/065029-065291tu</t>
  </si>
  <si>
    <t xml:space="preserve">Vários pontos de infiltração ao longo do túnel </t>
  </si>
  <si>
    <t>717-33</t>
  </si>
  <si>
    <t>28ed1d7d-e8e1-425e-a6c5-1eacefbad72a</t>
  </si>
  <si>
    <t>10/062685-062850cv</t>
  </si>
  <si>
    <t>10/062682-062713tu</t>
  </si>
  <si>
    <t>875-78</t>
  </si>
  <si>
    <t>2eaec0ca-0cc6-45e5-b126-9872f5a5ad19</t>
  </si>
  <si>
    <t>10/060642-060670tg</t>
  </si>
  <si>
    <t>10/060558-060731tu</t>
  </si>
  <si>
    <t xml:space="preserve">Vários pequenos pontos de infiltração bem longo do túnel </t>
  </si>
  <si>
    <t>903-19</t>
  </si>
  <si>
    <t>0b67fbd9-ffc3-4f1e-853e-bd54fea4aade</t>
  </si>
  <si>
    <t>9784</t>
  </si>
  <si>
    <t>6c6139f9-0b06-49e9-b85f-ea919d5b22d1</t>
  </si>
  <si>
    <t>6964-69</t>
  </si>
  <si>
    <t>a14914c9-1dd3-4824-ab45-a57c50eb155c</t>
  </si>
  <si>
    <t>5b476648-1587-48b6-8feb-a328ae0001eb</t>
  </si>
  <si>
    <t>ecc27da4-e8b7-40c8-a352-1019eb1871e2</t>
  </si>
  <si>
    <t>9960-0027</t>
  </si>
  <si>
    <t>7586a94c-434e-4ca2-8f62-10303268d154</t>
  </si>
  <si>
    <t xml:space="preserve">Vários pontos ao longo de todo o túnel </t>
  </si>
  <si>
    <t>162129ec-e519-4b94-bc7f-7f811c130ce2</t>
  </si>
  <si>
    <t>9501-03</t>
  </si>
  <si>
    <t>14161771-57c5-41b8-85d2-a8978a75f5ce</t>
  </si>
  <si>
    <t>7/439250-439620cv</t>
  </si>
  <si>
    <t>7/439316-439518tu</t>
  </si>
  <si>
    <t>4933</t>
  </si>
  <si>
    <t>bf97b19c-2017-41ba-acae-f1af20ac46e3</t>
  </si>
  <si>
    <t>4920</t>
  </si>
  <si>
    <t>43842f49-2954-4d61-b30b-67d49268674a</t>
  </si>
  <si>
    <t>d762a125-5084-4221-ab71-2ee930d4a985</t>
  </si>
  <si>
    <t>6c029e7f-8ffe-4409-96e3-bc0b8efc1d5b</t>
  </si>
  <si>
    <t>16/038021-038461tg</t>
  </si>
  <si>
    <t>16/038284-038591tu</t>
  </si>
  <si>
    <t>LRI-LIA</t>
  </si>
  <si>
    <t>191c8f68-169e-463e-96a1-d22e8e27859b</t>
  </si>
  <si>
    <t>16/113462-114041tg</t>
  </si>
  <si>
    <t>16/113641-113879tu</t>
  </si>
  <si>
    <t>9ce1dc5c-6a27-41be-bfe4-4ad04e5565b0</t>
  </si>
  <si>
    <t>16/115807-116334cv</t>
  </si>
  <si>
    <t>16/116028-116293tu</t>
  </si>
  <si>
    <t>90979c59-3db8-4fba-9e0f-685f1ddf9c69</t>
  </si>
  <si>
    <t>16/116334-116452tg</t>
  </si>
  <si>
    <t>16/116338-116458tu</t>
  </si>
  <si>
    <t>feb78c5a-696e-4ea7-a12e-a48dff9103d2</t>
  </si>
  <si>
    <t>16ba9520-5d6a-4968-9eff-cd83fc199f08</t>
  </si>
  <si>
    <t>d1a5dc56-82f3-47a6-a317-c3c98f947c02</t>
  </si>
  <si>
    <t>16/120750-122002tg</t>
  </si>
  <si>
    <t>16/120828-122365tu</t>
  </si>
  <si>
    <t>7526-7564</t>
  </si>
  <si>
    <t>0b0ced53-a97d-4955-9a07-03771d7514b5</t>
  </si>
  <si>
    <t>16/118100-118368cv</t>
  </si>
  <si>
    <t>16/118081-118236tu</t>
  </si>
  <si>
    <t>7483-7495</t>
  </si>
  <si>
    <t>079cf3c1-c001-47ad-8957-be3456574f40</t>
  </si>
  <si>
    <t>afd687c6-a5eb-4f53-b4a5-5a0816a541d1</t>
  </si>
  <si>
    <t>0e1f149a-9630-4ad9-baf5-42b024053ada</t>
  </si>
  <si>
    <t>16/119968-120345cv</t>
  </si>
  <si>
    <t>16/120017-120183tu</t>
  </si>
  <si>
    <t>7496-7509</t>
  </si>
  <si>
    <t>41fa6c97-0877-4e47-b6d8-00e18f7bc15c</t>
  </si>
  <si>
    <t>0f99a271-ce83-4785-8ed5-ce286e9a7feb</t>
  </si>
  <si>
    <t>80896f1c-1810-40ea-b901-1b89c036dbeb</t>
  </si>
  <si>
    <t>6dc681ca-1fb2-4624-8181-ee8d1e59108a</t>
  </si>
  <si>
    <t>16/124221-124814tg</t>
  </si>
  <si>
    <t>16/124199-124741tu</t>
  </si>
  <si>
    <t>7565-7584</t>
  </si>
  <si>
    <t>b85d308d-4366-4a91-9972-41865689f6d9</t>
  </si>
  <si>
    <t>509512c9-73aa-4bd2-af21-1edc6c3a2bb7</t>
  </si>
  <si>
    <t>55873846-3a92-4752-a4eb-d42cf1dbcd55</t>
  </si>
  <si>
    <t>647295d6-f259-40dd-bec7-5f4b3e103474</t>
  </si>
  <si>
    <t>4588fc34-d556-4a14-9c21-ad0865d4eb80</t>
  </si>
  <si>
    <t>0908fc04-5f4c-4040-bd71-2bbaf1460fa9</t>
  </si>
  <si>
    <t>16/136504-137011cv</t>
  </si>
  <si>
    <t>16/136667-136891tu</t>
  </si>
  <si>
    <t>7637-7659</t>
  </si>
  <si>
    <t>70f73d4a-12e3-4fd1-8a36-b00524930eff</t>
  </si>
  <si>
    <t xml:space="preserve">Ambos  lados </t>
  </si>
  <si>
    <t>e528fb93-c650-4a07-ad24-6f937c646a6f</t>
  </si>
  <si>
    <t>16/116452-116860cv</t>
  </si>
  <si>
    <t>16/116638-117018tu</t>
  </si>
  <si>
    <t xml:space="preserve">Vários pontos </t>
  </si>
  <si>
    <t>2709-2727</t>
  </si>
  <si>
    <t>Ambos lados cheios de pedra da via</t>
  </si>
  <si>
    <t>2745-2768</t>
  </si>
  <si>
    <t>Vários pontos</t>
  </si>
  <si>
    <t>2787-2801</t>
  </si>
  <si>
    <t>Ambos lados</t>
  </si>
  <si>
    <t>2839-2852</t>
  </si>
  <si>
    <t>16/115202-115343cv</t>
  </si>
  <si>
    <t>16/115169-115408tu</t>
  </si>
  <si>
    <t>2890-2907</t>
  </si>
  <si>
    <t>16/114041-114314cv</t>
  </si>
  <si>
    <t>16/114134-114327tu</t>
  </si>
  <si>
    <t>2983-3000</t>
  </si>
  <si>
    <t>Vários ponto5</t>
  </si>
  <si>
    <t>3016-3034</t>
  </si>
  <si>
    <t>3276-3283</t>
  </si>
  <si>
    <t>3389-3398</t>
  </si>
  <si>
    <t>52d925ca-fd7c-4f3c-9129-ddf1a7249024</t>
  </si>
  <si>
    <t>56fc28fe-9478-46db-85e1-93fa95ab1c29</t>
  </si>
  <si>
    <t>b4550991-2f01-41fa-a4fd-019bace2f941</t>
  </si>
  <si>
    <t>9570e1f1-457a-4861-9009-1d3141fc006d</t>
  </si>
  <si>
    <t>76fa871e-c65d-4caf-956c-e0d752856cb0</t>
  </si>
  <si>
    <t>6cd10d89-33fd-4a47-9320-b85ed843f088</t>
  </si>
  <si>
    <t>7e2d644d-6184-4550-9f7d-99a2bb6f7bd4</t>
  </si>
  <si>
    <t>64c35df4-141e-4129-a5ef-2e52d6b8a930</t>
  </si>
  <si>
    <t>e13418a3-0db2-440f-8f4f-b23e5bec20b1</t>
  </si>
  <si>
    <t>5cad67e7-c25c-42d1-bf60-34b4592a8c89</t>
  </si>
  <si>
    <t>9145-9173</t>
  </si>
  <si>
    <t>d516ac46-6e83-4b4b-871d-da3ab3efce45</t>
  </si>
  <si>
    <t>461680b3-11ad-4da7-b123-8e5b92767ebf</t>
  </si>
  <si>
    <t>411d75c5-cdf3-4fe9-8a26-0e716df5e495</t>
  </si>
  <si>
    <t>85a1425a-e3a2-4ef0-8b9b-ba20862e94c0</t>
  </si>
  <si>
    <t>94429a3d-3a68-4a4b-ae24-3a4311267657</t>
  </si>
  <si>
    <t>7372dff1-9814-4311-9e91-c334ba8af95d</t>
  </si>
  <si>
    <t>97979042-a1b8-4fa9-ba75-bde07aedb10f</t>
  </si>
  <si>
    <t>2f8bc002-5f45-48b7-b824-be0801a027fa</t>
  </si>
  <si>
    <t>e3815fd6-c6be-4964-b7d4-227692a29170</t>
  </si>
  <si>
    <t>6989c570-4e52-49ee-9d44-fe8a9c14b87d</t>
  </si>
  <si>
    <t>16/246189-247103tg</t>
  </si>
  <si>
    <t>16/246698-247001tu</t>
  </si>
  <si>
    <t>432-463</t>
  </si>
  <si>
    <t>c886faaa-0e74-4e14-a67a-9bea9b12887d</t>
  </si>
  <si>
    <t>b69df0f0-1f2a-4161-9a72-33b9c7be76a1</t>
  </si>
  <si>
    <t>2483-88</t>
  </si>
  <si>
    <t>fcbcbdb2-afc8-4231-920a-b025e3b90e89</t>
  </si>
  <si>
    <t>1/299910-300620cv</t>
  </si>
  <si>
    <t>Presença de fissuras com eflorescência nas alas</t>
  </si>
  <si>
    <t>941-946</t>
  </si>
  <si>
    <t>76b614c1-9e66-4a70-8ce7-3ced9d8b7348</t>
  </si>
  <si>
    <t xml:space="preserve">Falta de cobrimento </t>
  </si>
  <si>
    <t>947-949</t>
  </si>
  <si>
    <t>31423271-2c23-4e34-b563-63a0ee03b221</t>
  </si>
  <si>
    <t>950-954</t>
  </si>
  <si>
    <t>f1d2c383-bf72-4c67-948d-9dd2b930a06b</t>
  </si>
  <si>
    <t>Baixo cobrimento</t>
  </si>
  <si>
    <t>955-959</t>
  </si>
  <si>
    <t>f2e9230a-4a9f-4b4d-994c-e9799fa27aa4</t>
  </si>
  <si>
    <t>53e82857-e7f2-48e6-a253-8bc19e211cff</t>
  </si>
  <si>
    <t>960-962</t>
  </si>
  <si>
    <t>06b689f4-511a-4635-81d9-95b920d90bc1</t>
  </si>
  <si>
    <t>7641</t>
  </si>
  <si>
    <t>88f2408e-72ce-4fd8-8b32-aa3b0999c91c</t>
  </si>
  <si>
    <t>967-969</t>
  </si>
  <si>
    <t>19b2e657-f103-47a2-b073-3d571db5bbdb</t>
  </si>
  <si>
    <t>970-972</t>
  </si>
  <si>
    <t>9df54c6a-1691-4e6b-91fd-08c3664fe9d2</t>
  </si>
  <si>
    <t>973-979</t>
  </si>
  <si>
    <t>5a216d6e-9b4c-41cf-ba85-690569ddeb96</t>
  </si>
  <si>
    <t>980-982</t>
  </si>
  <si>
    <t>d7716564-561f-4015-9957-b09b4b4ea152</t>
  </si>
  <si>
    <t>983-985</t>
  </si>
  <si>
    <t>ff610775-758c-4588-bb94-3a2d613d483f</t>
  </si>
  <si>
    <t>986-992</t>
  </si>
  <si>
    <t>29cd47a0-9ef9-480c-b6c4-36cea8264a49</t>
  </si>
  <si>
    <t>1800b252-d213-4d5e-8a76-7f86aa2b210c</t>
  </si>
  <si>
    <t>Laje</t>
  </si>
  <si>
    <t>Armadura exposta na junta de dilatação</t>
  </si>
  <si>
    <t>993-999</t>
  </si>
  <si>
    <t>de769fd2-774d-445d-9c63-bf39ac0ad790</t>
  </si>
  <si>
    <t>1004-1011</t>
  </si>
  <si>
    <t>67d8d667-657a-44f3-ada2-f5e4f46bc348</t>
  </si>
  <si>
    <t>Presença de fissuras na ala</t>
  </si>
  <si>
    <t>1021-1030</t>
  </si>
  <si>
    <t>28450633-2487-4689-92de-11ce985d8ec6</t>
  </si>
  <si>
    <t>7642</t>
  </si>
  <si>
    <t>48273f4a-f478-4b34-b10d-02bebeab0a5c</t>
  </si>
  <si>
    <t>Buzinote danificado</t>
  </si>
  <si>
    <t>1070-1072</t>
  </si>
  <si>
    <t>673f7ecc-a67b-44b2-8fe8-95b6388bf82f</t>
  </si>
  <si>
    <t>1106-1108</t>
  </si>
  <si>
    <t>27c4adea-135c-495c-ab91-a1ff2ba32181</t>
  </si>
  <si>
    <t>Buzinotes danificados</t>
  </si>
  <si>
    <t>1113-1121</t>
  </si>
  <si>
    <t>0a9df399-bf2d-4bfb-8937-e119885dd985</t>
  </si>
  <si>
    <t>7637</t>
  </si>
  <si>
    <t>20612ce1-42de-4705-95d4-5c1992b2d688</t>
  </si>
  <si>
    <t>10/065442-065529tu</t>
  </si>
  <si>
    <t>693-700</t>
  </si>
  <si>
    <t>3e738233-a4a1-4de3-a7cd-f32009a5dcc2</t>
  </si>
  <si>
    <t>10/064857-064989tu</t>
  </si>
  <si>
    <t>742-57</t>
  </si>
  <si>
    <t>a72702df-020c-4b28-8a17-defd028e8811</t>
  </si>
  <si>
    <t>10/064051-064111tu</t>
  </si>
  <si>
    <t xml:space="preserve">Vários pequenos pontos de infiltração ao longo do túnel </t>
  </si>
  <si>
    <t>785-800</t>
  </si>
  <si>
    <t>f3ec8386-e800-4d2a-8b74-1ee22a0b6d29</t>
  </si>
  <si>
    <t>10/063391-063711tu</t>
  </si>
  <si>
    <t xml:space="preserve">Pequenos pontos de infiltração </t>
  </si>
  <si>
    <t>837-45</t>
  </si>
  <si>
    <t>5e585963-2a80-4181-ad5b-9e414a52b3c7</t>
  </si>
  <si>
    <t>869-74</t>
  </si>
  <si>
    <t>6667055c-0ab8-4d3f-aa19-0f123e26ce81</t>
  </si>
  <si>
    <t>10/053551-053697tu</t>
  </si>
  <si>
    <t xml:space="preserve">Placas quebradas </t>
  </si>
  <si>
    <t>1162</t>
  </si>
  <si>
    <t>71225636-a9cb-4649-a7bf-852622748afc</t>
  </si>
  <si>
    <t>1161-1204</t>
  </si>
  <si>
    <t>76e6d013-ab9b-412a-b64e-5320779f330b</t>
  </si>
  <si>
    <t>7087ae54-7047-488c-b0f3-1e581c2b0025</t>
  </si>
  <si>
    <t>cc176411-afd9-412c-b953-097e30d87473</t>
  </si>
  <si>
    <t>10/052519-052621tu</t>
  </si>
  <si>
    <t xml:space="preserve">Pequenos pontos de infiltração ao longo do túnel </t>
  </si>
  <si>
    <t>1242-54</t>
  </si>
  <si>
    <t>18c30ffb-b530-4250-b153-4c4f9af28b84</t>
  </si>
  <si>
    <t>6957-63</t>
  </si>
  <si>
    <t>26c8a837-071f-4fd0-8e31-00f5f2412796</t>
  </si>
  <si>
    <t>7/427236-427546cv</t>
  </si>
  <si>
    <t>3427-3431</t>
  </si>
  <si>
    <t>b519603d-f2a7-4107-b0c4-c105590fd031</t>
  </si>
  <si>
    <t>3432-3435/3444-3445</t>
  </si>
  <si>
    <t>512c7d9e-2759-45ce-97cc-26f061dcb999</t>
  </si>
  <si>
    <t>052f0219-a6f4-4a79-871e-567e1e26e6c6</t>
  </si>
  <si>
    <t>34363443/3446-3454</t>
  </si>
  <si>
    <t>648c61c7-9e6d-417c-85f0-50b5f6799544</t>
  </si>
  <si>
    <t>3455/3459-3460</t>
  </si>
  <si>
    <t>10c775dc-f433-4e23-a5bd-3c198ec421db</t>
  </si>
  <si>
    <t>42e6068c-331a-4059-9e10-6a63454daa5a</t>
  </si>
  <si>
    <t>3456-3458/3461-3463/3467-3475</t>
  </si>
  <si>
    <t>a3949ff1-4117-4d2c-aa79-8e8e8e004e57</t>
  </si>
  <si>
    <t>3476-3483</t>
  </si>
  <si>
    <t>7ac878db-068e-45be-9b32-51c7f0cdd237</t>
  </si>
  <si>
    <t>3484-3485</t>
  </si>
  <si>
    <t>28588450-f14a-469c-9dc2-92065f9ca25f</t>
  </si>
  <si>
    <t>3486-3490</t>
  </si>
  <si>
    <t>3e1ada98-6249-4c12-b05e-731b15dddeb8</t>
  </si>
  <si>
    <t>3491-3495</t>
  </si>
  <si>
    <t>db4b1e98-a695-4d05-b28a-d4e411270a44</t>
  </si>
  <si>
    <t>3496-3499</t>
  </si>
  <si>
    <t>aa3a814f-ccdb-42fa-8646-8f2fd489f9c8</t>
  </si>
  <si>
    <t>25884e25-0686-4913-942a-d36650d5a2db</t>
  </si>
  <si>
    <t>3500-3502</t>
  </si>
  <si>
    <t>95ef840f-d32f-4cbb-aa73-cc11d05784ce</t>
  </si>
  <si>
    <t>3503-3506</t>
  </si>
  <si>
    <t>822a70d7-08d6-477a-b174-1ed905b22162</t>
  </si>
  <si>
    <t>3507-3516</t>
  </si>
  <si>
    <t>fbc41ad9-b643-4797-af14-b662ff90ab02</t>
  </si>
  <si>
    <t>3517-3521</t>
  </si>
  <si>
    <t>3a0fffdb-6121-4b10-b7d6-f4c682898380</t>
  </si>
  <si>
    <t>5b8fce1b-a24f-47bf-8bd9-765580f6d4a6</t>
  </si>
  <si>
    <t>Material de via</t>
  </si>
  <si>
    <t>3522-3523</t>
  </si>
  <si>
    <t>56e12fc6-9aa1-4706-b082-4059c7858573</t>
  </si>
  <si>
    <t>70e0792e-42c4-477e-8347-153635b2f714</t>
  </si>
  <si>
    <t>3524-3529</t>
  </si>
  <si>
    <t>5d5a0c6c-2979-4373-853a-c1f398c3a537</t>
  </si>
  <si>
    <t>7/425224-425724cv</t>
  </si>
  <si>
    <t>7/425579-425711tu</t>
  </si>
  <si>
    <t>3530-3534</t>
  </si>
  <si>
    <t>c5deb777-3181-4e4d-87e9-fb2ac5f4a23f</t>
  </si>
  <si>
    <t>3535-3538</t>
  </si>
  <si>
    <t>9bffbd5a-47f5-4ad9-89fd-a1a3ad9d0a97</t>
  </si>
  <si>
    <t>71831e26-9f55-4e9b-b89f-5856f9ed4f3c</t>
  </si>
  <si>
    <t>3539-3542</t>
  </si>
  <si>
    <t>cc95cf69-42da-47f3-a969-d4e99bd9e145</t>
  </si>
  <si>
    <t>Teto + lado direito + lado esquerdo</t>
  </si>
  <si>
    <t>3549-3559/3562-3564</t>
  </si>
  <si>
    <t>cf83607b-6c92-4e60-92cb-a72b9723267b</t>
  </si>
  <si>
    <t>d7ddca27-7847-48de-beca-24840ab7da00</t>
  </si>
  <si>
    <t>3560-3561</t>
  </si>
  <si>
    <t>09dd302d-f054-492c-ae36-47d94dcd24f2</t>
  </si>
  <si>
    <t>483a1f0b-69c1-4e20-8053-f0a47ecf4dbb</t>
  </si>
  <si>
    <t>3565-3567</t>
  </si>
  <si>
    <t>7bb26c85-84bf-44a9-a3eb-d755dce2a9ff</t>
  </si>
  <si>
    <t>7/424737-425087cv</t>
  </si>
  <si>
    <t>7/425046-425159tu</t>
  </si>
  <si>
    <t>3568-3572</t>
  </si>
  <si>
    <t>b6e98844-ac1d-4b69-b5b0-804a00e22f87</t>
  </si>
  <si>
    <t>3573-3577</t>
  </si>
  <si>
    <t>1e1183aa-c4f4-4770-8cbb-01d93644f010</t>
  </si>
  <si>
    <t>Teto + Lado direito + lado esquerdo</t>
  </si>
  <si>
    <t>3578-3587</t>
  </si>
  <si>
    <t>74a19572-5724-4ce4-aa99-08511b267ada</t>
  </si>
  <si>
    <t>273e5f47-7a54-4eea-b564-cf73a93d26df</t>
  </si>
  <si>
    <t>3590-3594</t>
  </si>
  <si>
    <t>ee833c90-d18a-47b2-ba44-e5b549c4eca3</t>
  </si>
  <si>
    <t>3595-3601</t>
  </si>
  <si>
    <t>f87cd152-0a8b-4b91-bcee-ae5b3f9201aa</t>
  </si>
  <si>
    <t>7553-61</t>
  </si>
  <si>
    <t>96ce73f0-9a5b-4735-abd1-8d5dd19103ca</t>
  </si>
  <si>
    <t>7/415650-416160cv</t>
  </si>
  <si>
    <t>7/415929-416214tu</t>
  </si>
  <si>
    <t>1891-1899</t>
  </si>
  <si>
    <t>LIH-LFI</t>
  </si>
  <si>
    <t>3d70428c-9bf8-4d82-bc17-67fcb1b1e80e</t>
  </si>
  <si>
    <t>1902-1909</t>
  </si>
  <si>
    <t>7415ea5a-7be9-455f-bfeb-82a6b36a3c3c</t>
  </si>
  <si>
    <t>1911-1912</t>
  </si>
  <si>
    <t>4fabd414-fc9a-432d-a94f-8e13cff1085a</t>
  </si>
  <si>
    <t>a108edf0-8385-450c-9057-97d215603a91</t>
  </si>
  <si>
    <t>1913-1916</t>
  </si>
  <si>
    <t>aa4be778-49a2-46b5-91df-11e8c592d1e9</t>
  </si>
  <si>
    <t>4930</t>
  </si>
  <si>
    <t>e055ea03-c360-466c-b1b9-338f648b376f</t>
  </si>
  <si>
    <t>4931</t>
  </si>
  <si>
    <t>6a2edb20-5346-4cb0-8efb-fc2cae5d55e5</t>
  </si>
  <si>
    <t>4923</t>
  </si>
  <si>
    <t>eb1dd70e-5d54-4527-b479-223e75bfa1cc</t>
  </si>
  <si>
    <t>4917</t>
  </si>
  <si>
    <t>cdfc6897-2a94-4c3e-a1fd-d13aa5f7c088</t>
  </si>
  <si>
    <t>4924</t>
  </si>
  <si>
    <t>3358a14b-3b3d-4e31-9904-6759c27e3ddb</t>
  </si>
  <si>
    <t>4948</t>
  </si>
  <si>
    <t>e454a354-eef7-4710-b6dd-7afd1f759fb7</t>
  </si>
  <si>
    <t>4935</t>
  </si>
  <si>
    <t>c7513c55-6cc9-45a9-be00-1f842b5f51c7</t>
  </si>
  <si>
    <t>4934</t>
  </si>
  <si>
    <t>a30930f3-abd2-43b5-aafe-18a69badbb9b</t>
  </si>
  <si>
    <t>4951</t>
  </si>
  <si>
    <t>1c78eb81-7673-4ca9-bfe6-ff8c1b8c3142</t>
  </si>
  <si>
    <t>6522-27</t>
  </si>
  <si>
    <t>LSB-LJG</t>
  </si>
  <si>
    <t>98627990-8c62-4a0e-a660-ff51735e7283</t>
  </si>
  <si>
    <t>14/122198-122324cv</t>
  </si>
  <si>
    <t>6358-64</t>
  </si>
  <si>
    <t>b3055534-471a-450f-944f-f6bab21a9474</t>
  </si>
  <si>
    <t>6280-86</t>
  </si>
  <si>
    <t>138d9ebe-aa0b-49fa-bef7-0174bae963a1</t>
  </si>
  <si>
    <t>5665-69</t>
  </si>
  <si>
    <t>6fd7ca72-d16f-4116-aedb-28d7582fb71d</t>
  </si>
  <si>
    <t>7/499324-499944cv</t>
  </si>
  <si>
    <t>7/499479-499702tu</t>
  </si>
  <si>
    <t>6931</t>
  </si>
  <si>
    <t>d79be673-3d23-493f-9cad-b0ab79d9b74b</t>
  </si>
  <si>
    <t>cf75fc66-c731-4505-bbb3-b296ab2f961d</t>
  </si>
  <si>
    <t>6928</t>
  </si>
  <si>
    <t>d1bce56a-50e2-4033-8122-38d701ef2a2d</t>
  </si>
  <si>
    <t>6960</t>
  </si>
  <si>
    <t>adcd5b0b-7255-4ed9-b0e6-13749c702513</t>
  </si>
  <si>
    <t>6961</t>
  </si>
  <si>
    <t>dc0e386b-09e1-4513-b2d5-f7abd6763f7a</t>
  </si>
  <si>
    <t>6934</t>
  </si>
  <si>
    <t>b887b8c9-4093-49e2-8092-5c3602efcf9d</t>
  </si>
  <si>
    <t>6933</t>
  </si>
  <si>
    <t>0865e331-f78a-4de5-8f46-46d8886a0f70</t>
  </si>
  <si>
    <t>6955</t>
  </si>
  <si>
    <t>9593deed-2be8-4648-9e08-c9442f5be6e1</t>
  </si>
  <si>
    <t>6962</t>
  </si>
  <si>
    <t>a1e43dbd-95cb-49bf-809d-483c94c7b255</t>
  </si>
  <si>
    <t>051c5669-50cb-4870-acd8-2c4da46f2df3</t>
  </si>
  <si>
    <t>6946</t>
  </si>
  <si>
    <t>18c61fb0-5181-4768-84ac-a97869216330</t>
  </si>
  <si>
    <t>6936</t>
  </si>
  <si>
    <t>e7cd4a49-f1a8-4005-b835-a74fa58478ac</t>
  </si>
  <si>
    <t>7/500900-501250cv</t>
  </si>
  <si>
    <t>7/500959-501309tu</t>
  </si>
  <si>
    <t>6985</t>
  </si>
  <si>
    <t>ff295268-eb36-4b82-a2eb-61f6998081c4</t>
  </si>
  <si>
    <t>6984</t>
  </si>
  <si>
    <t>40c01cde-7204-4983-94af-9ee43a657aaa</t>
  </si>
  <si>
    <t>6993</t>
  </si>
  <si>
    <t>b1990b80-70e5-413e-b768-94913f660085</t>
  </si>
  <si>
    <t>6992</t>
  </si>
  <si>
    <t>48280b7b-cfa9-4bab-af53-df55ad33201e</t>
  </si>
  <si>
    <t>7015</t>
  </si>
  <si>
    <t>c57ab707-a86a-4d35-ab0b-4ac60d6b4ce9</t>
  </si>
  <si>
    <t>5955</t>
  </si>
  <si>
    <t>a1619559-3eaa-4f70-a11d-5d167a0ec45a</t>
  </si>
  <si>
    <t>5944</t>
  </si>
  <si>
    <t>f490791e-1d61-4285-bfd6-35813a7e3911</t>
  </si>
  <si>
    <t>59401</t>
  </si>
  <si>
    <t>bc7eea43-5124-40ba-9d91-474f3b3856bb</t>
  </si>
  <si>
    <t>5940</t>
  </si>
  <si>
    <t>72d385a9-f81f-44b2-864f-c7a7f17aaffe</t>
  </si>
  <si>
    <t>5941</t>
  </si>
  <si>
    <t>ef24c48f-3d12-4558-b2e3-e07946d9e5ec</t>
  </si>
  <si>
    <t>1422</t>
  </si>
  <si>
    <t>d715d12e-2854-4426-a8c9-c3de4c89ff02</t>
  </si>
  <si>
    <t>59442</t>
  </si>
  <si>
    <t>123ab201-8adf-4f73-9cf5-b7594fa3d61a</t>
  </si>
  <si>
    <t>8038-8054 e 8060-8064</t>
  </si>
  <si>
    <t>5aec32c4-57c3-4e7e-957b-574cec4d746e</t>
  </si>
  <si>
    <t>5952</t>
  </si>
  <si>
    <t>580168f9-9ea2-4f10-ba5c-94aaecd441bb</t>
  </si>
  <si>
    <t>5cc68c46-6f9f-4d81-b6cc-0425b72addc1</t>
  </si>
  <si>
    <t>5954</t>
  </si>
  <si>
    <t>d689d911-8b38-4382-969b-7103f8f53a48</t>
  </si>
  <si>
    <t>7/503842-504649tu</t>
  </si>
  <si>
    <t>58151</t>
  </si>
  <si>
    <t>3cc58b7c-64cb-4eea-93f8-c33cfb6a1056</t>
  </si>
  <si>
    <t>5818</t>
  </si>
  <si>
    <t>f70673ed-f743-4f5b-b42f-0561b2fc3d32</t>
  </si>
  <si>
    <t>5825</t>
  </si>
  <si>
    <t>7dc47249-ad58-4f2b-99c3-216bb79f6ef3</t>
  </si>
  <si>
    <t>5824</t>
  </si>
  <si>
    <t>20e56f2d-7e94-455c-ad61-29e546dad0ae</t>
  </si>
  <si>
    <t>58271</t>
  </si>
  <si>
    <t>0166a746-62ec-40b9-b07e-26dc1f413bcd</t>
  </si>
  <si>
    <t>58273</t>
  </si>
  <si>
    <t>bc1508e6-5a63-4731-a9a6-60c7cac9d315</t>
  </si>
  <si>
    <t>7/502770-502890tg</t>
  </si>
  <si>
    <t>57071</t>
  </si>
  <si>
    <t>e17c3a20-1a30-4f35-8ad7-6f37c2a53476</t>
  </si>
  <si>
    <t>57093</t>
  </si>
  <si>
    <t>dc49ec7c-00f2-4c1c-b0d1-725aa8c15704</t>
  </si>
  <si>
    <t>57242</t>
  </si>
  <si>
    <t>84e838c8-6329-49b1-a569-c7886efd7191</t>
  </si>
  <si>
    <t>5724</t>
  </si>
  <si>
    <t>ad15285f-038a-4c84-a564-9f4c30e2be0a</t>
  </si>
  <si>
    <t>57081</t>
  </si>
  <si>
    <t>320da1e2-8464-423a-b6f6-8728ddf6104a</t>
  </si>
  <si>
    <t>5707</t>
  </si>
  <si>
    <t>55fd32eb-ed12-4318-a4c2-c1d741c2f06e</t>
  </si>
  <si>
    <t>7/494620-495472tg</t>
  </si>
  <si>
    <t>7/495439-495775tu</t>
  </si>
  <si>
    <t>6723</t>
  </si>
  <si>
    <t>329cf8d9-21e6-4f5f-884f-265ce6314341</t>
  </si>
  <si>
    <t>6728</t>
  </si>
  <si>
    <t>806d319d-18c1-4c89-8ee5-fb0c482470ce</t>
  </si>
  <si>
    <t>8594-8595</t>
  </si>
  <si>
    <t>29b57211-8ed6-4338-b700-3de5925c5083</t>
  </si>
  <si>
    <t>6730</t>
  </si>
  <si>
    <t>2cabc5cf-7e41-4170-a99f-48b908be7321</t>
  </si>
  <si>
    <t>6731</t>
  </si>
  <si>
    <t>6b5a50fb-d221-4fa8-a679-c52a05d3627b</t>
  </si>
  <si>
    <t>6741</t>
  </si>
  <si>
    <t>f8fb8124-3291-4094-a8af-cf540b2aad7b</t>
  </si>
  <si>
    <t>6737</t>
  </si>
  <si>
    <t>ca1403a1-013d-4a98-bf42-3022df06e440</t>
  </si>
  <si>
    <t>42f6417b-e788-4f78-b36e-3c822d954e7b</t>
  </si>
  <si>
    <t>3d8bfbb9-3d9a-43ea-a620-4b1a6bb569a4</t>
  </si>
  <si>
    <t>2489-95</t>
  </si>
  <si>
    <t>51fe702b-c894-4c82-a3c5-9e77bce5b56d</t>
  </si>
  <si>
    <t>2496-2524</t>
  </si>
  <si>
    <t>b24ceff2-9e31-482c-b005-3af3af504e53</t>
  </si>
  <si>
    <t>2525-29</t>
  </si>
  <si>
    <t>2dcc00c8-8574-4093-9654-ef2c624856da</t>
  </si>
  <si>
    <t>ae117c87-1a1b-42cb-a5c3-1462961f5f1e</t>
  </si>
  <si>
    <t>5657-64</t>
  </si>
  <si>
    <t>eae3d822-e817-4a41-b453-45a9ca4eb9ad</t>
  </si>
  <si>
    <t>6193-98</t>
  </si>
  <si>
    <t>98eef316-6ef5-4b5a-a5c6-3c4716ac7e23</t>
  </si>
  <si>
    <t>1/340900-341260tg</t>
  </si>
  <si>
    <t>6975-77</t>
  </si>
  <si>
    <t>1367e250-cf6b-42df-8f17-1ef6d7910835</t>
  </si>
  <si>
    <t>Rafael Nahra</t>
  </si>
  <si>
    <t>d49a6b97-dd6f-4787-8172-767f99c4c75a</t>
  </si>
  <si>
    <t>1b44683f-03ee-43a7-9747-c7a6f9dcae24</t>
  </si>
  <si>
    <t>b642301b-5f1d-4bda-a03b-74b5d890c6f1</t>
  </si>
  <si>
    <t>76a4d42c-2c94-4c32-9dc0-c26cfd114f16</t>
  </si>
  <si>
    <t>Israel Riegel</t>
  </si>
  <si>
    <t>37/326150-326150tu</t>
  </si>
  <si>
    <t>4f2af8ee-22ce-47a4-a794-bbc2388e82de</t>
  </si>
  <si>
    <t>b87f9ee5-46b5-4a14-b279-3f2daf4b1ab6</t>
  </si>
  <si>
    <t>2498-2501</t>
  </si>
  <si>
    <t>a322cfac-750a-482d-a75d-7f25da2fb95a</t>
  </si>
  <si>
    <t>2512-16</t>
  </si>
  <si>
    <t>f175d7e8-ce08-42ab-9780-0919a656bf2e</t>
  </si>
  <si>
    <t>27693262-c005-4efd-ac35-c57fea9dc4a3</t>
  </si>
  <si>
    <t>2651-63</t>
  </si>
  <si>
    <t>4b643c3d-9e45-4d39-91fd-fee139f7d701</t>
  </si>
  <si>
    <t>3a9f3bd3-46ce-4b5f-8c36-71df586abeee</t>
  </si>
  <si>
    <t>530be0df-8914-4f22-87e2-55b7457d904a</t>
  </si>
  <si>
    <t>3829-36</t>
  </si>
  <si>
    <t>e24a6472-2bad-4057-942f-c942b0ca571a</t>
  </si>
  <si>
    <t>Vitor Tonini</t>
  </si>
  <si>
    <t>e9bf932c-0769-4b59-8200-9125dc90bb8b</t>
  </si>
  <si>
    <t>Eqto</t>
  </si>
  <si>
    <t>Check</t>
  </si>
  <si>
    <t>7/480441-480726tu</t>
  </si>
  <si>
    <t>10/060348-060391tu</t>
  </si>
  <si>
    <t>17/155308-155757tu</t>
  </si>
  <si>
    <t>17/181359-181450tu</t>
  </si>
  <si>
    <t>19/011180-012293tu</t>
  </si>
  <si>
    <t>19/017820-017985tu</t>
  </si>
  <si>
    <t>19/020938-021376tu</t>
  </si>
  <si>
    <t>19/023421-023862tu</t>
  </si>
  <si>
    <t>19/025128-025372tu</t>
  </si>
  <si>
    <t>19/026118-026494tu</t>
  </si>
  <si>
    <t>19/027907-028153tu</t>
  </si>
  <si>
    <t>19/029865-030608tu</t>
  </si>
  <si>
    <t>19/030874-031822tu</t>
  </si>
  <si>
    <t>19/031920-032116tu</t>
  </si>
  <si>
    <t>19/042101-042255tu</t>
  </si>
  <si>
    <t>19/044999-045200tu</t>
  </si>
  <si>
    <t>19/048289-048697tu</t>
  </si>
  <si>
    <t>19/050000-050557tu</t>
  </si>
  <si>
    <t>19/053036-053865tu</t>
  </si>
  <si>
    <t>19/055140-055720tu</t>
  </si>
  <si>
    <t>19/069258-069559tu</t>
  </si>
  <si>
    <t>19/070255-070789tu</t>
  </si>
  <si>
    <t>19/072073-072333tu</t>
  </si>
  <si>
    <t>19/075867-076149tu</t>
  </si>
  <si>
    <t>19/078046-078475tu</t>
  </si>
  <si>
    <t>19/083073-083349tu</t>
  </si>
  <si>
    <t>19/095041-095327tu</t>
  </si>
  <si>
    <t>21/055399-055953tu</t>
  </si>
  <si>
    <t>21/083515-083745tu</t>
  </si>
  <si>
    <t>21/097300-097682tu</t>
  </si>
  <si>
    <t>49/175745-175856tu</t>
  </si>
  <si>
    <t>55/114033-114271tu</t>
  </si>
  <si>
    <t>55/114804-114935tu</t>
  </si>
  <si>
    <t>55/115417-115593tu</t>
  </si>
  <si>
    <t>55/127771-127992tu</t>
  </si>
  <si>
    <t>56/175754-175846tu</t>
  </si>
  <si>
    <t>56/187526-187826tu</t>
  </si>
  <si>
    <t>56/191531-192052tu</t>
  </si>
  <si>
    <t>61/075104-075156tu</t>
  </si>
  <si>
    <t>92/070722-070901tu</t>
  </si>
  <si>
    <t>92/071963-072139tu</t>
  </si>
  <si>
    <t>92/072947-073255tu</t>
  </si>
  <si>
    <t>92/073475-073564tu</t>
  </si>
  <si>
    <t>92/075774-075839tu</t>
  </si>
  <si>
    <t>92/076252-076402tu</t>
  </si>
  <si>
    <t>92/076814-077021tu</t>
  </si>
  <si>
    <t>92/077378-077504tu</t>
  </si>
  <si>
    <t>92/077648-077794tu</t>
  </si>
  <si>
    <t>92/077897-078201tu</t>
  </si>
  <si>
    <t>92/078665-078918tu</t>
  </si>
  <si>
    <t>92/079909-079984tu</t>
  </si>
  <si>
    <t>92/080267-080375tu</t>
  </si>
  <si>
    <t>92/087079-087146tu</t>
  </si>
  <si>
    <t>92/087365-087446tu</t>
  </si>
  <si>
    <t>92/087987-088119tu</t>
  </si>
  <si>
    <t>92/088359-088564tu</t>
  </si>
  <si>
    <t>92/089565-089709tu</t>
  </si>
  <si>
    <t>92/089823-089991tu</t>
  </si>
  <si>
    <t>92/090321-090468tu</t>
  </si>
  <si>
    <t>92/090586-090681tu</t>
  </si>
  <si>
    <t>92/093264-093364tu</t>
  </si>
  <si>
    <t>92/094558-094667tu</t>
  </si>
  <si>
    <t>92/097613-097844tu</t>
  </si>
  <si>
    <t>92/099283-099331tu</t>
  </si>
  <si>
    <t>92/100732-100953tu</t>
  </si>
  <si>
    <t>92/103043-103271tu</t>
  </si>
  <si>
    <t>LAT/015800-015900tu</t>
  </si>
  <si>
    <t>15/101000-101100tu</t>
  </si>
  <si>
    <t>18/070700-070900tu</t>
  </si>
  <si>
    <t>SUB</t>
  </si>
  <si>
    <t>SUB_2</t>
  </si>
  <si>
    <t>Km NOMINAL</t>
  </si>
  <si>
    <t>kmi</t>
  </si>
  <si>
    <t>kmf</t>
  </si>
  <si>
    <t>EXTENSÃO</t>
  </si>
  <si>
    <t>NOME</t>
  </si>
  <si>
    <t>Pre_Inspecao</t>
  </si>
  <si>
    <t>ID_Cad_Tuneis</t>
  </si>
  <si>
    <t>b5a7dc30-f0ab-4fa8-bd2f-a5f42897502c</t>
  </si>
  <si>
    <t>14eb131a-3231-4f3c-b0a6-789399ae41b9</t>
  </si>
  <si>
    <t>04e106a8-a65a-494c-8896-60372773ac22</t>
  </si>
  <si>
    <t>7/425087-425224tg</t>
  </si>
  <si>
    <t>138468c1-a45a-4db9-8658-a5dc6d8c48a9</t>
  </si>
  <si>
    <t>e183904f-7767-4c8c-b6db-9e702a0ad7d1</t>
  </si>
  <si>
    <t>7/426293-426386tg</t>
  </si>
  <si>
    <t>eed53502-7ad8-4dba-9593-ea315d925d91</t>
  </si>
  <si>
    <t>43ed96c5-10c7-4b08-9a58-fe293e7e6896</t>
  </si>
  <si>
    <t>d542414d-e79f-491b-b94e-8eef217ec178</t>
  </si>
  <si>
    <t>7fc83f75-3a1a-4282-a883-1ec9cd3e7b1f</t>
  </si>
  <si>
    <t>7/480315-480671tg</t>
  </si>
  <si>
    <t>0c660aa1-f8d3-4b1d-b501-7e516b2db7c1</t>
  </si>
  <si>
    <t>6c5206d8-f2bd-4966-ad3b-f8f623972d32</t>
  </si>
  <si>
    <t>7/495472-495732cv</t>
  </si>
  <si>
    <t>1e7ace72-10d1-4886-9355-ccc52ac6aa1c</t>
  </si>
  <si>
    <t>60a76423-e043-4547-927b-f3de73fac2b2</t>
  </si>
  <si>
    <t>ac6d7480-bebe-416e-b62b-eb291eaf902f</t>
  </si>
  <si>
    <t>3560c991-762e-4433-9df8-b73f52813f82</t>
  </si>
  <si>
    <t>c4e795d1-17df-4b70-a370-0c7a5aded669</t>
  </si>
  <si>
    <t>7/503970-504380cv</t>
  </si>
  <si>
    <t>d4890ba8-9721-4377-924c-b34823a9eec9</t>
  </si>
  <si>
    <t>7/505735-505835cv</t>
  </si>
  <si>
    <t>01f1ddc8-5508-4517-a22e-0eee6d4189cd</t>
  </si>
  <si>
    <t>98b3fca2-2696-4e67-b683-9857cefe7cbf</t>
  </si>
  <si>
    <t>74f77ffb-95da-45b2-9723-e720c28d23e7</t>
  </si>
  <si>
    <t>10/052325-052685cv</t>
  </si>
  <si>
    <t>71ff6dbb-c14d-4243-a7f6-778a014a475c</t>
  </si>
  <si>
    <t>10/053465-053640cv</t>
  </si>
  <si>
    <t>2ba17a1f-0354-4539-9fc2-cfece1e6c354</t>
  </si>
  <si>
    <t>5732f211-751a-497a-950c-07cd3e465d7c</t>
  </si>
  <si>
    <t>10/060175-060570cv</t>
  </si>
  <si>
    <t>5f12b2d7-de57-4fa3-bc67-142bbc7142b5</t>
  </si>
  <si>
    <t>a911f0d6-c51a-46a0-af1c-23b3e016afc1</t>
  </si>
  <si>
    <t>e025f2d6-dace-4a8f-a1b8-4d71766ce09a</t>
  </si>
  <si>
    <t>10/063500-063600cv</t>
  </si>
  <si>
    <t>0d812898-ea77-47b1-a8a4-45994dc8ecb6</t>
  </si>
  <si>
    <t>10/064030-064400cv</t>
  </si>
  <si>
    <t>ca33f73b-873c-40d4-82d1-7c314a253e50</t>
  </si>
  <si>
    <t>10/064865-064940cv</t>
  </si>
  <si>
    <t>90424df7-d432-4007-ab7f-e24719342388</t>
  </si>
  <si>
    <t>a083c8b6-67f8-4187-ab55-1e1b93371f56</t>
  </si>
  <si>
    <t>10/065460-065525cv</t>
  </si>
  <si>
    <t>335465f8-04d2-44ae-b199-51b4bf90f009</t>
  </si>
  <si>
    <t>d68a5f2b-c827-4288-98d7-51d7fb38df21</t>
  </si>
  <si>
    <t>24c670b3-7f2a-41f9-940b-04e7e2f7d46f</t>
  </si>
  <si>
    <t>4e3f5734-6073-4a4c-849f-688af70e7848</t>
  </si>
  <si>
    <t>379934df-54f5-4022-bdb4-07e52a3bb816</t>
  </si>
  <si>
    <t>ea63a0f8-c71f-427c-9e59-7de88f3cf57f</t>
  </si>
  <si>
    <t>d9c09e91-6cd5-4914-ad6c-c3663f28587e</t>
  </si>
  <si>
    <t>1245bf9b-92fd-404f-a115-56d669f06213</t>
  </si>
  <si>
    <t>71139015-5eb5-4768-8073-5271e89e6ece</t>
  </si>
  <si>
    <t>011e524f-3134-4b4e-9ade-e4bd38f2b006</t>
  </si>
  <si>
    <t>96a28ef7-3dac-4870-8ee3-20e6c11d2268</t>
  </si>
  <si>
    <t>da7b1fa5-2905-4834-8df4-125c7c1fdae3</t>
  </si>
  <si>
    <t>fe17154d-f2d1-4968-9bdf-4e8bee574a48</t>
  </si>
  <si>
    <t>8da3ce70-d89e-4c9a-bbb7-71d6c7dac98f</t>
  </si>
  <si>
    <t>463d1a40-38c0-4f6b-9a87-c9852842209d</t>
  </si>
  <si>
    <t>0e1bedd2-25b1-4751-a085-cb883433f983</t>
  </si>
  <si>
    <t>c72f38b8-2ad1-4100-8e5d-4b92343b685b</t>
  </si>
  <si>
    <t>0c5a4ad9-f8fb-4569-979e-7074dcc3b06d</t>
  </si>
  <si>
    <t>cf5dadbb-0d16-4ffd-b269-16ff70767b8b</t>
  </si>
  <si>
    <t>dd21cd90-5dad-4c70-a8c5-83d81f6eedd0</t>
  </si>
  <si>
    <t>c5973877-0b92-4f90-b092-ad2c899acc4d</t>
  </si>
  <si>
    <t>0c0824e2-2da5-48a9-9996-318b83981f8e</t>
  </si>
  <si>
    <t>ad9647a9-5e1e-4395-a1ce-ce3142172df0</t>
  </si>
  <si>
    <t>ccce5a04-95d6-4e04-ae8d-cc7fafe30afa</t>
  </si>
  <si>
    <t>056be40e-e131-40a3-8c86-77ffc217e853</t>
  </si>
  <si>
    <t>7b2886fe-0183-412d-8cf9-1c36597b1ef4</t>
  </si>
  <si>
    <t>89149130-6bae-479b-a7b4-fbef4c7ee30c</t>
  </si>
  <si>
    <t>8bb2ca93-e7b4-4138-8edd-b293475ef3df</t>
  </si>
  <si>
    <t>969082a2-97f9-47f0-afce-585255ea760c</t>
  </si>
  <si>
    <t>bd829f26-1965-40b0-8ee3-7f290ac5e5f3</t>
  </si>
  <si>
    <t>431f64b3-2c09-46b7-9fbf-c7e1bd0f552d</t>
  </si>
  <si>
    <t>4882760a-b5a7-4f52-97b5-09b33529ac01</t>
  </si>
  <si>
    <t>7ff44396-6bde-410e-aa48-b7b4b0d4236d</t>
  </si>
  <si>
    <t>a0e90775-9a28-4f62-a6a3-3ddd8179d3a3</t>
  </si>
  <si>
    <t>f04ad63d-3d24-4ad4-9f45-e1c48d68229c</t>
  </si>
  <si>
    <t>5f273b7f-ca3f-4cf0-994e-01e05929a11e</t>
  </si>
  <si>
    <t>31818f3d-ff05-4e3a-8aec-f18e1453fe46</t>
  </si>
  <si>
    <t>36842a75-4b84-4cca-9bb8-6423d7827699</t>
  </si>
  <si>
    <t>d9fd00a1-ad47-4764-8c33-602bbf2a4fa3</t>
  </si>
  <si>
    <t>17/155400-155570cv</t>
  </si>
  <si>
    <t>e15010d9-c270-44ec-9b12-9558e6e113dd</t>
  </si>
  <si>
    <t>b0b2baf4-5d0b-4489-a950-fa7b391c38b0</t>
  </si>
  <si>
    <t>f5571b3e-969e-46d7-8aef-9abb017f7c86</t>
  </si>
  <si>
    <t>d48a0a70-e2f2-485b-9bea-dd635d620adb</t>
  </si>
  <si>
    <t>4d00209c-5ab6-4cc8-9189-05973cb6f6cd</t>
  </si>
  <si>
    <t>99788ba8-91e9-4ac3-add1-d36db960847b</t>
  </si>
  <si>
    <t>12fdc9b4-c8fa-4516-9521-c9e6ee619f7c</t>
  </si>
  <si>
    <t>17/180980-181500cv</t>
  </si>
  <si>
    <t>0f54483e-3d3d-488c-8219-79e87ce8a487</t>
  </si>
  <si>
    <t>aa93a910-ec3f-4373-aaaf-63adc3bd3e62</t>
  </si>
  <si>
    <t>7136bbdf-6f33-4cbf-a941-cf80100ada76</t>
  </si>
  <si>
    <t>348c8dd8-3a2d-410a-b73c-7fcde89db35a</t>
  </si>
  <si>
    <t>3ce889f1-247e-4532-b819-52fbc8d76242</t>
  </si>
  <si>
    <t>9001863b-bf62-4098-81ef-6a7402607593</t>
  </si>
  <si>
    <t>c438ab63-2d61-4243-bf66-dcdf942d88fb</t>
  </si>
  <si>
    <t>cfc1a735-4709-40e9-9c6b-43466ae52b55</t>
  </si>
  <si>
    <t>dadb4d33-df96-4363-bbd8-4b6914aeb47b</t>
  </si>
  <si>
    <t>cfeff216-d3d3-48b3-95d2-67cb59160388</t>
  </si>
  <si>
    <t>b522da58-3ad4-467c-a180-79215fcf44c0</t>
  </si>
  <si>
    <t>964c4b78-5328-4158-bf6b-0ea84bb75548</t>
  </si>
  <si>
    <t>b72e5edc-f895-462d-a335-a091ec73d13e</t>
  </si>
  <si>
    <t>34435fef-6ee7-48df-a7ab-1fa726255391</t>
  </si>
  <si>
    <t>2340d253-42df-4375-a859-0bff746baba0</t>
  </si>
  <si>
    <t>606fa957-2858-4706-8045-85e9ff8c18e9</t>
  </si>
  <si>
    <t>a90c52a6-003a-45b7-9456-d2d4897af3e6</t>
  </si>
  <si>
    <t>ec7d23cf-4aae-457c-9ba7-1da957fb3d7c</t>
  </si>
  <si>
    <t>5663343c-21c7-4057-ac17-d4c3501baf64</t>
  </si>
  <si>
    <t>4209a011-7b15-4517-ac5a-3adc99a4b1dc</t>
  </si>
  <si>
    <t>7fe378ae-fafe-4f05-99a4-e00a6f2c1be1</t>
  </si>
  <si>
    <t>876eede8-c611-4038-a630-3eca2534368f</t>
  </si>
  <si>
    <t>3ec3fd38-f7e3-4277-a595-6b00ef9681e3</t>
  </si>
  <si>
    <t>75fcc929-00e8-4416-94a0-e5888a7d30a2</t>
  </si>
  <si>
    <t>9abb58d2-7412-4373-9dce-b5ec89e00a1e</t>
  </si>
  <si>
    <t>dc7a0b88-8f2f-49b5-bae7-0dcd3c953723</t>
  </si>
  <si>
    <t>d6cf82e2-c512-4693-b093-82faecad6a07</t>
  </si>
  <si>
    <t>c9aee228-bb89-47d6-afc9-e51cae0c2196</t>
  </si>
  <si>
    <t>e63972f5-1a3c-4aa7-b236-993aeeff1492</t>
  </si>
  <si>
    <t>c25b4d70-fcb1-4cd1-b1df-13dc7765f73c</t>
  </si>
  <si>
    <t>79baecd7-f544-4f44-94d0-4d4730db085b</t>
  </si>
  <si>
    <t>e55118d3-4012-442d-89c0-31f46a15fb26</t>
  </si>
  <si>
    <t>3ebac1c9-6914-46cf-a99c-39790775d361</t>
  </si>
  <si>
    <t>209470b3-51eb-4b43-876a-f3d337d98cc2</t>
  </si>
  <si>
    <t>ea1ac2cf-3321-44b6-bbdc-b7c36640c3d5</t>
  </si>
  <si>
    <t>4c85a447-a54b-484a-be76-def9d073a21d</t>
  </si>
  <si>
    <t>21/055471-055940tg</t>
  </si>
  <si>
    <t>NRO-NGL</t>
  </si>
  <si>
    <t>182fedf6-6fde-499f-b3ef-1e2780ee05fc</t>
  </si>
  <si>
    <t>21/083220-084200tg</t>
  </si>
  <si>
    <t>516afa16-5897-4154-bb70-f524870946ed</t>
  </si>
  <si>
    <t>21/097180-097630tg</t>
  </si>
  <si>
    <t>c65d4e4f-13aa-440c-927a-4381e6927e9c</t>
  </si>
  <si>
    <t>f360799b-43d5-4cbe-ae00-5a479dd0f0ed</t>
  </si>
  <si>
    <t>NGB-NRH</t>
  </si>
  <si>
    <t>e6116b9c-b7b6-47d5-9ff4-913c69829960</t>
  </si>
  <si>
    <t>56/49</t>
  </si>
  <si>
    <t>49/175780-175840tg</t>
  </si>
  <si>
    <t>TÚNEL 32 B</t>
  </si>
  <si>
    <t>ZKE-ZYU</t>
  </si>
  <si>
    <t>831d9266-3dc3-4503-a809-9ab05275bb7a</t>
  </si>
  <si>
    <t>55/48</t>
  </si>
  <si>
    <t>55/113950-114276tg</t>
  </si>
  <si>
    <t>TÚNEL 31</t>
  </si>
  <si>
    <t>ZWI-ZKE</t>
  </si>
  <si>
    <t>a7fb4f45-39eb-4040-97a5-817a06a5ab3a</t>
  </si>
  <si>
    <t>55/114678-114880cv</t>
  </si>
  <si>
    <t>TÚNEL 30</t>
  </si>
  <si>
    <t>1ef6ad6c-a833-4660-b969-74d1d40a93f3</t>
  </si>
  <si>
    <t>55/115430-115650cv</t>
  </si>
  <si>
    <t>TÚNEL 29</t>
  </si>
  <si>
    <t>9e5ed578-1c37-4f1d-b8e1-ba5814d61bcd</t>
  </si>
  <si>
    <t>55/127802-128030cv</t>
  </si>
  <si>
    <t>TÚNEL 28</t>
  </si>
  <si>
    <t>ZEV-ZWI</t>
  </si>
  <si>
    <t>38fff7f3-0657-49e9-bcc7-e4762ebbdf5b</t>
  </si>
  <si>
    <t>56/175780-175840tg</t>
  </si>
  <si>
    <t>TÚNEL 32 A</t>
  </si>
  <si>
    <t>85d79cb9-c404-4fd7-a62c-1132632a2e1a</t>
  </si>
  <si>
    <t>56/187445-187800cv</t>
  </si>
  <si>
    <t>TÚNEL 33</t>
  </si>
  <si>
    <t>377d7f17-fd91-4ec0-9ea1-eedf6c005d42</t>
  </si>
  <si>
    <t>56/191730-191960tg</t>
  </si>
  <si>
    <t>TÚNEL 34</t>
  </si>
  <si>
    <t>972b6031-9f1a-4d62-b467-51fb6c150958</t>
  </si>
  <si>
    <t>52,0</t>
  </si>
  <si>
    <t>61/073900-075600tg</t>
  </si>
  <si>
    <t>TÚNEL 35</t>
  </si>
  <si>
    <t>CBA</t>
  </si>
  <si>
    <t>79d039e0-ea4a-4784-a27b-cc049ff36ac4</t>
  </si>
  <si>
    <t>54/92</t>
  </si>
  <si>
    <t>92/070620-071000cv</t>
  </si>
  <si>
    <t>TÚNEL 27</t>
  </si>
  <si>
    <t>ZPT-ZEV</t>
  </si>
  <si>
    <t>c1d5bd2a-d33a-413d-ac47-0117a360c92f</t>
  </si>
  <si>
    <t>92/072000-072368cv</t>
  </si>
  <si>
    <t>TÚNEL 26</t>
  </si>
  <si>
    <t>e59496c2-1872-481b-a676-2e421dfba005</t>
  </si>
  <si>
    <t>92/073089-073139tg</t>
  </si>
  <si>
    <t>TÚNEL 25</t>
  </si>
  <si>
    <t>5d22d767-7bff-463a-ada1-894077249206</t>
  </si>
  <si>
    <t>92/073409-073694cv</t>
  </si>
  <si>
    <t>TÚNEL 24</t>
  </si>
  <si>
    <t>3c28a77c-81a9-4d44-8dfa-87bc5f94ad8d</t>
  </si>
  <si>
    <t>92/075792-076072cv</t>
  </si>
  <si>
    <t>TÚNEL 23</t>
  </si>
  <si>
    <t>1286b534-f19e-46e8-ae91-a3aae61ae2da</t>
  </si>
  <si>
    <t>92/076322-076492cv</t>
  </si>
  <si>
    <t>TÚNEL 22</t>
  </si>
  <si>
    <t>48ee3eca-9b82-4ca3-93c6-aa0d02031b70</t>
  </si>
  <si>
    <t>92/076812-076942cv</t>
  </si>
  <si>
    <t>TÚNEL 21</t>
  </si>
  <si>
    <t>075f5e9d-d7f6-4d2d-b743-a99bc7195f38</t>
  </si>
  <si>
    <t>92/077174-077684cv</t>
  </si>
  <si>
    <t>TÚNEL 20</t>
  </si>
  <si>
    <t>484d8be3-69b1-4b05-9f48-8ca4b060a754</t>
  </si>
  <si>
    <t>92/077684-078141tg</t>
  </si>
  <si>
    <t>TÚNEL 19</t>
  </si>
  <si>
    <t>173eb18f-5dc3-400d-aa02-0a0a8ecaa228</t>
  </si>
  <si>
    <t>TÚNEL 18</t>
  </si>
  <si>
    <t>22ecfbb2-c806-48d2-a321-67249ec8109d</t>
  </si>
  <si>
    <t>92/078741-079329tg</t>
  </si>
  <si>
    <t>TÚNEL 17</t>
  </si>
  <si>
    <t>20f6c791-0613-443f-84ba-a6303ca5fdf1</t>
  </si>
  <si>
    <t>92/079744-080079cv</t>
  </si>
  <si>
    <t>TÚNEL 16</t>
  </si>
  <si>
    <t>d8dfb3c2-7efd-4245-8666-3186b38e8392</t>
  </si>
  <si>
    <t>92/080129-080329cv</t>
  </si>
  <si>
    <t>TÚNEL 15</t>
  </si>
  <si>
    <t>61debedf-2949-4f47-9a4f-8eac5e368443</t>
  </si>
  <si>
    <t>92/087000-087220cv</t>
  </si>
  <si>
    <t>TÚNEL 14</t>
  </si>
  <si>
    <t>7e669010-65d0-45c5-84c6-fc920845cbb2</t>
  </si>
  <si>
    <t>92/087334-087514cv</t>
  </si>
  <si>
    <t>TÚNEL 13</t>
  </si>
  <si>
    <t>31927eb0-4367-4192-b9d0-0a678be4dd02</t>
  </si>
  <si>
    <t>92/088000-088159cv</t>
  </si>
  <si>
    <t>TÚNEL 12</t>
  </si>
  <si>
    <t>7b04f946-db1e-4ad0-be21-fe3fb36829f5</t>
  </si>
  <si>
    <t>92/088319-088669tg</t>
  </si>
  <si>
    <t>TÚNEL 11</t>
  </si>
  <si>
    <t>990548ab-8d75-4898-8347-61a1927d40cc</t>
  </si>
  <si>
    <t>92/089505-089720cv</t>
  </si>
  <si>
    <t>TÚNEL 10</t>
  </si>
  <si>
    <t>57df4579-ea09-4340-8d61-2f7efbcef471</t>
  </si>
  <si>
    <t>92/089840-090262cv</t>
  </si>
  <si>
    <t>TÚNEL 9</t>
  </si>
  <si>
    <t>c10ba89d-bea5-432e-b262-3be13dcc4688</t>
  </si>
  <si>
    <t>92/090362-090562cv</t>
  </si>
  <si>
    <t>TÚNEL 8</t>
  </si>
  <si>
    <t>34903c80-b24c-4b41-81cc-ab597e76092a</t>
  </si>
  <si>
    <t>92/090562-090662tg</t>
  </si>
  <si>
    <t>TÚNEL 7</t>
  </si>
  <si>
    <t>90a38ca0-d664-459b-b0e1-faaea56f9c4e</t>
  </si>
  <si>
    <t>92/093290-093950cv</t>
  </si>
  <si>
    <t>TÚNEL 6</t>
  </si>
  <si>
    <t>2877f1e3-af1c-445d-9d56-d1dda53e88b0</t>
  </si>
  <si>
    <t>92/094579-094934cv</t>
  </si>
  <si>
    <t>TÚNEL 5</t>
  </si>
  <si>
    <t>72171798-b1d2-48b4-8dd6-68336cc3c722</t>
  </si>
  <si>
    <t>92/097710-098035tg</t>
  </si>
  <si>
    <t>TÚNEL 4</t>
  </si>
  <si>
    <t>815ce9cd-dc98-47ed-8694-84b2614b1849</t>
  </si>
  <si>
    <t>92/099156-099626cv</t>
  </si>
  <si>
    <t>TÚNEL 3</t>
  </si>
  <si>
    <t>818c1b94-5f0a-4fe6-95a4-9374e4bd3368</t>
  </si>
  <si>
    <t>92/100250-100870cv</t>
  </si>
  <si>
    <t>TÚNEL 2</t>
  </si>
  <si>
    <t>75fca6cd-bd60-4d9b-a77e-d84e70198760</t>
  </si>
  <si>
    <t>92/103099-103279cv</t>
  </si>
  <si>
    <t>TÚNEL 1</t>
  </si>
  <si>
    <t>f02152b5-f84e-42c4-b0b5-741aab84a84c</t>
  </si>
  <si>
    <t>103/1525000-1525164cv</t>
  </si>
  <si>
    <t>ZXX-POS</t>
  </si>
  <si>
    <t>103/1525164-1525796tg</t>
  </si>
  <si>
    <t>103/1525796-1526335cv</t>
  </si>
  <si>
    <t>103/1526335-1526785tg</t>
  </si>
  <si>
    <t>103/1526785-1527314cv</t>
  </si>
  <si>
    <t>103/1527314-1527883tg</t>
  </si>
  <si>
    <t>103/1527883-1528282cv</t>
  </si>
  <si>
    <t>103/1528282-1528493tg</t>
  </si>
  <si>
    <t>103/1528493-1528817cv</t>
  </si>
  <si>
    <t>103/1528817-1529052tg</t>
  </si>
  <si>
    <t>103/1529052-1529509cv</t>
  </si>
  <si>
    <t>103/1529509-1529540tg</t>
  </si>
  <si>
    <t>103/1529540-1530177cv</t>
  </si>
  <si>
    <t>103/1530177-1530607tg</t>
  </si>
  <si>
    <t>103/1530607-1531047cv</t>
  </si>
  <si>
    <t>103/1531047-1531078tg</t>
  </si>
  <si>
    <t>103/1531078-1531545cv</t>
  </si>
  <si>
    <t>103/1531545-1531574tg</t>
  </si>
  <si>
    <t>103/1531574-1532164cv</t>
  </si>
  <si>
    <t>103/1532164-1532203tg</t>
  </si>
  <si>
    <t>103/1532203-1532735cv</t>
  </si>
  <si>
    <t>103/1532735-1532876tg</t>
  </si>
  <si>
    <t>103/1532876-1533132cv</t>
  </si>
  <si>
    <t>103/1533132-1533472tg</t>
  </si>
  <si>
    <t>103/1533472-1533900cv</t>
  </si>
  <si>
    <t>103/1533900-1533934tg</t>
  </si>
  <si>
    <t>103/1533934-1534343cv</t>
  </si>
  <si>
    <t>103/1534343-1534746tg</t>
  </si>
  <si>
    <t>103/1534746-1535163cv</t>
  </si>
  <si>
    <t>103/1535163-1535202tg</t>
  </si>
  <si>
    <t>103/1535202-1535565cv</t>
  </si>
  <si>
    <t>103/1535565-1535593tg</t>
  </si>
  <si>
    <t>103/1535593-1536118cv</t>
  </si>
  <si>
    <t>103/1536118-1536181tg</t>
  </si>
  <si>
    <t>103/1536181-1536565cv</t>
  </si>
  <si>
    <t>103/1536565-1536765tg</t>
  </si>
  <si>
    <t>103/1536765-1537381cv</t>
  </si>
  <si>
    <t>103/1537381-1537487tg</t>
  </si>
  <si>
    <t>103/1537487-1537900cv</t>
  </si>
  <si>
    <t>103/1537900-1538060tg</t>
  </si>
  <si>
    <t>103/1538060-1538321cv</t>
  </si>
  <si>
    <t>103/1538321-1538434tg</t>
  </si>
  <si>
    <t>103/1538434-1538911cv</t>
  </si>
  <si>
    <t>103/1538911-1538983tg</t>
  </si>
  <si>
    <t>103/1538983-1539425cv</t>
  </si>
  <si>
    <t>103/1539425-1540263tg</t>
  </si>
  <si>
    <t>103/1540263-1540954cv</t>
  </si>
  <si>
    <t>103/1540954-1541054tg</t>
  </si>
  <si>
    <t>103/1541054-1541646cv</t>
  </si>
  <si>
    <t>103/1541646-1541709tg</t>
  </si>
  <si>
    <t>103/1541709-1542140cv</t>
  </si>
  <si>
    <t>103/1542140-1542307tg</t>
  </si>
  <si>
    <t>103/1542307-1542514cv</t>
  </si>
  <si>
    <t>103/1542514-1542801tg</t>
  </si>
  <si>
    <t>103/1542801-1543350cv</t>
  </si>
  <si>
    <t>103/1543350-1543388tg</t>
  </si>
  <si>
    <t>103/1543388-1543822cv</t>
  </si>
  <si>
    <t>103/1543822-1543870tg</t>
  </si>
  <si>
    <t>103/1543870-1544501cv</t>
  </si>
  <si>
    <t>103/1544501-1544582tg</t>
  </si>
  <si>
    <t>103/1544582-1544906cv</t>
  </si>
  <si>
    <t>103/1544906-1545266tg</t>
  </si>
  <si>
    <t>103/1545266-1545594cv</t>
  </si>
  <si>
    <t>103/1545594-1545856tg</t>
  </si>
  <si>
    <t>103/1545856-1546321cv</t>
  </si>
  <si>
    <t>103/1546321-1546809tg</t>
  </si>
  <si>
    <t>103/1546809-1547620cv</t>
  </si>
  <si>
    <t>103/1547620-1547719tg</t>
  </si>
  <si>
    <t>103/1547719-1548130cv</t>
  </si>
  <si>
    <t>103/1548130-1548380tg</t>
  </si>
  <si>
    <t>103/1548380-1549112cv</t>
  </si>
  <si>
    <t>103/1549112-1549174tg</t>
  </si>
  <si>
    <t>103/1549174-1549526cv</t>
  </si>
  <si>
    <t>103/1549526-1550014tg</t>
  </si>
  <si>
    <t>103/1550014-1550626cv</t>
  </si>
  <si>
    <t>103/1550626-1550813tg</t>
  </si>
  <si>
    <t>103/1550813-1551354cv</t>
  </si>
  <si>
    <t>103/1551354-1551449tg</t>
  </si>
  <si>
    <t>103/1551449-1552785cv</t>
  </si>
  <si>
    <t>103/1552785-1552867tg</t>
  </si>
  <si>
    <t>103/1552867-1553269cv</t>
  </si>
  <si>
    <t>103/1553269-1553328tg</t>
  </si>
  <si>
    <t>103/1553328-1553699cv</t>
  </si>
  <si>
    <t>103/1553699-1554323tg</t>
  </si>
  <si>
    <t>103/1554323-1554521cv</t>
  </si>
  <si>
    <t>103/1554521-1554577tg</t>
  </si>
  <si>
    <t>103/1554577-1554951cv</t>
  </si>
  <si>
    <t>103/1554951-1555128tg</t>
  </si>
  <si>
    <t>103/1555128-1555712cv</t>
  </si>
  <si>
    <t>103/1555712-1556288tg</t>
  </si>
  <si>
    <t>103/1556288-1556578cv</t>
  </si>
  <si>
    <t>103/1556578-1556800tg</t>
  </si>
  <si>
    <t>103/1556800-1556991cv</t>
  </si>
  <si>
    <t>103/1556991-1558145tg</t>
  </si>
  <si>
    <t>103/1558145-1558614cv</t>
  </si>
  <si>
    <t>103/1558614-1559076tg</t>
  </si>
  <si>
    <t>103/1559076-1559765cv</t>
  </si>
  <si>
    <t>103/1559765-1560341tg</t>
  </si>
  <si>
    <t>103/1560341-1561216cv</t>
  </si>
  <si>
    <t>103/1561216-1561484tg</t>
  </si>
  <si>
    <t>103/1561484-1562259cv</t>
  </si>
  <si>
    <t>103/1562259-1563051tg</t>
  </si>
  <si>
    <t>103/1563051-1563547cv</t>
  </si>
  <si>
    <t>103/1563547-1564072tg</t>
  </si>
  <si>
    <t>103/1564072-1564635cv</t>
  </si>
  <si>
    <t>103/1564635-1564847tg</t>
  </si>
  <si>
    <t>103/1564847-1565670cv</t>
  </si>
  <si>
    <t>103/1565670-1566021tg</t>
  </si>
  <si>
    <t>103/1566021-1566445cv</t>
  </si>
  <si>
    <t>103/1566445-1566479tg</t>
  </si>
  <si>
    <t>103/1566479-1567585cv</t>
  </si>
  <si>
    <t>103/1567585-1567827tg</t>
  </si>
  <si>
    <t>103/1567827-1568965cv</t>
  </si>
  <si>
    <t>103/1568965-1569009tg</t>
  </si>
  <si>
    <t>103/1569009-1569890cv</t>
  </si>
  <si>
    <t>103/1569890-1570047tg</t>
  </si>
  <si>
    <t>103/1570047-1570326cv</t>
  </si>
  <si>
    <t>103/1570326-1570614tg</t>
  </si>
  <si>
    <t>103/1570614-1571032cv</t>
  </si>
  <si>
    <t>103/1571032-1571065tg</t>
  </si>
  <si>
    <t>103/1571065-1571879cv</t>
  </si>
  <si>
    <t>103/1571879-1571935tg</t>
  </si>
  <si>
    <t>103/1571935-1572320cv</t>
  </si>
  <si>
    <t>103/1572320-1572381tg</t>
  </si>
  <si>
    <t>103/1572381-1572735cv</t>
  </si>
  <si>
    <t>103/1572735-1573091tg</t>
  </si>
  <si>
    <t>103/1573091-1573578cv</t>
  </si>
  <si>
    <t>103/1573578-1573686tg</t>
  </si>
  <si>
    <t>103/1573686-1574244cv</t>
  </si>
  <si>
    <t>103/1574244-1574486tg</t>
  </si>
  <si>
    <t>103/1574486-1574852cv</t>
  </si>
  <si>
    <t>103/1574852-1575064tg</t>
  </si>
  <si>
    <t>103/1575064-1575512cv</t>
  </si>
  <si>
    <t>103/1575512-1575582tg</t>
  </si>
  <si>
    <t>103/1575582-1575920cv</t>
  </si>
  <si>
    <t>103/1575920-1575984tg</t>
  </si>
  <si>
    <t>103/1575984-1576528cv</t>
  </si>
  <si>
    <t>103/1576528-1576742tg</t>
  </si>
  <si>
    <t>103/1576742-1577101cv</t>
  </si>
  <si>
    <t>103/1577101-1577619tg</t>
  </si>
  <si>
    <t>103/1577619-1577766cv</t>
  </si>
  <si>
    <t>103/1577766-1578240tg</t>
  </si>
  <si>
    <t>103/1578240-1578890cv</t>
  </si>
  <si>
    <t>103/1578890-1578922tg</t>
  </si>
  <si>
    <t>103/1578922-1579553cv</t>
  </si>
  <si>
    <t>103/1579553-1579655tg</t>
  </si>
  <si>
    <t>103/1579655-1580409cv</t>
  </si>
  <si>
    <t>103/1580409-1580762tg</t>
  </si>
  <si>
    <t>103/1580762-1581219cv</t>
  </si>
  <si>
    <t>103/1581219-1581359tg</t>
  </si>
  <si>
    <t>103/1581359-1581852cv</t>
  </si>
  <si>
    <t>103/1581852-1581997tg</t>
  </si>
  <si>
    <t>103/1581997-1582380cv</t>
  </si>
  <si>
    <t>103/1582380-1582451tg</t>
  </si>
  <si>
    <t>103/1582451-1583011cv</t>
  </si>
  <si>
    <t>103/1583011-1583225tg</t>
  </si>
  <si>
    <t>103/1583225-1583640cv</t>
  </si>
  <si>
    <t>103/1583640-1583886tg</t>
  </si>
  <si>
    <t>103/1583886-1584445cv</t>
  </si>
  <si>
    <t>103/1584445-1584665tg</t>
  </si>
  <si>
    <t>103/1584665-1585655cv</t>
  </si>
  <si>
    <t>103/1585655-1585872tg</t>
  </si>
  <si>
    <t>103/1585872-1586549cv</t>
  </si>
  <si>
    <t>103/1586549-1586579tg</t>
  </si>
  <si>
    <t>103/1586579-1587482cv</t>
  </si>
  <si>
    <t>103/1587482-1588324tg</t>
  </si>
  <si>
    <t>103/1588324-1588787cv</t>
  </si>
  <si>
    <t>103/1588787-1588856tg</t>
  </si>
  <si>
    <t>103/1588856-1589441cv</t>
  </si>
  <si>
    <t>103/1589441-1589472tg</t>
  </si>
  <si>
    <t>103/1589472-1590184cv</t>
  </si>
  <si>
    <t>103/1590184-1590218tg</t>
  </si>
  <si>
    <t>103/1590218-1591014cv</t>
  </si>
  <si>
    <t>103/1591014-1591049tg</t>
  </si>
  <si>
    <t>103/1591049-1591324cv</t>
  </si>
  <si>
    <t>103/1591324-1591355tg</t>
  </si>
  <si>
    <t>103/1591355-1591850cv</t>
  </si>
  <si>
    <t>103/1591850-1591886tg</t>
  </si>
  <si>
    <t>103/1591886-1592293cv</t>
  </si>
  <si>
    <t>103/1592293-1592324tg</t>
  </si>
  <si>
    <t>103/1592324-1592773cv</t>
  </si>
  <si>
    <t>103/1592773-1592878tg</t>
  </si>
  <si>
    <t>103/1592878-1593329cv</t>
  </si>
  <si>
    <t>103/1593329-1593378tg</t>
  </si>
  <si>
    <t>103/1593378-1594040cv</t>
  </si>
  <si>
    <t>103/1594040-1594206tg</t>
  </si>
  <si>
    <t>103/1594206-1595098cv</t>
  </si>
  <si>
    <t>103/1595098-1595203tg</t>
  </si>
  <si>
    <t>103/1595203-1595574cv</t>
  </si>
  <si>
    <t>103/1595574-1595744tg</t>
  </si>
  <si>
    <t>103/1595744-1596214cv</t>
  </si>
  <si>
    <t>103/1596214-1596307tg</t>
  </si>
  <si>
    <t>103/1596307-1596602cv</t>
  </si>
  <si>
    <t>103/1596602-1596653tg</t>
  </si>
  <si>
    <t>103/1596653-1597351cv</t>
  </si>
  <si>
    <t>103/1597351-1597702tg</t>
  </si>
  <si>
    <t>103/1597702-1598115cv</t>
  </si>
  <si>
    <t>103/1598115-1598577tg</t>
  </si>
  <si>
    <t>103/1598577-1598865cv</t>
  </si>
  <si>
    <t>103/1598865-1599149tg</t>
  </si>
  <si>
    <t>103/1599149-1599473cv</t>
  </si>
  <si>
    <t>103/1599473-1599690tg</t>
  </si>
  <si>
    <t>103/1599690-1600381cv</t>
  </si>
  <si>
    <t>103/1600381-1600801tg</t>
  </si>
  <si>
    <t>103/1600801-1601115cv</t>
  </si>
  <si>
    <t>103/1601115-1601144tg</t>
  </si>
  <si>
    <t>103/1601144-1601853cv</t>
  </si>
  <si>
    <t>103/1601853-1601882tg</t>
  </si>
  <si>
    <t>103/1601882-1602314cv</t>
  </si>
  <si>
    <t>103/1602314-1602343tg</t>
  </si>
  <si>
    <t>103/1602343-1602807cv</t>
  </si>
  <si>
    <t>103/1602807-1602893tg</t>
  </si>
  <si>
    <t>103/1602893-1603181cv</t>
  </si>
  <si>
    <t>103/1603181-1603230tg</t>
  </si>
  <si>
    <t>103/1603230-1603810cv</t>
  </si>
  <si>
    <t>103/1603810-1603878tg</t>
  </si>
  <si>
    <t>103/1603878-1604450cv</t>
  </si>
  <si>
    <t>103/1604450-1604496tg</t>
  </si>
  <si>
    <t>103/1604496-1604927cv</t>
  </si>
  <si>
    <t>103/1604927-1605067tg</t>
  </si>
  <si>
    <t>103/1605067-1605729cv</t>
  </si>
  <si>
    <t>103/1605729-1605800tg</t>
  </si>
  <si>
    <t>103/1605800-1606064cv</t>
  </si>
  <si>
    <t>103/1606064-1607030tg</t>
  </si>
  <si>
    <t>103/1607030-1607590cv</t>
  </si>
  <si>
    <t>103/1607590-1607921tg</t>
  </si>
  <si>
    <t>103/1607921-1609096cv</t>
  </si>
  <si>
    <t>103/1609096-1609272tg</t>
  </si>
  <si>
    <t>103/1609272-1609725cv</t>
  </si>
  <si>
    <t>103/1609725-1609853tg</t>
  </si>
  <si>
    <t>103/1609853-1610712cv</t>
  </si>
  <si>
    <t>103/1610712-1611171tg</t>
  </si>
  <si>
    <t>103/1611171-1612035cv</t>
  </si>
  <si>
    <t>103/1612035-1612292tg</t>
  </si>
  <si>
    <t>103/1612292-1612640cv</t>
  </si>
  <si>
    <t>103/1612640-1612818tg</t>
  </si>
  <si>
    <t>103/1612818-1613463cv</t>
  </si>
  <si>
    <t>103/1613463-1614362tg</t>
  </si>
  <si>
    <t>103/1614362-1614829cv</t>
  </si>
  <si>
    <t>103/1614829-1614950tg</t>
  </si>
  <si>
    <t>103/1614950-1615463cv</t>
  </si>
  <si>
    <t>103/1615463-1615955tg</t>
  </si>
  <si>
    <t>103/1615955-1616291cv</t>
  </si>
  <si>
    <t>103/1616291-1616768tg</t>
  </si>
  <si>
    <t>103/1616768-1617011cv</t>
  </si>
  <si>
    <t>103/1617011-1617373tg</t>
  </si>
  <si>
    <t>103/1617373-1617984cv</t>
  </si>
  <si>
    <t>103/1617984-1618015tg</t>
  </si>
  <si>
    <t>103/1618015-1618678cv</t>
  </si>
  <si>
    <t>103/1618678-1618750tg</t>
  </si>
  <si>
    <t>103/1618750-1619108cv</t>
  </si>
  <si>
    <t>103/1619108-1619508tg</t>
  </si>
  <si>
    <t>103/1619508-1619811cv</t>
  </si>
  <si>
    <t>103/1619811-1619938tg</t>
  </si>
  <si>
    <t>103/1619938-1620607cv</t>
  </si>
  <si>
    <t>103/1620607-1620843tg</t>
  </si>
  <si>
    <t>103/1620843-1621293cv</t>
  </si>
  <si>
    <t>103/1621293-1621416tg</t>
  </si>
  <si>
    <t>103/1621416-1622261cv</t>
  </si>
  <si>
    <t>103/1622261-1622293tg</t>
  </si>
  <si>
    <t>103/1622293-1623365cv</t>
  </si>
  <si>
    <t>103/1623365-1623624tg</t>
  </si>
  <si>
    <t>103/1623624-1623962cv</t>
  </si>
  <si>
    <t>103/1623962-1624071tg</t>
  </si>
  <si>
    <t>103/1624071-1624530cv</t>
  </si>
  <si>
    <t>103/1624530-1624563tg</t>
  </si>
  <si>
    <t>103/1624563-1625292cv</t>
  </si>
  <si>
    <t>103/1625292-1625333tg</t>
  </si>
  <si>
    <t>103/1625333-1625875cv</t>
  </si>
  <si>
    <t>103/1625875-1625948tg</t>
  </si>
  <si>
    <t>103/1625948-1626459cv</t>
  </si>
  <si>
    <t>103/1626459-1626672tg</t>
  </si>
  <si>
    <t>103/1626672-1627163cv</t>
  </si>
  <si>
    <t>103/1627163-1627280tg</t>
  </si>
  <si>
    <t>103/1627280-1627731cv</t>
  </si>
  <si>
    <t>103/1627731-1627921tg</t>
  </si>
  <si>
    <t>103/1627921-1628184cv</t>
  </si>
  <si>
    <t>103/1628184-1628498tg</t>
  </si>
  <si>
    <t>103/1628498-1628987cv</t>
  </si>
  <si>
    <t>103/1628987-1629035tg</t>
  </si>
  <si>
    <t>103/1629035-1629620cv</t>
  </si>
  <si>
    <t>103/1629620-1630534tg</t>
  </si>
  <si>
    <t>103/1630534-1631411cv</t>
  </si>
  <si>
    <t>103/1631411-1633834tg</t>
  </si>
  <si>
    <t>103/1633834-1634345cv</t>
  </si>
  <si>
    <t>103/1634345-1635224tg</t>
  </si>
  <si>
    <t>103/1635224-1635968cv</t>
  </si>
  <si>
    <t>103/1635968-1638545tg</t>
  </si>
  <si>
    <t>103/1638545-1638890cv</t>
  </si>
  <si>
    <t>103/1638890-1639050tg</t>
  </si>
  <si>
    <t>103/1639050-1640014cv</t>
  </si>
  <si>
    <t>103/1640014-1640907tg</t>
  </si>
  <si>
    <t>103/1640907-1641761cv</t>
  </si>
  <si>
    <t>103/1641761-1641920tg</t>
  </si>
  <si>
    <t>103/1641920-1642367cv</t>
  </si>
  <si>
    <t>103/1642367-1642401tg</t>
  </si>
  <si>
    <t>103/1642401-1643148cv</t>
  </si>
  <si>
    <t>103/1643148-1643379tg</t>
  </si>
  <si>
    <t>103/1643379-1643758cv</t>
  </si>
  <si>
    <t>103/1643758-1643875tg</t>
  </si>
  <si>
    <t>103/1643875-1644762cv</t>
  </si>
  <si>
    <t>103/1644762-1645370tg</t>
  </si>
  <si>
    <t>103/1645370-1645830cv</t>
  </si>
  <si>
    <t>103/1645830-1647163tg</t>
  </si>
  <si>
    <t>103/1647163-1648019cv</t>
  </si>
  <si>
    <t>103/1648019-1648284tg</t>
  </si>
  <si>
    <t>103/1648284-1648802cv</t>
  </si>
  <si>
    <t>103/1648802-1649006tg</t>
  </si>
  <si>
    <t>103/1649006-1649500cv</t>
  </si>
  <si>
    <t>103/1649500-1649735tg</t>
  </si>
  <si>
    <t>103/1649735-1650389cv</t>
  </si>
  <si>
    <t>103/1650389-1650959tg</t>
  </si>
  <si>
    <t>103/1650959-1651827cv</t>
  </si>
  <si>
    <t>103/1651827-1651921tg</t>
  </si>
  <si>
    <t>103/1651921-1652489cv</t>
  </si>
  <si>
    <t>103/1652489-1653333tg</t>
  </si>
  <si>
    <t>103/1653333-1653802cv</t>
  </si>
  <si>
    <t>103/1653802-1653895tg</t>
  </si>
  <si>
    <t>103/1653895-1654900cv</t>
  </si>
  <si>
    <t>103/1654900-1654934tg</t>
  </si>
  <si>
    <t>103/1654934-1655821cv</t>
  </si>
  <si>
    <t>103/1655821-1656467tg</t>
  </si>
  <si>
    <t>103/1656467-1657158cv</t>
  </si>
  <si>
    <t>103/1657158-1657636tg</t>
  </si>
  <si>
    <t>103/1657636-1657958cv</t>
  </si>
  <si>
    <t>103/1657958-1659043tg</t>
  </si>
  <si>
    <t>103/1659043-1659592cv</t>
  </si>
  <si>
    <t>103/1659592-1659740tg</t>
  </si>
  <si>
    <t>103/1659740-1660396cv</t>
  </si>
  <si>
    <t>103/1660396-1660539tg</t>
  </si>
  <si>
    <t>103/1660539-1661236cv</t>
  </si>
  <si>
    <t>103/1661236-1661485tg</t>
  </si>
  <si>
    <t>103/1661485-1662053cv</t>
  </si>
  <si>
    <t>103/1662053-1662644tg</t>
  </si>
  <si>
    <t>103/1662644-1663991cv</t>
  </si>
  <si>
    <t>103/1663991-1664189tg</t>
  </si>
  <si>
    <t>103/1664189-1664700cv</t>
  </si>
  <si>
    <t>103/1664700-1665296tg</t>
  </si>
  <si>
    <t>103/1665296-1665908cv</t>
  </si>
  <si>
    <t>103/1665908-1666003tg</t>
  </si>
  <si>
    <t>103/1666003-1666679cv</t>
  </si>
  <si>
    <t>103/1666679-1667235tg</t>
  </si>
  <si>
    <t>103/1667235-1667923cv</t>
  </si>
  <si>
    <t>103/1667923-1668107tg</t>
  </si>
  <si>
    <t>103/1668107-1668757cv</t>
  </si>
  <si>
    <t>103/1668757-1669305tg</t>
  </si>
  <si>
    <t>103/1669305-1670268cv</t>
  </si>
  <si>
    <t>103/1670268-1671221tg</t>
  </si>
  <si>
    <t>103/1671221-1671942cv</t>
  </si>
  <si>
    <t>103/1671942-1672131tg</t>
  </si>
  <si>
    <t>103/1672131-1672525cv</t>
  </si>
  <si>
    <t>103/1672525-1673672tg</t>
  </si>
  <si>
    <t>103/1673672-1674060cv</t>
  </si>
  <si>
    <t>103/1674060-1674198tg</t>
  </si>
  <si>
    <t>103/1674198-1675006cv</t>
  </si>
  <si>
    <t>103/1675006-1675248tg</t>
  </si>
  <si>
    <t>103/1675248-1676325cv</t>
  </si>
  <si>
    <t>103/1676325-1676562tg</t>
  </si>
  <si>
    <t>103/1676562-1677398cv</t>
  </si>
  <si>
    <t>103/1677398-1677603tg</t>
  </si>
  <si>
    <t>103/1677603-1678118cv</t>
  </si>
  <si>
    <t>103/1678118-1678415tg</t>
  </si>
  <si>
    <t>103/1678415-1678970cv</t>
  </si>
  <si>
    <t>103/1678970-1679202tg</t>
  </si>
  <si>
    <t>103/1679202-1679963cv</t>
  </si>
  <si>
    <t>103/1679963-1680102tg</t>
  </si>
  <si>
    <t>103/1680102-1680850cv</t>
  </si>
  <si>
    <t>103/1680850-1680916tg</t>
  </si>
  <si>
    <t>103/1680916-1681305cv</t>
  </si>
  <si>
    <t>103/1681305-1681513tg</t>
  </si>
  <si>
    <t>103/1681513-1681999cv</t>
  </si>
  <si>
    <t>103/1681999-1682782tg</t>
  </si>
  <si>
    <t>103/1682782-1683602cv</t>
  </si>
  <si>
    <t>103/1683602-1683963tg</t>
  </si>
  <si>
    <t>103/1683963-1684804cv</t>
  </si>
  <si>
    <t>103/1684804-1686086tg</t>
  </si>
  <si>
    <t>103/1686086-1686530cv</t>
  </si>
  <si>
    <t>103/1686530-1688127tg</t>
  </si>
  <si>
    <t>103/1688127-1689297cv</t>
  </si>
  <si>
    <t>103/1689297-1689914tg</t>
  </si>
  <si>
    <t>103/1689914-1690881cv</t>
  </si>
  <si>
    <t>103/1690881-1691029tg</t>
  </si>
  <si>
    <t>103/1691029-1691781cv</t>
  </si>
  <si>
    <t>103/1691781-1692237tg</t>
  </si>
  <si>
    <t>103/1692237-1692741cv</t>
  </si>
  <si>
    <t>103/1692741-1693354tg</t>
  </si>
  <si>
    <t>103/1693354-1693797cv</t>
  </si>
  <si>
    <t>103/1693797-1694119tg</t>
  </si>
  <si>
    <t>103/1694119-1694595cv</t>
  </si>
  <si>
    <t>103/1694595-1695243tg</t>
  </si>
  <si>
    <t>103/1695243-1695829cv</t>
  </si>
  <si>
    <t>103/1695829-1697219tg</t>
  </si>
  <si>
    <t>103/1697219-1698175cv</t>
  </si>
  <si>
    <t>103/1698175-1699332tg</t>
  </si>
  <si>
    <t>103/1699332-1700150cv</t>
  </si>
  <si>
    <t>103/1700150-1700781tg</t>
  </si>
  <si>
    <t>103/1700781-1701062cv</t>
  </si>
  <si>
    <t>103/1701062-1702092tg</t>
  </si>
  <si>
    <t>103/1702092-1702469cv</t>
  </si>
  <si>
    <t>103/1702469-1703828tg</t>
  </si>
  <si>
    <t>103/1703828-1704825cv</t>
  </si>
  <si>
    <t>103/1704825-1705188tg</t>
  </si>
  <si>
    <t>103/1705188-1706094cv</t>
  </si>
  <si>
    <t>103/1706094-1706256tg</t>
  </si>
  <si>
    <t>103/1706256-1707080cv</t>
  </si>
  <si>
    <t>103/1707080-1707678tg</t>
  </si>
  <si>
    <t>103/1707678-1708459cv</t>
  </si>
  <si>
    <t>103/1708459-1708806tg</t>
  </si>
  <si>
    <t>103/1708806-1709678cv</t>
  </si>
  <si>
    <t>103/1709678-1710021tg</t>
  </si>
  <si>
    <t>103/1710021-1710590cv</t>
  </si>
  <si>
    <t>103/1710590-1711147tg</t>
  </si>
  <si>
    <t>103/1711147-1711847cv</t>
  </si>
  <si>
    <t>103/1711847-1712167tg</t>
  </si>
  <si>
    <t>103/1712167-1713016cv</t>
  </si>
  <si>
    <t>103/1713016-1713294tg</t>
  </si>
  <si>
    <t>103/1713294-1714568cv</t>
  </si>
  <si>
    <t>103/1714568-1714713tg</t>
  </si>
  <si>
    <t>103/1714713-1715455cv</t>
  </si>
  <si>
    <t>103/1715455-1716299tg</t>
  </si>
  <si>
    <t>103/1716299-1716952cv</t>
  </si>
  <si>
    <t>103/1716952-1717545tg</t>
  </si>
  <si>
    <t>103/1717545-1718328cv</t>
  </si>
  <si>
    <t>103/1718328-1718862tg</t>
  </si>
  <si>
    <t>103/1718862-1719541cv</t>
  </si>
  <si>
    <t>103/1719541-1721125tg</t>
  </si>
  <si>
    <t>103/1721125-1721724cv</t>
  </si>
  <si>
    <t>103/1721724-1722988tg</t>
  </si>
  <si>
    <t>103/1722988-1723403cv</t>
  </si>
  <si>
    <t>103/1723403-1725578tg</t>
  </si>
  <si>
    <t>103/1725578-1726134cv</t>
  </si>
  <si>
    <t>103/1726134-1727272tg</t>
  </si>
  <si>
    <t>103/1727272-1727827cv</t>
  </si>
  <si>
    <t>103/1727827-1728256tg</t>
  </si>
  <si>
    <t>103/1728256-1729190cv</t>
  </si>
  <si>
    <t>103/1729190-1730428tg</t>
  </si>
  <si>
    <t>103/1730428-1731769cv</t>
  </si>
  <si>
    <t>103/1731769-1732164tg</t>
  </si>
  <si>
    <t>103/1732164-1733460cv</t>
  </si>
  <si>
    <t>103/1733460-1733703tg</t>
  </si>
  <si>
    <t>103/1733703-1734363cv</t>
  </si>
  <si>
    <t>103/1734363-1734819tg</t>
  </si>
  <si>
    <t>103/1734819-1735504cv</t>
  </si>
  <si>
    <t>103/1735504-1735624tg</t>
  </si>
  <si>
    <t>103/1735624-1736702cv</t>
  </si>
  <si>
    <t>103/1736702-1736961tg</t>
  </si>
  <si>
    <t>103/1736961-1737600cv</t>
  </si>
  <si>
    <t>103/1737600-1738516tg</t>
  </si>
  <si>
    <t>103/1738516-1738972cv</t>
  </si>
  <si>
    <t>103/1738972-1739480tg</t>
  </si>
  <si>
    <t>103/1739480-1739812cv</t>
  </si>
  <si>
    <t>103/1739812-1740400tg</t>
  </si>
  <si>
    <t>103/1740400-1741035cv</t>
  </si>
  <si>
    <t>103/1741035-1741419tg</t>
  </si>
  <si>
    <t>103/1741419-1742383cv</t>
  </si>
  <si>
    <t>103/1742383-1742632tg</t>
  </si>
  <si>
    <t>103/1742632-1743624cv</t>
  </si>
  <si>
    <t>103/1743624-1743791tg</t>
  </si>
  <si>
    <t>103/1743791-1744316cv</t>
  </si>
  <si>
    <t>103/1744316-1744427tg</t>
  </si>
  <si>
    <t>103/1744427-1745443cv</t>
  </si>
  <si>
    <t>103/1745443-1746239tg</t>
  </si>
  <si>
    <t>103/1746239-1746944cv</t>
  </si>
  <si>
    <t>103/1746944-1747305tg</t>
  </si>
  <si>
    <t>103/1747305-1748047cv</t>
  </si>
  <si>
    <t>103/1748047-1748130tg</t>
  </si>
  <si>
    <t>103/1748130-1749332cv</t>
  </si>
  <si>
    <t>103/1749332-1750845tg</t>
  </si>
  <si>
    <t>103/1750845-1752421cv</t>
  </si>
  <si>
    <t>103/1752421-1752684tg</t>
  </si>
  <si>
    <t>103/1752684-1753831cv</t>
  </si>
  <si>
    <t>103/1753831-1754066tg</t>
  </si>
  <si>
    <t>103/1754066-1754629cv</t>
  </si>
  <si>
    <t>103/1754629-1754965tg</t>
  </si>
  <si>
    <t>103/1754965-1755889cv</t>
  </si>
  <si>
    <t>103/1755889-1757048tg</t>
  </si>
  <si>
    <t>103/1757048-1758222cv</t>
  </si>
  <si>
    <t>103/1758222-1759124tg</t>
  </si>
  <si>
    <t>103/1759124-1760332cv</t>
  </si>
  <si>
    <t>103/1760332-1761289tg</t>
  </si>
  <si>
    <t>103/1761289-1762097cv</t>
  </si>
  <si>
    <t>103/1762097-1762836tg</t>
  </si>
  <si>
    <t>103/1762836-1763691cv</t>
  </si>
  <si>
    <t>103/1763691-1764914tg</t>
  </si>
  <si>
    <t>103/1764914-1765575cv</t>
  </si>
  <si>
    <t>103/1765575-1765964tg</t>
  </si>
  <si>
    <t>103/1765964-1766488cv</t>
  </si>
  <si>
    <t>103/1766488-1767373tg</t>
  </si>
  <si>
    <t>103/1767373-1768559cv</t>
  </si>
  <si>
    <t>103/1768559-1769010tg</t>
  </si>
  <si>
    <t>103/1769010-1769959cv</t>
  </si>
  <si>
    <t>103/1769959-1770825tg</t>
  </si>
  <si>
    <t>103/1770825-1771210cv</t>
  </si>
  <si>
    <t>103/1771210-1772359tg</t>
  </si>
  <si>
    <t>103/1772359-1772573cv</t>
  </si>
  <si>
    <t>103/1772573-1772994tg</t>
  </si>
  <si>
    <t>103/1772994-1773550cv</t>
  </si>
  <si>
    <t>103/1773550-1773790tg</t>
  </si>
  <si>
    <t>103/1773790-1774614cv</t>
  </si>
  <si>
    <t>103/1774614-1774664tg</t>
  </si>
  <si>
    <t>103/1774664-1775426cv</t>
  </si>
  <si>
    <t>103/1775426-1776763tg</t>
  </si>
  <si>
    <t>103/1776763-1777099cv</t>
  </si>
  <si>
    <t>103/1777099-1777347tg</t>
  </si>
  <si>
    <t>103/1777347-1777885cv</t>
  </si>
  <si>
    <t>103/1777885-1778196tg</t>
  </si>
  <si>
    <t>103/1778196-1779302cv</t>
  </si>
  <si>
    <t>103/1779302-1779379tg</t>
  </si>
  <si>
    <t>103/1779379-1780311cv</t>
  </si>
  <si>
    <t>103/1780311-1781678tg</t>
  </si>
  <si>
    <t>103/1781678-1782066cv</t>
  </si>
  <si>
    <t>103/1782066-1783786tg</t>
  </si>
  <si>
    <t>103/1783786-1784450cv</t>
  </si>
  <si>
    <t>103/1784450-1784681tg</t>
  </si>
  <si>
    <t>103/1784681-1785626cv</t>
  </si>
  <si>
    <t>103/1785626-1786514tg</t>
  </si>
  <si>
    <t>103/1786514-1788682cv</t>
  </si>
  <si>
    <t>103/1788682-1789069tg</t>
  </si>
  <si>
    <t>103/1789069-1790221cv</t>
  </si>
  <si>
    <t>103/1790221-1790970tg</t>
  </si>
  <si>
    <t>103/1790970-1792087cv</t>
  </si>
  <si>
    <t>103/1792087-1792365tg</t>
  </si>
  <si>
    <t>103/1792365-1793347cv</t>
  </si>
  <si>
    <t>103/1793347-1793796tg</t>
  </si>
  <si>
    <t>103/1793796-1794540cv</t>
  </si>
  <si>
    <t>103/1794540-1794676tg</t>
  </si>
  <si>
    <t>103/1794676-1795405cv</t>
  </si>
  <si>
    <t>103/1795405-1795490tg</t>
  </si>
  <si>
    <t>103/1795490-1795933cv</t>
  </si>
  <si>
    <t>103/1795933-1796075tg</t>
  </si>
  <si>
    <t>103/1796075-1796423cv</t>
  </si>
  <si>
    <t>103/1796423-1796552tg</t>
  </si>
  <si>
    <t>103/1796552-1797295cv</t>
  </si>
  <si>
    <t>103/1797295-1797581tg</t>
  </si>
  <si>
    <t>103/1797581-1798427cv</t>
  </si>
  <si>
    <t>103/1798427-1798553tg</t>
  </si>
  <si>
    <t>103/1798553-1799497cv</t>
  </si>
  <si>
    <t>103/1799497-1799561tg</t>
  </si>
  <si>
    <t>103/1799561-1800680cv</t>
  </si>
  <si>
    <t>103/1800680-1800701tg</t>
  </si>
  <si>
    <t>103/1800701-1801696cv</t>
  </si>
  <si>
    <t>103/1801696-1802099tg</t>
  </si>
  <si>
    <t>103/1802099-1802944cv</t>
  </si>
  <si>
    <t>103/1802944-1805276tg</t>
  </si>
  <si>
    <t>103/1805276-1805465cv</t>
  </si>
  <si>
    <t>103/1805465-1806791tg</t>
  </si>
  <si>
    <t>103/1806791-1807272cv</t>
  </si>
  <si>
    <t>103/1807272-1807300tg</t>
  </si>
  <si>
    <t>103/1807300-1807839cv</t>
  </si>
  <si>
    <t>103/1807839-1807947tg</t>
  </si>
  <si>
    <t>103/1807947-1808409cv</t>
  </si>
  <si>
    <t>103/1808409-1808522tg</t>
  </si>
  <si>
    <t>103/1808522-1809218cv</t>
  </si>
  <si>
    <t>103/1809218-1809584tg</t>
  </si>
  <si>
    <t>103/1809584-1809927cv</t>
  </si>
  <si>
    <t>103/1809927-1810194tg</t>
  </si>
  <si>
    <t>103/1810194-1810854cv</t>
  </si>
  <si>
    <t>103/1810854-1811406tg</t>
  </si>
  <si>
    <t>103/1811406-1811933cv</t>
  </si>
  <si>
    <t>103/1811933-1812219tg</t>
  </si>
  <si>
    <t>103/1812219-1812956cv</t>
  </si>
  <si>
    <t>103/1812956-1814658tg</t>
  </si>
  <si>
    <t>103/1814658-1815354cv</t>
  </si>
  <si>
    <t>103/1815354-1815468tg</t>
  </si>
  <si>
    <t>103/1815468-1815992cv</t>
  </si>
  <si>
    <t>103/1815992-1816567tg</t>
  </si>
  <si>
    <t>103/1816567-1817189cv</t>
  </si>
  <si>
    <t>103/1817189-1817419tg</t>
  </si>
  <si>
    <t>103/1817419-1818098cv</t>
  </si>
  <si>
    <t>103/1818098-1818319tg</t>
  </si>
  <si>
    <t>103/1818319-1819149cv</t>
  </si>
  <si>
    <t>103/1819149-1819318tg</t>
  </si>
  <si>
    <t>103/1819318-1819719cv</t>
  </si>
  <si>
    <t>103/1819719-1819777tg</t>
  </si>
  <si>
    <t>103/1819777-1820403cv</t>
  </si>
  <si>
    <t>103/1820403-1820617tg</t>
  </si>
  <si>
    <t>103/1820617-1821518cv</t>
  </si>
  <si>
    <t>103/1821518-1821586tg</t>
  </si>
  <si>
    <t>103/1821586-1821843cv</t>
  </si>
  <si>
    <t>103/1821843-1822979tg</t>
  </si>
  <si>
    <t>103/1822979-1823470cv</t>
  </si>
  <si>
    <t>103/1823470-1823575tg</t>
  </si>
  <si>
    <t>103/1823575-1824120cv</t>
  </si>
  <si>
    <t>103/1824120-1824316tg</t>
  </si>
  <si>
    <t>103/1824316-1824832cv</t>
  </si>
  <si>
    <t>103/1824832-1825047tg</t>
  </si>
  <si>
    <t>103/1825047-1825519cv</t>
  </si>
  <si>
    <t>103/1825519-1825613tg</t>
  </si>
  <si>
    <t>103/1825613-1826250cv</t>
  </si>
  <si>
    <t>103/1826250-1827279tg</t>
  </si>
  <si>
    <t>103/1827279-1827829cv</t>
  </si>
  <si>
    <t>103/1827829-1828186tg</t>
  </si>
  <si>
    <t>103/1828186-1828851cv</t>
  </si>
  <si>
    <t>103/1828851-1829030tg</t>
  </si>
  <si>
    <t>103/1829030-1829369cv</t>
  </si>
  <si>
    <t>103/1829369-1829531tg</t>
  </si>
  <si>
    <t>103/1829531-1830769cv</t>
  </si>
  <si>
    <t>103/1830769-1830830tg</t>
  </si>
  <si>
    <t>103/1830830-1831656cv</t>
  </si>
  <si>
    <t>103/1831656-1832598tg</t>
  </si>
  <si>
    <t>103/1832598-1833292cv</t>
  </si>
  <si>
    <t>103/1833292-1833462tg</t>
  </si>
  <si>
    <t>103/1833462-1834164cv</t>
  </si>
  <si>
    <t>103/1834164-1834741tg</t>
  </si>
  <si>
    <t>103/1834741-1835477cv</t>
  </si>
  <si>
    <t>103/1835477-1835565tg</t>
  </si>
  <si>
    <t>103/1835565-1836195cv</t>
  </si>
  <si>
    <t>103/1836195-1836969tg</t>
  </si>
  <si>
    <t>103/1836969-1837411cv</t>
  </si>
  <si>
    <t>103/1837411-1837563tg</t>
  </si>
  <si>
    <t>103/1837563-1838056cv</t>
  </si>
  <si>
    <t>103/1838056-1838387tg</t>
  </si>
  <si>
    <t>103/1838387-1838977cv</t>
  </si>
  <si>
    <t>103/1838977-1839106tg</t>
  </si>
  <si>
    <t>103/1839106-1839583cv</t>
  </si>
  <si>
    <t>103/1839583-1839647tg</t>
  </si>
  <si>
    <t>103/1839647-1840109cv</t>
  </si>
  <si>
    <t>103/1840109-1840184tg</t>
  </si>
  <si>
    <t>103/1840184-1840766cv</t>
  </si>
  <si>
    <t>103/1840766-1841014tg</t>
  </si>
  <si>
    <t>103/1841014-1841567cv</t>
  </si>
  <si>
    <t>103/1841567-1842247tg</t>
  </si>
  <si>
    <t>103/1842247-1843503cv</t>
  </si>
  <si>
    <t>103/1843503-1843753tg</t>
  </si>
  <si>
    <t>103/1843753-1844627cv</t>
  </si>
  <si>
    <t>103/1844627-1845461tg</t>
  </si>
  <si>
    <t>103/1845461-1845720cv</t>
  </si>
  <si>
    <t>103/1845720-1846379tg</t>
  </si>
  <si>
    <t>103/1846379-1847129cv</t>
  </si>
  <si>
    <t>103/1847129-1848315tg</t>
  </si>
  <si>
    <t>103/1848315-1848734cv</t>
  </si>
  <si>
    <t>103/1848734-1848933tg</t>
  </si>
  <si>
    <t>103/1848933-1849721cv</t>
  </si>
  <si>
    <t>103/1849721-1849756tg</t>
  </si>
  <si>
    <t>103/1849756-1850486cv</t>
  </si>
  <si>
    <t>103/1850486-1850970tg</t>
  </si>
  <si>
    <t>103/1850970-1851609cv</t>
  </si>
  <si>
    <t>103/1851609-1852049tg</t>
  </si>
  <si>
    <t>103/1852049-1853028cv</t>
  </si>
  <si>
    <t>103/1853028-1853085tg</t>
  </si>
  <si>
    <t>103/1853085-1853926cv</t>
  </si>
  <si>
    <t>103/1853926-1854160tg</t>
  </si>
  <si>
    <t>103/1854160-1855038cv</t>
  </si>
  <si>
    <t>103/1855038-1855108tg</t>
  </si>
  <si>
    <t>103/1855108-1855822cv</t>
  </si>
  <si>
    <t>103/1855822-1856722tg</t>
  </si>
  <si>
    <t>103/1856722-1857550cv</t>
  </si>
  <si>
    <t>103/1857550-1857711tg</t>
  </si>
  <si>
    <t>103/1857711-1858398cv</t>
  </si>
  <si>
    <t>103/1858398-1858486tg</t>
  </si>
  <si>
    <t>103/1858486-1858844cv</t>
  </si>
  <si>
    <t>103/1858844-1859020tg</t>
  </si>
  <si>
    <t>103/1859020-1859996cv</t>
  </si>
  <si>
    <t>103/1859996-1860190tg</t>
  </si>
  <si>
    <t>103/1860190-1861206cv</t>
  </si>
  <si>
    <t>103/1861206-1861817tg</t>
  </si>
  <si>
    <t>103/1861817-1862427cv</t>
  </si>
  <si>
    <t>103/1862427-1862603tg</t>
  </si>
  <si>
    <t>103/1862603-1863424cv</t>
  </si>
  <si>
    <t>103/1863424-1863873tg</t>
  </si>
  <si>
    <t>103/1863873-1864652cv</t>
  </si>
  <si>
    <t>103/1864652-1865144tg</t>
  </si>
  <si>
    <t>103/1865144-1866159cv</t>
  </si>
  <si>
    <t>103/1866159-1867136tg</t>
  </si>
  <si>
    <t>103/1867136-1867480cv</t>
  </si>
  <si>
    <t>103/1867480-1868403tg</t>
  </si>
  <si>
    <t>103/1868403-1868891cv</t>
  </si>
  <si>
    <t>103/1868891-1870018tg</t>
  </si>
  <si>
    <t>103/1870018-1870844cv</t>
  </si>
  <si>
    <t>103/1870844-1870976tg</t>
  </si>
  <si>
    <t>103/1870976-1871353cv</t>
  </si>
  <si>
    <t>103/1871353-1871471tg</t>
  </si>
  <si>
    <t>103/1871471-1872387cv</t>
  </si>
  <si>
    <t>103/1872387-1872511tg</t>
  </si>
  <si>
    <t>103/1872511-1873896cv</t>
  </si>
  <si>
    <t>103/1873896-1874049tg</t>
  </si>
  <si>
    <t>103/1874049-1874693cv</t>
  </si>
  <si>
    <t>103/1874693-1875145tg</t>
  </si>
  <si>
    <t>103/1875145-1875686cv</t>
  </si>
  <si>
    <t>103/1875686-1875958tg</t>
  </si>
  <si>
    <t>103/1875958-1876286cv</t>
  </si>
  <si>
    <t>103/1876286-1876340tg</t>
  </si>
  <si>
    <t>103/1876340-1876867cv</t>
  </si>
  <si>
    <t>103/1876867-1876928tg</t>
  </si>
  <si>
    <t>103/1876928-1877389cv</t>
  </si>
  <si>
    <t>103/1877389-1877568tg</t>
  </si>
  <si>
    <t>103/1877568-1878157cv</t>
  </si>
  <si>
    <t>103/1878157-1878237tg</t>
  </si>
  <si>
    <t>103/1878237-1878569cv</t>
  </si>
  <si>
    <t>103/1878569-1878732tg</t>
  </si>
  <si>
    <t>103/1878732-1879063cv</t>
  </si>
  <si>
    <t>103/1879063-1879150tg</t>
  </si>
  <si>
    <t>103/1879150-1879513cv</t>
  </si>
  <si>
    <t>103/1879513-1879548tg</t>
  </si>
  <si>
    <t>103/1879548-1879904cv</t>
  </si>
  <si>
    <t>103/1879904-1879948tg</t>
  </si>
  <si>
    <t>103/1879948-1880330cv</t>
  </si>
  <si>
    <t>103/1880330-1880538tg</t>
  </si>
  <si>
    <t>103/1880538-1881050cv</t>
  </si>
  <si>
    <t>103/1881050-1881137tg</t>
  </si>
  <si>
    <t>103/1881137-1881733cv</t>
  </si>
  <si>
    <t>103/1881733-1881782tg</t>
  </si>
  <si>
    <t>103/1881782-1882224cv</t>
  </si>
  <si>
    <t>103/1882224-1882511tg</t>
  </si>
  <si>
    <t>103/1882511-1882884cv</t>
  </si>
  <si>
    <t>103/1882884-1882916tg</t>
  </si>
  <si>
    <t>103/1882916-1883530cv</t>
  </si>
  <si>
    <t>103/1883530-1883563tg</t>
  </si>
  <si>
    <t>103/1883563-1883904cv</t>
  </si>
  <si>
    <t>103/1883904-1884007tg</t>
  </si>
  <si>
    <t>103/1884007-1884240cv</t>
  </si>
  <si>
    <t>103/1884240-1884434tg</t>
  </si>
  <si>
    <t>103/1884434-1884813cv</t>
  </si>
  <si>
    <t>103/1884813-1885151tg</t>
  </si>
  <si>
    <t>103/1885151-1885447cv</t>
  </si>
  <si>
    <t>103/1885447-1885547tg</t>
  </si>
  <si>
    <t>103/1885547-1886171cv</t>
  </si>
  <si>
    <t>103/1886171-1886220tg</t>
  </si>
  <si>
    <t>103/1886220-1886543cv</t>
  </si>
  <si>
    <t>103/1886543-1886782tg</t>
  </si>
  <si>
    <t>103/1886782-1887433cv</t>
  </si>
  <si>
    <t>103/1887433-1887464tg</t>
  </si>
  <si>
    <t>103/1887464-1888078cv</t>
  </si>
  <si>
    <t>103/1888078-1888260tg</t>
  </si>
  <si>
    <t>103/1888260-1888655cv</t>
  </si>
  <si>
    <t>103/1888655-1888923tg</t>
  </si>
  <si>
    <t>103/1888923-1889618cv</t>
  </si>
  <si>
    <t>103/1889618-1890263tg</t>
  </si>
  <si>
    <t>103/1890263-1891246cv</t>
  </si>
  <si>
    <t>103/1891246-1891557tg</t>
  </si>
  <si>
    <t>103/1891557-1891855cv</t>
  </si>
  <si>
    <t>103/1891855-1892184tg</t>
  </si>
  <si>
    <t>103/1892184-1892783cv</t>
  </si>
  <si>
    <t>103/1892783-1892947tg</t>
  </si>
  <si>
    <t>103/1892947-1893661cv</t>
  </si>
  <si>
    <t>103/1893661-1893926tg</t>
  </si>
  <si>
    <t>103/1893926-1894752cv</t>
  </si>
  <si>
    <t>103/1894752-1895812tg</t>
  </si>
  <si>
    <t>103/1895812-1896769cv</t>
  </si>
  <si>
    <t>103/1896769-1897689tg</t>
  </si>
  <si>
    <t>103/1897689-1898540cv</t>
  </si>
  <si>
    <t>103/1898540-1899111tg</t>
  </si>
  <si>
    <t>103/1899111-1899743cv</t>
  </si>
  <si>
    <t>103/1899743-1900604tg</t>
  </si>
  <si>
    <t>103/1900604-1900861cv</t>
  </si>
  <si>
    <t>103/1900861-1901055tg</t>
  </si>
  <si>
    <t>103/1901055-1901325cv</t>
  </si>
  <si>
    <t>103/1901325-1901620tg</t>
  </si>
  <si>
    <t>103/1901620-1902126cv</t>
  </si>
  <si>
    <t>103/1902126-1902529tg</t>
  </si>
  <si>
    <t>103/1902529-1903239cv</t>
  </si>
  <si>
    <t>103/1903239-1903359tg</t>
  </si>
  <si>
    <t>103/1903359-1903743cv</t>
  </si>
  <si>
    <t>103/1903743-1903814tg</t>
  </si>
  <si>
    <t>103/1903814-1904994cv</t>
  </si>
  <si>
    <t>103/1904994-1905542tg</t>
  </si>
  <si>
    <t>103/1905542-1905780cv</t>
  </si>
  <si>
    <t>103/1905780-1906105tg</t>
  </si>
  <si>
    <t>103/1906105-1907472cv</t>
  </si>
  <si>
    <t>103/1907472-1907593tg</t>
  </si>
  <si>
    <t>103/1907593-1907913cv</t>
  </si>
  <si>
    <t>103/1907913-1908096tg</t>
  </si>
  <si>
    <t>103/1908096-1908379cv</t>
  </si>
  <si>
    <t>103/1908379-1908555tg</t>
  </si>
  <si>
    <t>103/1908555-1908927cv</t>
  </si>
  <si>
    <t>103/1908927-1909259tg</t>
  </si>
  <si>
    <t>103/1909259-1909723cv</t>
  </si>
  <si>
    <t>103/1909723-1909921tg</t>
  </si>
  <si>
    <t>103/1909921-1910354cv</t>
  </si>
  <si>
    <t>103/1910354-1910402tg</t>
  </si>
  <si>
    <t>103/1910402-1911172cv</t>
  </si>
  <si>
    <t>103/1911172-1911851tg</t>
  </si>
  <si>
    <t>103/1911851-1912532cv</t>
  </si>
  <si>
    <t>103/1912532-1912648tg</t>
  </si>
  <si>
    <t>103/1912648-1913235cv</t>
  </si>
  <si>
    <t>103/1913235-1913879tg</t>
  </si>
  <si>
    <t>103/1913879-1915025cv</t>
  </si>
  <si>
    <t>103/1915025-1915357tg</t>
  </si>
  <si>
    <t>103/1915357-1916318cv</t>
  </si>
  <si>
    <t>103/1916318-1917156tg</t>
  </si>
  <si>
    <t>103/1917156-1917602cv</t>
  </si>
  <si>
    <t>103/1917602-1917733tg</t>
  </si>
  <si>
    <t>103/1917733-1918084cv</t>
  </si>
  <si>
    <t>103/1918084-1918228tg</t>
  </si>
  <si>
    <t>103/1918228-1918755cv</t>
  </si>
  <si>
    <t>103/1918755-1918856tg</t>
  </si>
  <si>
    <t>103/1918856-1919358cv</t>
  </si>
  <si>
    <t>103/1919358-1919478tg</t>
  </si>
  <si>
    <t>103/1919478-1919847cv</t>
  </si>
  <si>
    <t>103/1919847-1919899tg</t>
  </si>
  <si>
    <t>103/1919899-1920351cv</t>
  </si>
  <si>
    <t>103/1920351-1920485tg</t>
  </si>
  <si>
    <t>103/1920485-1921262cv</t>
  </si>
  <si>
    <t>103/1921262-1921723tg</t>
  </si>
  <si>
    <t>103/1921723-1922634cv</t>
  </si>
  <si>
    <t>103/1922634-1923077tg</t>
  </si>
  <si>
    <t>103/1923077-1924095cv</t>
  </si>
  <si>
    <t>103/1924095-1925173tg</t>
  </si>
  <si>
    <t>103/1925173-1925447cv</t>
  </si>
  <si>
    <t>103/1925447-1925618tg</t>
  </si>
  <si>
    <t>103/1925618-1926295cv</t>
  </si>
  <si>
    <t>103/1926295-1926700tg</t>
  </si>
  <si>
    <t>103/1926700-1928127cv</t>
  </si>
  <si>
    <t>103/1928127-1928913tg</t>
  </si>
  <si>
    <t>103/1928913-1929382cv</t>
  </si>
  <si>
    <t>103/1929382-1929489tg</t>
  </si>
  <si>
    <t>103/1929489-1929929cv</t>
  </si>
  <si>
    <t>103/1929929-1930213tg</t>
  </si>
  <si>
    <t>103/1930213-1930588cv</t>
  </si>
  <si>
    <t>103/1930588-1930763tg</t>
  </si>
  <si>
    <t>103/1930763-1931311cv</t>
  </si>
  <si>
    <t>103/1931311-1931686tg</t>
  </si>
  <si>
    <t>103/1931686-1932102cv</t>
  </si>
  <si>
    <t>103/1932102-1932222tg</t>
  </si>
  <si>
    <t>103/1932222-1932915cv</t>
  </si>
  <si>
    <t>103/1932915-1934002tg</t>
  </si>
  <si>
    <t>103/1934002-1934712cv</t>
  </si>
  <si>
    <t>103/1934712-1934845tg</t>
  </si>
  <si>
    <t>103/1934845-1935410cv</t>
  </si>
  <si>
    <t>103/1935410-1935707tg</t>
  </si>
  <si>
    <t>103/1935707-1936114cv</t>
  </si>
  <si>
    <t>103/1936114-1936218tg</t>
  </si>
  <si>
    <t>103/1936218-1937287cv</t>
  </si>
  <si>
    <t>103/1937287-1937609tg</t>
  </si>
  <si>
    <t>103/1937609-1938137cv</t>
  </si>
  <si>
    <t>103/1938137-1938349tg</t>
  </si>
  <si>
    <t>103/1938349-1939221cv</t>
  </si>
  <si>
    <t>103/1939221-1939346tg</t>
  </si>
  <si>
    <t>103/1939346-1940074cv</t>
  </si>
  <si>
    <t>103/1940074-1940179tg</t>
  </si>
  <si>
    <t>103/1940179-1941190cv</t>
  </si>
  <si>
    <t>103/1941190-1941293tg</t>
  </si>
  <si>
    <t>103/1941293-1941544cv</t>
  </si>
  <si>
    <t>103/1941544-1941667tg</t>
  </si>
  <si>
    <t>103/1941667-1942027cv</t>
  </si>
  <si>
    <t>103/1942027-1942079tg</t>
  </si>
  <si>
    <t>103/1942079-1942398cv</t>
  </si>
  <si>
    <t>103/1942398-1942627tg</t>
  </si>
  <si>
    <t>103/1942627-1943075cv</t>
  </si>
  <si>
    <t>103/1943075-1943655tg</t>
  </si>
  <si>
    <t>103/1943655-1944202cv</t>
  </si>
  <si>
    <t>103/1944202-1944309tg</t>
  </si>
  <si>
    <t>103/1944309-1944983cv</t>
  </si>
  <si>
    <t>103/1944983-1945122tg</t>
  </si>
  <si>
    <t>103/1945122-1945767cv</t>
  </si>
  <si>
    <t>103/1945767-1946146tg</t>
  </si>
  <si>
    <t>103/1946146-1946776cv</t>
  </si>
  <si>
    <t>103/1946776-1947339tg</t>
  </si>
  <si>
    <t>103/1947339-1947979cv</t>
  </si>
  <si>
    <t>103/1947979-1948111tg</t>
  </si>
  <si>
    <t>103/1948111-1949213cv</t>
  </si>
  <si>
    <t>103/1949213-1950056tg</t>
  </si>
  <si>
    <t>103/1950056-1950729cv</t>
  </si>
  <si>
    <t>103/1950729-1950875tg</t>
  </si>
  <si>
    <t>103/1950875-1951468cv</t>
  </si>
  <si>
    <t>103/1951468-1952133tg</t>
  </si>
  <si>
    <t>103/1952133-1953043cv</t>
  </si>
  <si>
    <t>103/1953043-1953480tg</t>
  </si>
  <si>
    <t>103/1953480-1954199cv</t>
  </si>
  <si>
    <t>103/1954199-1955379tg</t>
  </si>
  <si>
    <t>103/1955379-1955847cv</t>
  </si>
  <si>
    <t>103/1955847-1957289tg</t>
  </si>
  <si>
    <t>103/1957289-1958292cv</t>
  </si>
  <si>
    <t>103/1958292-1958465tg</t>
  </si>
  <si>
    <t>103/1958465-1958925cv</t>
  </si>
  <si>
    <t>103/1958925-1959203tg</t>
  </si>
  <si>
    <t>103/1959203-1959591cv</t>
  </si>
  <si>
    <t>103/1959591-1959960tg</t>
  </si>
  <si>
    <t>103/1959960-1960269cv</t>
  </si>
  <si>
    <t>103/1960269-1960392tg</t>
  </si>
  <si>
    <t>103/1960392-1961277cv</t>
  </si>
  <si>
    <t>103/1961277-1962236tg</t>
  </si>
  <si>
    <t>103/1962236-1963017cv</t>
  </si>
  <si>
    <t>103/1963017-1963466tg</t>
  </si>
  <si>
    <t>103/1963466-1964180cv</t>
  </si>
  <si>
    <t>103/1964180-1964679tg</t>
  </si>
  <si>
    <t>103/1964679-1965099cv</t>
  </si>
  <si>
    <t>103/1965099-1965267tg</t>
  </si>
  <si>
    <t>103/1965267-1965795cv</t>
  </si>
  <si>
    <t>103/1965795-1966093tg</t>
  </si>
  <si>
    <t>103/1966093-1966589cv</t>
  </si>
  <si>
    <t>103/1966589-1966733tg</t>
  </si>
  <si>
    <t>103/1966733-1967210cv</t>
  </si>
  <si>
    <t>103/1967210-1967307tg</t>
  </si>
  <si>
    <t>103/1967307-1967778cv</t>
  </si>
  <si>
    <t>103/1967778-1968458tg</t>
  </si>
  <si>
    <t>103/1968458-1968866cv</t>
  </si>
  <si>
    <t>103/1968866-1968970tg</t>
  </si>
  <si>
    <t>103/1968970-1969516cv</t>
  </si>
  <si>
    <t>103/1969516-1970115tg</t>
  </si>
  <si>
    <t>103/1970115-1970537cv</t>
  </si>
  <si>
    <t>103/1970537-1970903tg</t>
  </si>
  <si>
    <t>103/1970903-1971245cv</t>
  </si>
  <si>
    <t>103/1971245-1971602tg</t>
  </si>
  <si>
    <t>103/1971602-1972025cv</t>
  </si>
  <si>
    <t>103/1972025-1972078tg</t>
  </si>
  <si>
    <t>103/1972078-1973029cv</t>
  </si>
  <si>
    <t>103/1973029-1973880tg</t>
  </si>
  <si>
    <t>103/1973880-1974278cv</t>
  </si>
  <si>
    <t>103/1974278-1974663tg</t>
  </si>
  <si>
    <t>103/1974663-1975311cv</t>
  </si>
  <si>
    <t>103/1975311-1976273tg</t>
  </si>
  <si>
    <t>103/1976273-1976635cv</t>
  </si>
  <si>
    <t>103/1976635-1977831tg</t>
  </si>
  <si>
    <t>103/1977831-1978156cv</t>
  </si>
  <si>
    <t>103/1978156-1978497tg</t>
  </si>
  <si>
    <t>103/1978497-1978968cv</t>
  </si>
  <si>
    <t>103/1978968-1979584tg</t>
  </si>
  <si>
    <t>103/1979584-1980207cv</t>
  </si>
  <si>
    <t>103/1980207-1980918tg</t>
  </si>
  <si>
    <t>103/1980918-1981360cv</t>
  </si>
  <si>
    <t>103/1981360-1981700tg</t>
  </si>
  <si>
    <t>103/1981700-1983027cv</t>
  </si>
  <si>
    <t>103/1983027-1983676tg</t>
  </si>
  <si>
    <t>103/1983676-1984339cv</t>
  </si>
  <si>
    <t>103/1984339-1984574tg</t>
  </si>
  <si>
    <t>103/1984574-1985275cv</t>
  </si>
  <si>
    <t>103/1985275-1986166tg</t>
  </si>
  <si>
    <t>103/1986166-1986705cv</t>
  </si>
  <si>
    <t>103/1986705-1987075tg</t>
  </si>
  <si>
    <t>103/1987075-1987678cv</t>
  </si>
  <si>
    <t>103/1987678-1988582tg</t>
  </si>
  <si>
    <t>103/1988582-1989333cv</t>
  </si>
  <si>
    <t>103/1989333-1989510tg</t>
  </si>
  <si>
    <t>103/1989510-1990077cv</t>
  </si>
  <si>
    <t>103/1990077-1990288tg</t>
  </si>
  <si>
    <t>103/1990288-1990684cv</t>
  </si>
  <si>
    <t>103/1990684-1991444tg</t>
  </si>
  <si>
    <t>103/1991444-1992418cv</t>
  </si>
  <si>
    <t>103/1992418-1992949tg</t>
  </si>
  <si>
    <t>103/1992949-1994200cv</t>
  </si>
  <si>
    <t>103/1994200-1995279tg</t>
  </si>
  <si>
    <t>103/1995279-1996103cv</t>
  </si>
  <si>
    <t>103/1996103-1996487tg</t>
  </si>
  <si>
    <t>103/1996487-1997020cv</t>
  </si>
  <si>
    <t>103/1997020-1997228tg</t>
  </si>
  <si>
    <t>103/1997228-1998225cv</t>
  </si>
  <si>
    <t>103/1998225-1998741tg</t>
  </si>
  <si>
    <t>103/1998741-1999153cv</t>
  </si>
  <si>
    <t>103/1999153-1999387tg</t>
  </si>
  <si>
    <t>103/1999387-1999922cv</t>
  </si>
  <si>
    <t>103/1999922-2000026tg</t>
  </si>
  <si>
    <t>103/2000026-2000844cv</t>
  </si>
  <si>
    <t>103/2000844-2001147tg</t>
  </si>
  <si>
    <t>103/2001147-2002233cv</t>
  </si>
  <si>
    <t>103/2002233-2004166tg</t>
  </si>
  <si>
    <t>103/2004166-2004923cv</t>
  </si>
  <si>
    <t>103/2004923-2005711tg</t>
  </si>
  <si>
    <t>103/2005711-2006338cv</t>
  </si>
  <si>
    <t>103/2006338-2006719tg</t>
  </si>
  <si>
    <t>103/2006719-2007193cv</t>
  </si>
  <si>
    <t>103/2007193-2008563tg</t>
  </si>
  <si>
    <t>103/2008563-2009009cv</t>
  </si>
  <si>
    <t>103/2009009-2010430tg</t>
  </si>
  <si>
    <t>103/2010430-2011158cv</t>
  </si>
  <si>
    <t>103/2011158-2013005tg</t>
  </si>
  <si>
    <t>103/2013005-2013445cv</t>
  </si>
  <si>
    <t>103/2013445-2013815tg</t>
  </si>
  <si>
    <t>103/2013815-2014733cv</t>
  </si>
  <si>
    <t>103/2014733-2014812tg</t>
  </si>
  <si>
    <t>103/2014812-2015245cv</t>
  </si>
  <si>
    <t>103/2015245-2018849tg</t>
  </si>
  <si>
    <t>103/2018849-2019320cv</t>
  </si>
  <si>
    <t>103/2019320-2019873tg</t>
  </si>
  <si>
    <t>103/2019873-2020975cv</t>
  </si>
  <si>
    <t>103/2020975-2021007tg</t>
  </si>
  <si>
    <t>103/2021007-2021661cv</t>
  </si>
  <si>
    <t>103/2021661-2021696tg</t>
  </si>
  <si>
    <t>103/2021696-2022997cv</t>
  </si>
  <si>
    <t>103/2022997-2023196tg</t>
  </si>
  <si>
    <t>103/2023196-2023741cv</t>
  </si>
  <si>
    <t>103/2023741-2024924tg</t>
  </si>
  <si>
    <t>103/2024924-2025421cv</t>
  </si>
  <si>
    <t>103/2025421-2025511tg</t>
  </si>
  <si>
    <t>103/2025511-2026274cv</t>
  </si>
  <si>
    <t>103/2026274-2026413tg</t>
  </si>
  <si>
    <t>103/2026413-2027456cv</t>
  </si>
  <si>
    <t>103/2027456-2027535tg</t>
  </si>
  <si>
    <t>103/2027535-2028107cv</t>
  </si>
  <si>
    <t>103/2028107-2028300tg</t>
  </si>
  <si>
    <t>103/2028300-2029227cv</t>
  </si>
  <si>
    <t>103/2029227-2029993tg</t>
  </si>
  <si>
    <t>103/2029993-2030298cv</t>
  </si>
  <si>
    <t>103/2030298-2034648tg</t>
  </si>
  <si>
    <t>103/2034648-2035481cv</t>
  </si>
  <si>
    <t>103/2035481-2036241tg</t>
  </si>
  <si>
    <t>103/2036241-2037184cv</t>
  </si>
  <si>
    <t>103/2037184-2037273tg</t>
  </si>
  <si>
    <t>103/2037273-2037744cv</t>
  </si>
  <si>
    <t>103/2037744-2038163tg</t>
  </si>
  <si>
    <t>103/2038163-2038799cv</t>
  </si>
  <si>
    <t>103/2038799-2039414tg</t>
  </si>
  <si>
    <t>103/2039414-2040051cv</t>
  </si>
  <si>
    <t>103/2040051-2040104tg</t>
  </si>
  <si>
    <t>103/2040104-2040562cv</t>
  </si>
  <si>
    <t>103/2040562-2040745tg</t>
  </si>
  <si>
    <t>103/2040745-2041326cv</t>
  </si>
  <si>
    <t>103/2041326-2042466tg</t>
  </si>
  <si>
    <t>103/2042466-2043520cv</t>
  </si>
  <si>
    <t>103/2043520-2043844tg</t>
  </si>
  <si>
    <t>103/2043844-2044652cv</t>
  </si>
  <si>
    <t>103/2044652-2045102tg</t>
  </si>
  <si>
    <t>103/2045102-2046392cv</t>
  </si>
  <si>
    <t>103/2046392-2046658tg</t>
  </si>
  <si>
    <t>103/2046658-2047071cv</t>
  </si>
  <si>
    <t>103/2047071-2048259tg</t>
  </si>
  <si>
    <t>103/2048259-2048738cv</t>
  </si>
  <si>
    <t>103/2048738-2048902tg</t>
  </si>
  <si>
    <t>103/2048902-2049163cv</t>
  </si>
  <si>
    <t>103/2049163-2050345tg</t>
  </si>
  <si>
    <t>103/2050345-2050972cv</t>
  </si>
  <si>
    <t>103/2050972-2051258tg</t>
  </si>
  <si>
    <t>103/2051258-2052052cv</t>
  </si>
  <si>
    <t>103/2052052-2052135tg</t>
  </si>
  <si>
    <t>103/2052135-2053205cv</t>
  </si>
  <si>
    <t>103/2053205-2053695tg</t>
  </si>
  <si>
    <t>103/2053695-2054572cv</t>
  </si>
  <si>
    <t>103/2054572-2055169tg</t>
  </si>
  <si>
    <t>103/2055169-2055771cv</t>
  </si>
  <si>
    <t>103/2055771-2056473tg</t>
  </si>
  <si>
    <t>103/2056473-2057006cv</t>
  </si>
  <si>
    <t>103/2057006-2058081tg</t>
  </si>
  <si>
    <t>103/2058081-2059002cv</t>
  </si>
  <si>
    <t>103/2059002-2059304tg</t>
  </si>
  <si>
    <t>103/2059304-2060640cv</t>
  </si>
  <si>
    <t>103/2060640-2060917tg</t>
  </si>
  <si>
    <t>103/2060917-2061244cv</t>
  </si>
  <si>
    <t>103/2061244-2061427tg</t>
  </si>
  <si>
    <t>103/2061427-2062100cv</t>
  </si>
  <si>
    <t>103/2062100-2062313tg</t>
  </si>
  <si>
    <t>103/2062313-2063143cv</t>
  </si>
  <si>
    <t>103/2063143-2063729tg</t>
  </si>
  <si>
    <t>103/2063729-2064009cv</t>
  </si>
  <si>
    <t>103/2064009-2065032tg</t>
  </si>
  <si>
    <t>103/2065032-2065454cv</t>
  </si>
  <si>
    <t>103/2065454-2066070tg</t>
  </si>
  <si>
    <t>103/2066070-2066491cv</t>
  </si>
  <si>
    <t>103/2066491-2066601tg</t>
  </si>
  <si>
    <t>103/2066601-2067173cv</t>
  </si>
  <si>
    <t>103/2067173-2067465tg</t>
  </si>
  <si>
    <t>103/2067465-2068109cv</t>
  </si>
  <si>
    <t>103/2068109-2068284tg</t>
  </si>
  <si>
    <t>103/2068284-2068722cv</t>
  </si>
  <si>
    <t>103/2068722-2069000tg</t>
  </si>
  <si>
    <t>103/2069000-2069457cv</t>
  </si>
  <si>
    <t>103/2069457-2069676tg</t>
  </si>
  <si>
    <t>103/2069676-2070261cv</t>
  </si>
  <si>
    <t>103/2070261-2070318tg</t>
  </si>
  <si>
    <t>103/2070318-2070997cv</t>
  </si>
  <si>
    <t>103/2070997-2071048tg</t>
  </si>
  <si>
    <t>103/2071048-2071554cv</t>
  </si>
  <si>
    <t>103/2071554-2071689tg</t>
  </si>
  <si>
    <t>103/2071689-2072662cv</t>
  </si>
  <si>
    <t>103/2072662-2073103tg</t>
  </si>
  <si>
    <t>103/2073103-2074320cv</t>
  </si>
  <si>
    <t>103/2074320-2074420tg</t>
  </si>
  <si>
    <t>103/2074420-2075332cv</t>
  </si>
  <si>
    <t>103/2075332-2076109tg</t>
  </si>
  <si>
    <t>103/2076109-2076546cv</t>
  </si>
  <si>
    <t>103/2076546-2076932tg</t>
  </si>
  <si>
    <t>103/2076932-2077363cv</t>
  </si>
  <si>
    <t>103/2077363-2078632tg</t>
  </si>
  <si>
    <t>103/2078632-2079295cv</t>
  </si>
  <si>
    <t>103/2079295-2079721tg</t>
  </si>
  <si>
    <t>103/2079721-2080222cv</t>
  </si>
  <si>
    <t>103/2080222-2080502tg</t>
  </si>
  <si>
    <t>103/2080502-2080965cv</t>
  </si>
  <si>
    <t>103/2080965-2081162tg</t>
  </si>
  <si>
    <t>103/2081162-2081952cv</t>
  </si>
  <si>
    <t>103/2081952-2083107tg</t>
  </si>
  <si>
    <t>103/2083107-2083824cv</t>
  </si>
  <si>
    <t>103/2083824-2084767tg</t>
  </si>
  <si>
    <t>103/2084767-2085209cv</t>
  </si>
  <si>
    <t>103/2085209-2086122tg</t>
  </si>
  <si>
    <t>103/2086122-2087285cv</t>
  </si>
  <si>
    <t>103/2087285-2087623tg</t>
  </si>
  <si>
    <t>103/2087623-2087988cv</t>
  </si>
  <si>
    <t>103/2087988-2088110tg</t>
  </si>
  <si>
    <t>103/2088110-2088651cv</t>
  </si>
  <si>
    <t>103/2088651-2088978tg</t>
  </si>
  <si>
    <t>103/2088978-2089405cv</t>
  </si>
  <si>
    <t>103/2089405-2090009tg</t>
  </si>
  <si>
    <t>103/2090009-2090436cv</t>
  </si>
  <si>
    <t>103/2090436-2091020tg</t>
  </si>
  <si>
    <t>103/2091020-2091798cv</t>
  </si>
  <si>
    <t>103/2091798-2092252tg</t>
  </si>
  <si>
    <t>103/2092252-2092806cv</t>
  </si>
  <si>
    <t>103/2092806-2093673tg</t>
  </si>
  <si>
    <t>103/2093673-2094145cv</t>
  </si>
  <si>
    <t>103/2094145-2094199tg</t>
  </si>
  <si>
    <t>103/2094199-2094759cv</t>
  </si>
  <si>
    <t>103/2094759-2095189tg</t>
  </si>
  <si>
    <t>103/2095189-2095514cv</t>
  </si>
  <si>
    <t>103/2095514-2096313tg</t>
  </si>
  <si>
    <t>103/2096313-2096697cv</t>
  </si>
  <si>
    <t>103/2096697-2096795tg</t>
  </si>
  <si>
    <t>103/2096795-2097250cv</t>
  </si>
  <si>
    <t>103/2097250-2097565tg</t>
  </si>
  <si>
    <t>103/2097565-2097864cv</t>
  </si>
  <si>
    <t>103/2097864-2098303tg</t>
  </si>
  <si>
    <t>103/2098303-2098631cv</t>
  </si>
  <si>
    <t>103/2098631-2099194tg</t>
  </si>
  <si>
    <t>103/2099194-2099818cv</t>
  </si>
  <si>
    <t>103/2099818-2100504tg</t>
  </si>
  <si>
    <t>103/2100504-2101374cv</t>
  </si>
  <si>
    <t>103/2101374-2101670tg</t>
  </si>
  <si>
    <t>103/2101670-2102245cv</t>
  </si>
  <si>
    <t>103/2102245-2102342tg</t>
  </si>
  <si>
    <t>103/2102342-2103056cv</t>
  </si>
  <si>
    <t>103/2103056-2103103tg</t>
  </si>
  <si>
    <t>103/2103103-2103533cv</t>
  </si>
  <si>
    <t>103/2103533-2103927tg</t>
  </si>
  <si>
    <t>103/2103927-2104601cv</t>
  </si>
  <si>
    <t>103/2104601-2104767tg</t>
  </si>
  <si>
    <t>103/2104767-2105420cv</t>
  </si>
  <si>
    <t>103/2105420-2105504tg</t>
  </si>
  <si>
    <t>103/2105504-2106234cv</t>
  </si>
  <si>
    <t>103/2106234-2106281tg</t>
  </si>
  <si>
    <t>103/2106281-2107197cv</t>
  </si>
  <si>
    <t>103/2107197-2107270tg</t>
  </si>
  <si>
    <t>103/2107270-2107734cv</t>
  </si>
  <si>
    <t>103/2107734-2107772tg</t>
  </si>
  <si>
    <t>103/2107772-2108647cv</t>
  </si>
  <si>
    <t>103/2108647-2109467tg</t>
  </si>
  <si>
    <t>103/2109467-2110370cv</t>
  </si>
  <si>
    <t>103/2110370-2110461tg</t>
  </si>
  <si>
    <t>103/2110461-2111209cv</t>
  </si>
  <si>
    <t>103/2111209-2111264tg</t>
  </si>
  <si>
    <t>103/2111264-2111968cv</t>
  </si>
  <si>
    <t>103/2111968-2112262tg</t>
  </si>
  <si>
    <t>103/2112262-2112844cv</t>
  </si>
  <si>
    <t>103/2112844-2115286tg</t>
  </si>
  <si>
    <t>103/2115286-2115700cv</t>
  </si>
  <si>
    <t>103/2115700-2115778tg</t>
  </si>
  <si>
    <t>103/2115778-2116257cv</t>
  </si>
  <si>
    <t>103/2116257-2116844tg</t>
  </si>
  <si>
    <t>103/2116844-2117224cv</t>
  </si>
  <si>
    <t>103/2117224-2117650tg</t>
  </si>
  <si>
    <t>103/2117650-2118273cv</t>
  </si>
  <si>
    <t>103/2118273-2118419tg</t>
  </si>
  <si>
    <t>103/2118419-2119647cv</t>
  </si>
  <si>
    <t>103/2119647-2120138tg</t>
  </si>
  <si>
    <t>103/2120138-2120417cv</t>
  </si>
  <si>
    <t>103/2120417-2121065tg</t>
  </si>
  <si>
    <t>103/2121065-2121681cv</t>
  </si>
  <si>
    <t>103/2121681-2121821tg</t>
  </si>
  <si>
    <t>103/2121821-2122137cv</t>
  </si>
  <si>
    <t>103/2122137-2123291tg</t>
  </si>
  <si>
    <t>103/2123291-2123819cv</t>
  </si>
  <si>
    <t>103/2123819-2124016tg</t>
  </si>
  <si>
    <t>103/2124016-2124571cv</t>
  </si>
  <si>
    <t>103/2124571-2124671tg</t>
  </si>
  <si>
    <t>103/2124671-2125125cv</t>
  </si>
  <si>
    <t>103/2125125-2125300tg</t>
  </si>
  <si>
    <t>103/2125300-2125435cv</t>
  </si>
  <si>
    <t>103/2125435-2125834tg</t>
  </si>
  <si>
    <t>103/2125834-2126612cv</t>
  </si>
  <si>
    <t>103/2126612-2126854tg</t>
  </si>
  <si>
    <t>103/2126854-2128020cv</t>
  </si>
  <si>
    <t>103/2128020-2128512tg</t>
  </si>
  <si>
    <t>103/2128512-2129268cv</t>
  </si>
  <si>
    <t>103/2129268-2129732tg</t>
  </si>
  <si>
    <t>103/2129732-2130286cv</t>
  </si>
  <si>
    <t>103/2130286-2130752tg</t>
  </si>
  <si>
    <t>103/2130752-2131788cv</t>
  </si>
  <si>
    <t>103/2131788-2132420tg</t>
  </si>
  <si>
    <t>103/2132420-2132841cv</t>
  </si>
  <si>
    <t>103/2132841-2134050tg</t>
  </si>
  <si>
    <t>103/2134050-2134317cv</t>
  </si>
  <si>
    <t>103/2134317-2134917tg</t>
  </si>
  <si>
    <t>103/2134917-2135530cv</t>
  </si>
  <si>
    <t>103/2135530-2136251tg</t>
  </si>
  <si>
    <t>103/2136251-2137191cv</t>
  </si>
  <si>
    <t>103/2137191-2137989tg</t>
  </si>
  <si>
    <t>103/2137989-2139366cv</t>
  </si>
  <si>
    <t>103/2139366-2140040tg</t>
  </si>
  <si>
    <t>103/2140040-2140834cv</t>
  </si>
  <si>
    <t>103/2140834-2140983tg</t>
  </si>
  <si>
    <t>103/2140983-2141509cv</t>
  </si>
  <si>
    <t>103/2141509-2141763tg</t>
  </si>
  <si>
    <t>103/2141763-2142633cv</t>
  </si>
  <si>
    <t>103/2142633-2143299tg</t>
  </si>
  <si>
    <t>103/2143299-2143929cv</t>
  </si>
  <si>
    <t>103/2143929-2144127tg</t>
  </si>
  <si>
    <t>103/2144127-2144517cv</t>
  </si>
  <si>
    <t>103/2144517-2144550tg</t>
  </si>
  <si>
    <t>103/2144550-2144999cv</t>
  </si>
  <si>
    <t>103/2144999-2145840tg</t>
  </si>
  <si>
    <t>103/2145840-2146590cv</t>
  </si>
  <si>
    <t>103/2146590-2146762tg</t>
  </si>
  <si>
    <t>103/2146762-2147201cv</t>
  </si>
  <si>
    <t>103/2147201-2147332tg</t>
  </si>
  <si>
    <t>103/2147332-2148020cv</t>
  </si>
  <si>
    <t>103/2148020-2148204tg</t>
  </si>
  <si>
    <t>103/2148204-2148829cv</t>
  </si>
  <si>
    <t>103/2148829-2148998tg</t>
  </si>
  <si>
    <t>103/2148998-2149342cv</t>
  </si>
  <si>
    <t>103/2149342-2150032tg</t>
  </si>
  <si>
    <t>103/2150032-2150911cv</t>
  </si>
  <si>
    <t>103/2150911-2151032tg</t>
  </si>
  <si>
    <t>103/2151032-2151663cv</t>
  </si>
  <si>
    <t>103/2151663-2152733tg</t>
  </si>
  <si>
    <t>103/2152733-2153165cv</t>
  </si>
  <si>
    <t>103/2153165-2153790tg</t>
  </si>
  <si>
    <t>103/2153790-2154236cv</t>
  </si>
  <si>
    <t>103/2154236-2154515tg</t>
  </si>
  <si>
    <t>103/2154515-2155110cv</t>
  </si>
  <si>
    <t>103/2155110-2155649tg</t>
  </si>
  <si>
    <t>103/2155649-2156522cv</t>
  </si>
  <si>
    <t>103/2156522-2156709tg</t>
  </si>
  <si>
    <t>103/2156709-2157596cv</t>
  </si>
  <si>
    <t>103/2157596-2157789tg</t>
  </si>
  <si>
    <t>103/2157789-2158281cv</t>
  </si>
  <si>
    <t>103/2158281-2158645tg</t>
  </si>
  <si>
    <t>103/2158645-2159143cv</t>
  </si>
  <si>
    <t>103/2159143-2159585tg</t>
  </si>
  <si>
    <t>103/2159585-2160320cv</t>
  </si>
  <si>
    <t>103/2160320-2160351tg</t>
  </si>
  <si>
    <t>103/2160351-2161160cv</t>
  </si>
  <si>
    <t>103/2161160-2162071tg</t>
  </si>
  <si>
    <t>103/2162071-2162466cv</t>
  </si>
  <si>
    <t>103/2162466-2162670tg</t>
  </si>
  <si>
    <t>103/2162670-2163237cv</t>
  </si>
  <si>
    <t>103/2163237-2164605tg</t>
  </si>
  <si>
    <t>103/2164605-2165149cv</t>
  </si>
  <si>
    <t>103/2165149-2165228tg</t>
  </si>
  <si>
    <t>103/2165228-2165739cv</t>
  </si>
  <si>
    <t>103/2165739-2166348tg</t>
  </si>
  <si>
    <t>103/2166348-2166824cv</t>
  </si>
  <si>
    <t>103/2166824-2167595tg</t>
  </si>
  <si>
    <t>103/2167595-2168390cv</t>
  </si>
  <si>
    <t>103/2168390-2168632tg</t>
  </si>
  <si>
    <t>103/2168632-2169043cv</t>
  </si>
  <si>
    <t>103/2169043-2169599tg</t>
  </si>
  <si>
    <t>103/2169599-2170279cv</t>
  </si>
  <si>
    <t>103/2170279-2170748tg</t>
  </si>
  <si>
    <t>103/2170748-2171100cv</t>
  </si>
  <si>
    <t>103/2171100-2171168tg</t>
  </si>
  <si>
    <t>103/2171168-2171694cv</t>
  </si>
  <si>
    <t>103/2171694-2172525tg</t>
  </si>
  <si>
    <t>103/2172525-2173134cv</t>
  </si>
  <si>
    <t>103/2173134-2173659tg</t>
  </si>
  <si>
    <t>103/2173659-2174460cv</t>
  </si>
  <si>
    <t>103/2174460-2174963tg</t>
  </si>
  <si>
    <t>103/2174963-2175544cv</t>
  </si>
  <si>
    <t>103/2175544-2176092tg</t>
  </si>
  <si>
    <t>103/2176092-2176593cv</t>
  </si>
  <si>
    <t>103/2176593-2176979tg</t>
  </si>
  <si>
    <t>103/2176979-2177412cv</t>
  </si>
  <si>
    <t>103/2177412-2177963tg</t>
  </si>
  <si>
    <t>103/2177963-2178483cv</t>
  </si>
  <si>
    <t>103/2178483-2178977tg</t>
  </si>
  <si>
    <t>103/2178977-2179322cv</t>
  </si>
  <si>
    <t>103/2179322-2180016tg</t>
  </si>
  <si>
    <t>103/2180016-2180729cv</t>
  </si>
  <si>
    <t>103/2180729-2181110tg</t>
  </si>
  <si>
    <t>103/2181110-2181598cv</t>
  </si>
  <si>
    <t>103/2181598-2181766tg</t>
  </si>
  <si>
    <t>103/2181766-2182304cv</t>
  </si>
  <si>
    <t>103/2182304-2183521tg</t>
  </si>
  <si>
    <t>103/2183521-2184054cv</t>
  </si>
  <si>
    <t>103/2184054-2184208tg</t>
  </si>
  <si>
    <t>103/2184208-2185042cv</t>
  </si>
  <si>
    <t>103/2185042-2185398tg</t>
  </si>
  <si>
    <t>103/2185398-2186266cv</t>
  </si>
  <si>
    <t>103/2186266-2186949tg</t>
  </si>
  <si>
    <t>103/2186949-2187745cv</t>
  </si>
  <si>
    <t>103/2187745-2187909tg</t>
  </si>
  <si>
    <t>103/2187909-2188833cv</t>
  </si>
  <si>
    <t>103/2188833-2189445tg</t>
  </si>
  <si>
    <t>103/2189445-2190095cv</t>
  </si>
  <si>
    <t>103/2190095-2190488tg</t>
  </si>
  <si>
    <t>103/2190488-2191031cv</t>
  </si>
  <si>
    <t>103/2191031-2191183tg</t>
  </si>
  <si>
    <t>103/2191183-2191851cv</t>
  </si>
  <si>
    <t>103/2191851-2192618tg</t>
  </si>
  <si>
    <t>103/2192618-2193482cv</t>
  </si>
  <si>
    <t>103/2193482-2193517tg</t>
  </si>
  <si>
    <t>103/2193517-2194482cv</t>
  </si>
  <si>
    <t>103/2194482-2194641tg</t>
  </si>
  <si>
    <t>103/2194641-2195219cv</t>
  </si>
  <si>
    <t>103/2195219-2196159tg</t>
  </si>
  <si>
    <t>103/2196159-2196493cv</t>
  </si>
  <si>
    <t>103/2196493-2197073tg</t>
  </si>
  <si>
    <t>103/2197073-2197406cv</t>
  </si>
  <si>
    <t>103/2197406-2198134tg</t>
  </si>
  <si>
    <t>103/2198134-2198440cv</t>
  </si>
  <si>
    <t>103/2198440-2199102tg</t>
  </si>
  <si>
    <t>103/2199102-2199366cv</t>
  </si>
  <si>
    <t>103/2199366-2199505tg</t>
  </si>
  <si>
    <t>103/2199505-2200652cv</t>
  </si>
  <si>
    <t>103/2200652-2200679tg</t>
  </si>
  <si>
    <t>103/2200679-2201371cv</t>
  </si>
  <si>
    <t>103/2201371-2201598tg</t>
  </si>
  <si>
    <t>103/2201598-2202114cv</t>
  </si>
  <si>
    <t>103/2202114-2202446tg</t>
  </si>
  <si>
    <t>103/2202446-2203083cv</t>
  </si>
  <si>
    <t>103/2203083-2203266tg</t>
  </si>
  <si>
    <t>103/2203266-2203643cv</t>
  </si>
  <si>
    <t>102/000100-000504cv</t>
  </si>
  <si>
    <t>POS-PAS</t>
  </si>
  <si>
    <t>102/000504-001131tg</t>
  </si>
  <si>
    <t>102/001131-001574cv</t>
  </si>
  <si>
    <t>102/001574-001621tg</t>
  </si>
  <si>
    <t>102/001621-002071cv</t>
  </si>
  <si>
    <t>102/002071-002659tg</t>
  </si>
  <si>
    <t>102/002659-003042cv</t>
  </si>
  <si>
    <t>102/003042-003075tg</t>
  </si>
  <si>
    <t>102/003075-003661cv</t>
  </si>
  <si>
    <t>102/003661-004025tg</t>
  </si>
  <si>
    <t>102/004025-004606cv</t>
  </si>
  <si>
    <t>102/004606-004779tg</t>
  </si>
  <si>
    <t>102/004779-005562cv</t>
  </si>
  <si>
    <t>102/005562-005625tg</t>
  </si>
  <si>
    <t>102/005625-006082cv</t>
  </si>
  <si>
    <t>102/006082-006664tg</t>
  </si>
  <si>
    <t>102/006664-007087cv</t>
  </si>
  <si>
    <t>102/007087-007120tg</t>
  </si>
  <si>
    <t>102/007120-007950cv</t>
  </si>
  <si>
    <t>102/007950-008087tg</t>
  </si>
  <si>
    <t>102/008087-008697cv</t>
  </si>
  <si>
    <t>102/008697-009234tg</t>
  </si>
  <si>
    <t>102/009234-009751cv</t>
  </si>
  <si>
    <t>102/009751-010006tg</t>
  </si>
  <si>
    <t>102/010006-010433cv</t>
  </si>
  <si>
    <t>102/010433-010598tg</t>
  </si>
  <si>
    <t>102/010598-011182cv</t>
  </si>
  <si>
    <t>102/011182-011633tg</t>
  </si>
  <si>
    <t>102/011633-011911cv</t>
  </si>
  <si>
    <t>102/011911-012182tg</t>
  </si>
  <si>
    <t>102/012182-013375cv</t>
  </si>
  <si>
    <t>102/013375-013563tg</t>
  </si>
  <si>
    <t>102/013563-014050cv</t>
  </si>
  <si>
    <t>102/014050-014192tg</t>
  </si>
  <si>
    <t>102/014192-014456cv</t>
  </si>
  <si>
    <t>102/014456-014866tg</t>
  </si>
  <si>
    <t>102/014866-015159cv</t>
  </si>
  <si>
    <t>102/015159-015337tg</t>
  </si>
  <si>
    <t>102/015337-015583cv</t>
  </si>
  <si>
    <t>102/015583-016068tg</t>
  </si>
  <si>
    <t>102/016068-016557cv</t>
  </si>
  <si>
    <t>102/016557-016603tg</t>
  </si>
  <si>
    <t>102/016603-017036cv</t>
  </si>
  <si>
    <t>102/017036-017083tg</t>
  </si>
  <si>
    <t>102/017083-017727cv</t>
  </si>
  <si>
    <t>102/017727-018105tg</t>
  </si>
  <si>
    <t>102/018105-018240cv</t>
  </si>
  <si>
    <t>102/018240-019177tg</t>
  </si>
  <si>
    <t>102/019177-019416cv</t>
  </si>
  <si>
    <t>102/019416-019492tg</t>
  </si>
  <si>
    <t>102/019492-020063cv</t>
  </si>
  <si>
    <t>102/020063-020079tg</t>
  </si>
  <si>
    <t>102/020079-020907cv</t>
  </si>
  <si>
    <t>102/020907-021145tg</t>
  </si>
  <si>
    <t>102/021145-021593cv</t>
  </si>
  <si>
    <t>102/021593-022262tg</t>
  </si>
  <si>
    <t>102/022262-022918cv</t>
  </si>
  <si>
    <t>102/022918-022934tg</t>
  </si>
  <si>
    <t>102/022934-023581cv</t>
  </si>
  <si>
    <t>102/023581-024104tg</t>
  </si>
  <si>
    <t>102/024104-024819cv</t>
  </si>
  <si>
    <t>102/024819-024914tg</t>
  </si>
  <si>
    <t>102/024914-025294cv</t>
  </si>
  <si>
    <t>102/025294-025475tg</t>
  </si>
  <si>
    <t>102/025475-025910cv</t>
  </si>
  <si>
    <t>102/025910-026040tg</t>
  </si>
  <si>
    <t>102/026040-026352cv</t>
  </si>
  <si>
    <t>102/026045-026650cv</t>
  </si>
  <si>
    <t>102/026352-026045tg</t>
  </si>
  <si>
    <t>102/026650-026707tg</t>
  </si>
  <si>
    <t>102/026707-027114cv</t>
  </si>
  <si>
    <t>102/027114-027198tg</t>
  </si>
  <si>
    <t>102/027198-027512cv</t>
  </si>
  <si>
    <t>102/027512-027529tg</t>
  </si>
  <si>
    <t>102/027529-027884cv</t>
  </si>
  <si>
    <t>102/027884-027963tg</t>
  </si>
  <si>
    <t>102/027963-028169cv</t>
  </si>
  <si>
    <t>102/028169-028210tg</t>
  </si>
  <si>
    <t>102/028210-028631cv</t>
  </si>
  <si>
    <t>102/028631-029502tg</t>
  </si>
  <si>
    <t>102/029502-029726cv</t>
  </si>
  <si>
    <t>102/029726-029872tg</t>
  </si>
  <si>
    <t>102/029872-030159cv</t>
  </si>
  <si>
    <t>102/030159-030211tg</t>
  </si>
  <si>
    <t>102/030211-030534cv</t>
  </si>
  <si>
    <t>102/030534-031084tg</t>
  </si>
  <si>
    <t>102/031084-031328cv</t>
  </si>
  <si>
    <t>102/031328-031350tg</t>
  </si>
  <si>
    <t>102/031350-032005cv</t>
  </si>
  <si>
    <t>102/032005-032025tg</t>
  </si>
  <si>
    <t>102/032025-032405cv</t>
  </si>
  <si>
    <t>102/032405-032469tg</t>
  </si>
  <si>
    <t>102/032469-032793cv</t>
  </si>
  <si>
    <t>102/032793-032922tg</t>
  </si>
  <si>
    <t>102/032922-033423cv</t>
  </si>
  <si>
    <t>102/033423-033505tg</t>
  </si>
  <si>
    <t>102/033505-033937cv</t>
  </si>
  <si>
    <t>102/033937-034291tg</t>
  </si>
  <si>
    <t>102/034291-034877cv</t>
  </si>
  <si>
    <t>102/034877-035787tg</t>
  </si>
  <si>
    <t>102/035787-036535cv</t>
  </si>
  <si>
    <t>102/036535-036597tg</t>
  </si>
  <si>
    <t>102/036597-036813cv</t>
  </si>
  <si>
    <t>102/036813-037278tg</t>
  </si>
  <si>
    <t>102/037278-037626cv</t>
  </si>
  <si>
    <t>102/037626-037912tg</t>
  </si>
  <si>
    <t>102/037912-038471cv</t>
  </si>
  <si>
    <t>102/038471-039057tg</t>
  </si>
  <si>
    <t>102/039057-039494cv</t>
  </si>
  <si>
    <t>102/039494-039611tg</t>
  </si>
  <si>
    <t>102/039611-040132cv</t>
  </si>
  <si>
    <t>102/040132-040669tg</t>
  </si>
  <si>
    <t>102/040669-041129cv</t>
  </si>
  <si>
    <t>102/041129-041740tg</t>
  </si>
  <si>
    <t>102/041740-042411cv</t>
  </si>
  <si>
    <t>102/042411-042501tg</t>
  </si>
  <si>
    <t>102/042501-042723cv</t>
  </si>
  <si>
    <t>102/042723-043234tg</t>
  </si>
  <si>
    <t>102/043234-043644cv</t>
  </si>
  <si>
    <t>102/043644-044190tg</t>
  </si>
  <si>
    <t>102/044190-044416cv</t>
  </si>
  <si>
    <t>102/044416-044582tg</t>
  </si>
  <si>
    <t>102/044582-044785cv</t>
  </si>
  <si>
    <t>102/044785-045074tg</t>
  </si>
  <si>
    <t>102/045074-045864cv</t>
  </si>
  <si>
    <t>102/045864-045902tg</t>
  </si>
  <si>
    <t>102/045902-046148cv</t>
  </si>
  <si>
    <t>102/046148-046764tg</t>
  </si>
  <si>
    <t>102/046764-046981cv</t>
  </si>
  <si>
    <t>102/046981-047644tg</t>
  </si>
  <si>
    <t>102/047644-048465cv</t>
  </si>
  <si>
    <t>102/048465-048773tg</t>
  </si>
  <si>
    <t>102/048773-049179cv</t>
  </si>
  <si>
    <t>102/049179-049245tg</t>
  </si>
  <si>
    <t>102/049245-049971cv</t>
  </si>
  <si>
    <t>102/049971-050090tg</t>
  </si>
  <si>
    <t>102/050090-050503cv</t>
  </si>
  <si>
    <t>102/050503-050880tg</t>
  </si>
  <si>
    <t>102/050880-051193cv</t>
  </si>
  <si>
    <t>101/717900-719183tg</t>
  </si>
  <si>
    <t>POS-PPN</t>
  </si>
  <si>
    <t>101/719183-719886cv</t>
  </si>
  <si>
    <t>101/719886-720613tg</t>
  </si>
  <si>
    <t>101/720613-720825cv</t>
  </si>
  <si>
    <t>101/720825-722266tg</t>
  </si>
  <si>
    <t>101/722266-722918cv</t>
  </si>
  <si>
    <t>101/722918-725087tg</t>
  </si>
  <si>
    <t>101/725087-725551cv</t>
  </si>
  <si>
    <t>101/725551-725731tg</t>
  </si>
  <si>
    <t>101/725731-726120cv</t>
  </si>
  <si>
    <t>101/726120-726190tg</t>
  </si>
  <si>
    <t>101/726190-726470cv</t>
  </si>
  <si>
    <t>101/726470-726507tg</t>
  </si>
  <si>
    <t>101/726507-727131cv</t>
  </si>
  <si>
    <t>101/727131-727133tg</t>
  </si>
  <si>
    <t>101/727133-727781cv</t>
  </si>
  <si>
    <t>101/727781-727997tg</t>
  </si>
  <si>
    <t>101/727997-728351cv</t>
  </si>
  <si>
    <t>101/728351-729119tg</t>
  </si>
  <si>
    <t>101/729119-729594cv</t>
  </si>
  <si>
    <t>101/729594-729640tg</t>
  </si>
  <si>
    <t>101/729640-730060cv</t>
  </si>
  <si>
    <t>101/730060-730118tg</t>
  </si>
  <si>
    <t>101/730118-730586cv</t>
  </si>
  <si>
    <t>101/730586-730636tg</t>
  </si>
  <si>
    <t>101/730636-730944cv</t>
  </si>
  <si>
    <t>101/730944-730950tg</t>
  </si>
  <si>
    <t>101/730950-731404cv</t>
  </si>
  <si>
    <t>101/731404-731648tg</t>
  </si>
  <si>
    <t>101/731648-732324cv</t>
  </si>
  <si>
    <t>101/732324-732390tg</t>
  </si>
  <si>
    <t>101/732390-732569cv</t>
  </si>
  <si>
    <t>101/732569-732620tg</t>
  </si>
  <si>
    <t>101/732620-732894cv</t>
  </si>
  <si>
    <t>101/732894-732943tg</t>
  </si>
  <si>
    <t>101/732943-733159cv</t>
  </si>
  <si>
    <t>101/733159-733257tg</t>
  </si>
  <si>
    <t>101/733257-733469cv</t>
  </si>
  <si>
    <t>101/733469-733565tg</t>
  </si>
  <si>
    <t>101/733565-733759cv</t>
  </si>
  <si>
    <t>101/733759-733806tg</t>
  </si>
  <si>
    <t>101/733806-734369cv</t>
  </si>
  <si>
    <t>101/734308-734527cv</t>
  </si>
  <si>
    <t>101/734369-734308tg</t>
  </si>
  <si>
    <t>101/734527-734669tg</t>
  </si>
  <si>
    <t>101/734669-734963cv</t>
  </si>
  <si>
    <t>101/734963-735080tg</t>
  </si>
  <si>
    <t>101/735080-735544cv</t>
  </si>
  <si>
    <t>101/735544-735651tg</t>
  </si>
  <si>
    <t>101/735651-736169cv</t>
  </si>
  <si>
    <t>101/736169-736645tg</t>
  </si>
  <si>
    <t>101/736645-736990cv</t>
  </si>
  <si>
    <t>101/736990-737264tg</t>
  </si>
  <si>
    <t>101/737264-737652cv</t>
  </si>
  <si>
    <t>101/737652-737774tg</t>
  </si>
  <si>
    <t>101/737774-738257cv</t>
  </si>
  <si>
    <t>101/738257-738317tg</t>
  </si>
  <si>
    <t>101/738317-738706cv</t>
  </si>
  <si>
    <t>101/738706-738736tg</t>
  </si>
  <si>
    <t>101/738736-739448cv</t>
  </si>
  <si>
    <t>101/739448-739560tg</t>
  </si>
  <si>
    <t>101/739560-740419cv</t>
  </si>
  <si>
    <t>101/740419-740510tg</t>
  </si>
  <si>
    <t>101/740510-741015cv</t>
  </si>
  <si>
    <t>101/741015-741079tg</t>
  </si>
  <si>
    <t>101/741079-742059cv</t>
  </si>
  <si>
    <t>101/742059-742525tg</t>
  </si>
  <si>
    <t>101/742525-743603cv</t>
  </si>
  <si>
    <t>101/743603-744506tg</t>
  </si>
  <si>
    <t>101/744506-744856cv</t>
  </si>
  <si>
    <t>101/744856-745299tg</t>
  </si>
  <si>
    <t>101/745299-745710cv</t>
  </si>
  <si>
    <t>101/745710-745900tg</t>
  </si>
  <si>
    <t>101/745900-746963cv</t>
  </si>
  <si>
    <t>101/746963-747325tg</t>
  </si>
  <si>
    <t>101/747325-748284cv</t>
  </si>
  <si>
    <t>101/748284-748535tg</t>
  </si>
  <si>
    <t>101/748535-748859tg</t>
  </si>
  <si>
    <t>101/748859-749339cv</t>
  </si>
  <si>
    <t>101/749339-749458tg</t>
  </si>
  <si>
    <t>101/749458-750623cv</t>
  </si>
  <si>
    <t>101/750623-750998tg</t>
  </si>
  <si>
    <t>101/750998-751873cv</t>
  </si>
  <si>
    <t>101/751873-752181tg</t>
  </si>
  <si>
    <t>101/752181-752713cv</t>
  </si>
  <si>
    <t>101/752713-752725tg</t>
  </si>
  <si>
    <t>101/752725-753330cv</t>
  </si>
  <si>
    <t>101/753330-753803tg</t>
  </si>
  <si>
    <t>101/753803-754614cv</t>
  </si>
  <si>
    <t>101/754614-754986tg</t>
  </si>
  <si>
    <t>101/754986-755355cv</t>
  </si>
  <si>
    <t>101/755355-755585tg</t>
  </si>
  <si>
    <t>101/755585-756175cv</t>
  </si>
  <si>
    <t>101/756175-757003tg</t>
  </si>
  <si>
    <t>101/757003-757435cv</t>
  </si>
  <si>
    <t>101/757435-758336tg</t>
  </si>
  <si>
    <t>101/758336-759429cv</t>
  </si>
  <si>
    <t>101/759429-759802tg</t>
  </si>
  <si>
    <t>101/759802-760135cv</t>
  </si>
  <si>
    <t>101/760135-760393tg</t>
  </si>
  <si>
    <t>101/760393-760846cv</t>
  </si>
  <si>
    <t>101/760846-761331tg</t>
  </si>
  <si>
    <t>101/761331-761969cv</t>
  </si>
  <si>
    <t>101/761969-762914tg</t>
  </si>
  <si>
    <t>101/762914-764158cv</t>
  </si>
  <si>
    <t>101/764158-764651tg</t>
  </si>
  <si>
    <t>101/764651-765152cv</t>
  </si>
  <si>
    <t>101/765152-765819tg</t>
  </si>
  <si>
    <t>101/765819-766264cv</t>
  </si>
  <si>
    <t>101/766264-767397tg</t>
  </si>
  <si>
    <t>101/767397-768591cv</t>
  </si>
  <si>
    <t>101/768591-768720tg</t>
  </si>
  <si>
    <t>101/768720-769261cv</t>
  </si>
  <si>
    <t>101/769261-769319tg</t>
  </si>
  <si>
    <t>101/769319-769766cv</t>
  </si>
  <si>
    <t>101/769766-769891tg</t>
  </si>
  <si>
    <t>101/769891-770431cv</t>
  </si>
  <si>
    <t>101/770431-770637tg</t>
  </si>
  <si>
    <t>101/770637-771302cv</t>
  </si>
  <si>
    <t>101/771302-771446tg</t>
  </si>
  <si>
    <t>101/771446-771983cv</t>
  </si>
  <si>
    <t>101/771983-772415tg</t>
  </si>
  <si>
    <t>101/772415-772894cv</t>
  </si>
  <si>
    <t>101/772894-773130tg</t>
  </si>
  <si>
    <t>101/773130-773623cv</t>
  </si>
  <si>
    <t>101/773623-773913tg</t>
  </si>
  <si>
    <t>101/773913-774676cv</t>
  </si>
  <si>
    <t>101/774676-775010tg</t>
  </si>
  <si>
    <t>101/775010-775748cv</t>
  </si>
  <si>
    <t>101/775748-775830tg</t>
  </si>
  <si>
    <t>101/775830-776460cv</t>
  </si>
  <si>
    <t>101/776460-777469tg</t>
  </si>
  <si>
    <t>101/777469-778366cv</t>
  </si>
  <si>
    <t>101/778366-778719tg</t>
  </si>
  <si>
    <t>101/778719-779223cv</t>
  </si>
  <si>
    <t>101/779223-779828tg</t>
  </si>
  <si>
    <t>101/779828-781109cv</t>
  </si>
  <si>
    <t>101/781109-782224tg</t>
  </si>
  <si>
    <t>101/782224-783802cv</t>
  </si>
  <si>
    <t>101/783802-784028tg</t>
  </si>
  <si>
    <t>101/784028-785121cv</t>
  </si>
  <si>
    <t>101/785121-785442tg</t>
  </si>
  <si>
    <t>101/785442-786073cv</t>
  </si>
  <si>
    <t>101/786073-786659tg</t>
  </si>
  <si>
    <t>101/786659-787556cv</t>
  </si>
  <si>
    <t>101/787556-788583tg</t>
  </si>
  <si>
    <t>101/788583-789323cv</t>
  </si>
  <si>
    <t>101/789323-789473tg</t>
  </si>
  <si>
    <t>101/789473-790299cv</t>
  </si>
  <si>
    <t>101/790299-791476tg</t>
  </si>
  <si>
    <t>101/791476-792334cv</t>
  </si>
  <si>
    <t>101/792334-792949tg</t>
  </si>
  <si>
    <t>101/792949-794213cv</t>
  </si>
  <si>
    <t>101/794213-794753tg</t>
  </si>
  <si>
    <t>101/794753-795517cv</t>
  </si>
  <si>
    <t>101/795517-796998tg</t>
  </si>
  <si>
    <t>101/796998-797593cv</t>
  </si>
  <si>
    <t>101/797593-798163tg</t>
  </si>
  <si>
    <t>101/798163-798641cv</t>
  </si>
  <si>
    <t>101/798641-798882tg</t>
  </si>
  <si>
    <t>101/798882-799529cv</t>
  </si>
  <si>
    <t>101/799529-799926tg</t>
  </si>
  <si>
    <t>101/799926-800297cv</t>
  </si>
  <si>
    <t>101/800297-800727tg</t>
  </si>
  <si>
    <t>101/800727-801174cv</t>
  </si>
  <si>
    <t>101/801174-801532tg</t>
  </si>
  <si>
    <t>101/801532-802289cv</t>
  </si>
  <si>
    <t>101/802289-803404tg</t>
  </si>
  <si>
    <t>101/803404-803876cv</t>
  </si>
  <si>
    <t>101/803876-803949tg</t>
  </si>
  <si>
    <t>101/803949-804617cv</t>
  </si>
  <si>
    <t>101/804617-804651tg</t>
  </si>
  <si>
    <t>101/804651-805164cv</t>
  </si>
  <si>
    <t>101/805164-805521tg</t>
  </si>
  <si>
    <t>101/805521-805994cv</t>
  </si>
  <si>
    <t>101/805994-806268tg</t>
  </si>
  <si>
    <t>101/806268-807003cv</t>
  </si>
  <si>
    <t>101/807003-807101tg</t>
  </si>
  <si>
    <t>101/807101-807670cv</t>
  </si>
  <si>
    <t>101/807670-807865tg</t>
  </si>
  <si>
    <t>101/807865-808046cv</t>
  </si>
  <si>
    <t>101/808046-808113tg</t>
  </si>
  <si>
    <t>101/808113-808378cv</t>
  </si>
  <si>
    <t>101/808378-808463tg</t>
  </si>
  <si>
    <t>101/808463-809292cv</t>
  </si>
  <si>
    <t>101/809292-809355tg</t>
  </si>
  <si>
    <t>101/809355-809899cv</t>
  </si>
  <si>
    <t>101/809899-810111tg</t>
  </si>
  <si>
    <t>101/810111-810446cv</t>
  </si>
  <si>
    <t>101/810446-810616tg</t>
  </si>
  <si>
    <t>101/810616-811157cv</t>
  </si>
  <si>
    <t>101/811157-811251tg</t>
  </si>
  <si>
    <t>101/811251-811735cv</t>
  </si>
  <si>
    <t>101/811735-812004tg</t>
  </si>
  <si>
    <t>101/812004-812375cv</t>
  </si>
  <si>
    <t>101/812375-812409tg</t>
  </si>
  <si>
    <t>101/812409-812976cv</t>
  </si>
  <si>
    <t>101/812976-813355tg</t>
  </si>
  <si>
    <t>101/813355-813992cv</t>
  </si>
  <si>
    <t>101/813992-814181tg</t>
  </si>
  <si>
    <t>101/814181-814784cv</t>
  </si>
  <si>
    <t>101/814784-815356tg</t>
  </si>
  <si>
    <t>101/815356-815773cv</t>
  </si>
  <si>
    <t>101/815773-816034tg</t>
  </si>
  <si>
    <t>101/816034-816372cv</t>
  </si>
  <si>
    <t>101/816372-816465tg</t>
  </si>
  <si>
    <t>101/816465-816937cv</t>
  </si>
  <si>
    <t>101/816937-817371tg</t>
  </si>
  <si>
    <t>101/817371-818289cv</t>
  </si>
  <si>
    <t>101/818289-818502tg</t>
  </si>
  <si>
    <t>101/818502-818821cv</t>
  </si>
  <si>
    <t>101/818821-819285tg</t>
  </si>
  <si>
    <t>101/819285-820051cv</t>
  </si>
  <si>
    <t>101/820051-820405tg</t>
  </si>
  <si>
    <t>101/820405-821022cv</t>
  </si>
  <si>
    <t>101/821022-821228tg</t>
  </si>
  <si>
    <t>101/821228-821824cv</t>
  </si>
  <si>
    <t>101/821824-821838tg</t>
  </si>
  <si>
    <t>101/821838-822405cv</t>
  </si>
  <si>
    <t>101/822405-822796tg</t>
  </si>
  <si>
    <t>101/822796-823371cv</t>
  </si>
  <si>
    <t>101/823371-823787tg</t>
  </si>
  <si>
    <t>101/823787-824176cv</t>
  </si>
  <si>
    <t>101/824176-824195tg</t>
  </si>
  <si>
    <t>101/824195-824742cv</t>
  </si>
  <si>
    <t>101/824742-824781tg</t>
  </si>
  <si>
    <t>101/824781-825191cv</t>
  </si>
  <si>
    <t>101/825191-825235tg</t>
  </si>
  <si>
    <t>101/825235-825896cv</t>
  </si>
  <si>
    <t>101/825896-825919tg</t>
  </si>
  <si>
    <t>101/825919-826249cv</t>
  </si>
  <si>
    <t>101/826249-827376tg</t>
  </si>
  <si>
    <t>101/827376-827973cv</t>
  </si>
  <si>
    <t>101/827973-828041tg</t>
  </si>
  <si>
    <t>101/828041-828805cv</t>
  </si>
  <si>
    <t>101/828805-829300tg</t>
  </si>
  <si>
    <t>101/829300-829564cv</t>
  </si>
  <si>
    <t>101/829564-829592tg</t>
  </si>
  <si>
    <t>101/829592-830133cv</t>
  </si>
  <si>
    <t>101/830133-830161tg</t>
  </si>
  <si>
    <t>101/830161-830665cv</t>
  </si>
  <si>
    <t>101/830665-830773tg</t>
  </si>
  <si>
    <t>101/830773-831219cv</t>
  </si>
  <si>
    <t>101/831219-831579tg</t>
  </si>
  <si>
    <t>101/831579-832245cv</t>
  </si>
  <si>
    <t>101/832245-832324tg</t>
  </si>
  <si>
    <t>101/832324-832679cv</t>
  </si>
  <si>
    <t>101/832679-832732tg</t>
  </si>
  <si>
    <t>101/832732-833126cv</t>
  </si>
  <si>
    <t>101/833126-833154tg</t>
  </si>
  <si>
    <t>101/833154-833957cv</t>
  </si>
  <si>
    <t>101/833957-834098tg</t>
  </si>
  <si>
    <t>101/834098-834598cv</t>
  </si>
  <si>
    <t>101/834598-834670tg</t>
  </si>
  <si>
    <t>101/834670-835307cv</t>
  </si>
  <si>
    <t>101/835307-835449tg</t>
  </si>
  <si>
    <t>101/835449-836239cv</t>
  </si>
  <si>
    <t>101/836239-836294tg</t>
  </si>
  <si>
    <t>101/836294-836889cv</t>
  </si>
  <si>
    <t>101/836889-838993tg</t>
  </si>
  <si>
    <t>101/838993-839580cv</t>
  </si>
  <si>
    <t>101/839580-840177tg</t>
  </si>
  <si>
    <t>101/840177-840538cv</t>
  </si>
  <si>
    <t>101/840538-840626tg</t>
  </si>
  <si>
    <t>101/840626-841297cv</t>
  </si>
  <si>
    <t>101/841297-841394tg</t>
  </si>
  <si>
    <t>101/841394-841806cv</t>
  </si>
  <si>
    <t>101/841806-842105tg</t>
  </si>
  <si>
    <t>101/842105-842752tg</t>
  </si>
  <si>
    <t>101/842752-843699tg</t>
  </si>
  <si>
    <t>101/843699-844209cv</t>
  </si>
  <si>
    <t>101/844209-845483tg</t>
  </si>
  <si>
    <t>101/845483-846272cv</t>
  </si>
  <si>
    <t>101/846272-847826tg</t>
  </si>
  <si>
    <t>101/847826-848231cv</t>
  </si>
  <si>
    <t>101/848231-849203tg</t>
  </si>
  <si>
    <t>101/849203-850445cv</t>
  </si>
  <si>
    <t>101/850445-852118tg</t>
  </si>
  <si>
    <t>101/852118-853030cv</t>
  </si>
  <si>
    <t>101/853030-853231tg</t>
  </si>
  <si>
    <t>101/853231-854204cv</t>
  </si>
  <si>
    <t>101/854204-854447tg</t>
  </si>
  <si>
    <t>101/854447-855194cv</t>
  </si>
  <si>
    <t>101/855194-855767tg</t>
  </si>
  <si>
    <t>101/855767-856328cv</t>
  </si>
  <si>
    <t>101/856328-856401tg</t>
  </si>
  <si>
    <t>101/856401-857445cv</t>
  </si>
  <si>
    <t>101/857445-857615tg</t>
  </si>
  <si>
    <t>101/857615-859037cv</t>
  </si>
  <si>
    <t>101/859037-859172tg</t>
  </si>
  <si>
    <t>101/859172-859654cv</t>
  </si>
  <si>
    <t>101/859654-860908tg</t>
  </si>
  <si>
    <t>101/860908-861870cv</t>
  </si>
  <si>
    <t>101/861870-863017tg</t>
  </si>
  <si>
    <t>101/863017-863694cv</t>
  </si>
  <si>
    <t>101/863694-864085tg</t>
  </si>
  <si>
    <t>101/864085-865348cv</t>
  </si>
  <si>
    <t>101/865348-866348tg</t>
  </si>
  <si>
    <t>101/866348-866911cv</t>
  </si>
  <si>
    <t>101/866911-867054tg</t>
  </si>
  <si>
    <t>101/867054-867794cv</t>
  </si>
  <si>
    <t>101/867794-869003tg</t>
  </si>
  <si>
    <t>101/869003-869870cv</t>
  </si>
  <si>
    <t>101/869870-870240tg</t>
  </si>
  <si>
    <t>101/870240-870832cv</t>
  </si>
  <si>
    <t>101/870832-871174tg</t>
  </si>
  <si>
    <t>101/871174-871654cv</t>
  </si>
  <si>
    <t>101/871654-873158tg</t>
  </si>
  <si>
    <t>101/873158-873760cv</t>
  </si>
  <si>
    <t>101/873760-873902tg</t>
  </si>
  <si>
    <t>101/873902-875647cv</t>
  </si>
  <si>
    <t>101/875647-880679tg</t>
  </si>
  <si>
    <t>101/880679-881415cv</t>
  </si>
  <si>
    <t>101/881415-882188tg</t>
  </si>
  <si>
    <t>101/882188-882494cv</t>
  </si>
  <si>
    <t>101/882494-882520tg</t>
  </si>
  <si>
    <t>101/882520-885545cv</t>
  </si>
  <si>
    <t>101/885545-885714tg</t>
  </si>
  <si>
    <t>101/885714-886182cv</t>
  </si>
  <si>
    <t>101/886182-886307tg</t>
  </si>
  <si>
    <t>101/886307-886890cv</t>
  </si>
  <si>
    <t>101/886890-887089tg</t>
  </si>
  <si>
    <t>101/887089-887755cv</t>
  </si>
  <si>
    <t>101/887755-888291tg</t>
  </si>
  <si>
    <t>101/888291-888743cv</t>
  </si>
  <si>
    <t>101/888743-888777tg</t>
  </si>
  <si>
    <t>101/888777-889440cv</t>
  </si>
  <si>
    <t>101/889440-890186tg</t>
  </si>
  <si>
    <t>101/890186-890854cv</t>
  </si>
  <si>
    <t>101/890854-891090tg</t>
  </si>
  <si>
    <t>101/891090-892050cv</t>
  </si>
  <si>
    <t>101/892050-892083tg</t>
  </si>
  <si>
    <t>101/892083-892723cv</t>
  </si>
  <si>
    <t>101/892723-893051tg</t>
  </si>
  <si>
    <t>101/893051-893623cv</t>
  </si>
  <si>
    <t>101/893623-893707tg</t>
  </si>
  <si>
    <t>101/893707-894049cv</t>
  </si>
  <si>
    <t>101/894049-894103tg</t>
  </si>
  <si>
    <t>101/894103-894701cv</t>
  </si>
  <si>
    <t>101/894701-894742tg</t>
  </si>
  <si>
    <t>101/894742-895450cv</t>
  </si>
  <si>
    <t>101/895450-895980tg</t>
  </si>
  <si>
    <t>101/895980-896455cv</t>
  </si>
  <si>
    <t>101/896455-896578tg</t>
  </si>
  <si>
    <t>101/896578-897096cv</t>
  </si>
  <si>
    <t>101/897096-897366tg</t>
  </si>
  <si>
    <t>101/897366-897920cv</t>
  </si>
  <si>
    <t>101/897920-898203tg</t>
  </si>
  <si>
    <t>101/898203-898991cv</t>
  </si>
  <si>
    <t>101/898991-899160tg</t>
  </si>
  <si>
    <t>101/899160-900014cv</t>
  </si>
  <si>
    <t>101/900014-900304tg</t>
  </si>
  <si>
    <t>101/900304-900917cv</t>
  </si>
  <si>
    <t>101/900917-901025tg</t>
  </si>
  <si>
    <t>101/901025-901603cv</t>
  </si>
  <si>
    <t>101/901603-901677tg</t>
  </si>
  <si>
    <t>101/901677-902076cv</t>
  </si>
  <si>
    <t>101/902076-902384tg</t>
  </si>
  <si>
    <t>101/902384-903062cv</t>
  </si>
  <si>
    <t>101/903062-903121tg</t>
  </si>
  <si>
    <t>101/903121-903543cv</t>
  </si>
  <si>
    <t>101/903543-903935tg</t>
  </si>
  <si>
    <t>101/903935-904510cv</t>
  </si>
  <si>
    <t>101/904510-904528tg</t>
  </si>
  <si>
    <t>101/904528-905158cv</t>
  </si>
  <si>
    <t>101/905158-905167tg</t>
  </si>
  <si>
    <t>101/905167-905613cv</t>
  </si>
  <si>
    <t>101/905613-905876tg</t>
  </si>
  <si>
    <t>101/905876-906410cv</t>
  </si>
  <si>
    <t>101/906410-906547tg</t>
  </si>
  <si>
    <t>101/906547-907409cv</t>
  </si>
  <si>
    <t>101/907409-907715tg</t>
  </si>
  <si>
    <t>101/907715-908114cv</t>
  </si>
  <si>
    <t>101/908114-908245tg</t>
  </si>
  <si>
    <t>101/908245-908649cv</t>
  </si>
  <si>
    <t>101/908649-908727tg</t>
  </si>
  <si>
    <t>101/908727-909072cv</t>
  </si>
  <si>
    <t>101/909072-909150tg</t>
  </si>
  <si>
    <t>101/909150-909909cv</t>
  </si>
  <si>
    <t>101/909909-910300tg</t>
  </si>
  <si>
    <t>101/910300-910368cv</t>
  </si>
  <si>
    <t>101/910368-910566tg</t>
  </si>
  <si>
    <t>101/910566-910906cv</t>
  </si>
  <si>
    <t>101/910906-911134tg</t>
  </si>
  <si>
    <t>101/911134-911842cv</t>
  </si>
  <si>
    <t>101/911842-912160tg</t>
  </si>
  <si>
    <t>101/912160-912522cv</t>
  </si>
  <si>
    <t>101/912522-913120tg</t>
  </si>
  <si>
    <t>101/913120-914144cv</t>
  </si>
  <si>
    <t>101/914144-914311tg</t>
  </si>
  <si>
    <t>101/914311-914539cv</t>
  </si>
  <si>
    <t>101/914539-915270tg</t>
  </si>
  <si>
    <t>101/915270-915976cv</t>
  </si>
  <si>
    <t>101/915976-916075tg</t>
  </si>
  <si>
    <t>101/916075-916377cv</t>
  </si>
  <si>
    <t>101/916377-917193tg</t>
  </si>
  <si>
    <t>101/917193-917602cv</t>
  </si>
  <si>
    <t>101/917602-917742tg</t>
  </si>
  <si>
    <t>101/917742-918062cv</t>
  </si>
  <si>
    <t>101/918062-918241tg</t>
  </si>
  <si>
    <t>101/918241-918639cv</t>
  </si>
  <si>
    <t>101/918639-918985tg</t>
  </si>
  <si>
    <t>101/918985-920523cv</t>
  </si>
  <si>
    <t>101/920523-920842tg</t>
  </si>
  <si>
    <t>101/920842-921541cv</t>
  </si>
  <si>
    <t>101/921541-922250tg</t>
  </si>
  <si>
    <t>101/922250-922550cv</t>
  </si>
  <si>
    <t>101/922550-923060tg</t>
  </si>
  <si>
    <t>101/923060-923340cv</t>
  </si>
  <si>
    <t>101/923340-923794tg</t>
  </si>
  <si>
    <t>101/923794-924604cv</t>
  </si>
  <si>
    <t>101/924604-924963tg</t>
  </si>
  <si>
    <t>101/924963-925449cv</t>
  </si>
  <si>
    <t>101/925449-925848tg</t>
  </si>
  <si>
    <t>101/925848-926161cv</t>
  </si>
  <si>
    <t>101/926161-926966tg</t>
  </si>
  <si>
    <t>101/926966-928256cv</t>
  </si>
  <si>
    <t>101/928256-928489tg</t>
  </si>
  <si>
    <t>101/928489-930905cv</t>
  </si>
  <si>
    <t>101/930905-932113tg</t>
  </si>
  <si>
    <t>101/932113-932658cv</t>
  </si>
  <si>
    <t>101/932658-933927tg</t>
  </si>
  <si>
    <t>101/933927-934447cv</t>
  </si>
  <si>
    <t>101/934447-934593tg</t>
  </si>
  <si>
    <t>101/934593-935782cv</t>
  </si>
  <si>
    <t>101/935782-936080tg</t>
  </si>
  <si>
    <t>101/936080-936615cv</t>
  </si>
  <si>
    <t>101/936615-936926tg</t>
  </si>
  <si>
    <t>101/936926-937425cv</t>
  </si>
  <si>
    <t>101/937425-938344tg</t>
  </si>
  <si>
    <t>101/938344-939087cv</t>
  </si>
  <si>
    <t>101/939087-939344tg</t>
  </si>
  <si>
    <t>101/939344-939593tg</t>
  </si>
  <si>
    <t>101/939593-940081cv</t>
  </si>
  <si>
    <t>101/940081-940764tg</t>
  </si>
  <si>
    <t>101/940764-941174cv</t>
  </si>
  <si>
    <t>101/941174-941450tg</t>
  </si>
  <si>
    <t>101/941450-942329cv</t>
  </si>
  <si>
    <t>101/942329-945094tg</t>
  </si>
  <si>
    <t>101/945094-945622cv</t>
  </si>
  <si>
    <t>101/945622-945970tg</t>
  </si>
  <si>
    <t>101/945970-946812cv</t>
  </si>
  <si>
    <t>101/946812-948100tg</t>
  </si>
  <si>
    <t>101/948100-948720cv</t>
  </si>
  <si>
    <t>101/948720-949158tg</t>
  </si>
  <si>
    <t>101/949158-949941cv</t>
  </si>
  <si>
    <t>101/949941-950094tg</t>
  </si>
  <si>
    <t>101/950094-950535cv</t>
  </si>
  <si>
    <t>101/950535-950810tg</t>
  </si>
  <si>
    <t>101/950810-951651cv</t>
  </si>
  <si>
    <t>101/951651-952026tg</t>
  </si>
  <si>
    <t>101/952026-952492cv</t>
  </si>
  <si>
    <t>101/952492-952539tg</t>
  </si>
  <si>
    <t>101/952539-953233cv</t>
  </si>
  <si>
    <t>101/953233-953351tg</t>
  </si>
  <si>
    <t>101/953351-953917cv</t>
  </si>
  <si>
    <t>101/953917-954000tg</t>
  </si>
  <si>
    <t>101/954000-954511cv</t>
  </si>
  <si>
    <t>101/954511-954762tg</t>
  </si>
  <si>
    <t>101/954762-956299cv</t>
  </si>
  <si>
    <t>101/956299-956816tg</t>
  </si>
  <si>
    <t>101/956816-957189cv</t>
  </si>
  <si>
    <t>101/957189-958889tg</t>
  </si>
  <si>
    <t>101/958889-959969cv</t>
  </si>
  <si>
    <t>101/959969-960715tg</t>
  </si>
  <si>
    <t>101/960715-961107cv</t>
  </si>
  <si>
    <t>101/961107-961488tg</t>
  </si>
  <si>
    <t>101/961488-962282cv</t>
  </si>
  <si>
    <t>101/962282-962505tg</t>
  </si>
  <si>
    <t>101/962505-963196cv</t>
  </si>
  <si>
    <t>101/963196-963553tg</t>
  </si>
  <si>
    <t>101/963553-964121cv</t>
  </si>
  <si>
    <t>101/964121-965340tg</t>
  </si>
  <si>
    <t>101/965340-965838cv</t>
  </si>
  <si>
    <t>101/965838-966076tg</t>
  </si>
  <si>
    <t>101/966076-966827cv</t>
  </si>
  <si>
    <t>101/966827-968102tg</t>
  </si>
  <si>
    <t>101/968102-970135cv</t>
  </si>
  <si>
    <t>101/970135-971509tg</t>
  </si>
  <si>
    <t>101/971509-971785cv</t>
  </si>
  <si>
    <t>101/971785-973988tg</t>
  </si>
  <si>
    <t>101/973988-974668cv</t>
  </si>
  <si>
    <t>101/974668-978375tg</t>
  </si>
  <si>
    <t>101/978375-978704cv</t>
  </si>
  <si>
    <t>101/978704-978816tg</t>
  </si>
  <si>
    <t>101/978816-979325cv</t>
  </si>
  <si>
    <t>101/979325-979645tg</t>
  </si>
  <si>
    <t>101/979645-981034cv</t>
  </si>
  <si>
    <t>101/981034-983888tg</t>
  </si>
  <si>
    <t>101/983888-984754cv</t>
  </si>
  <si>
    <t>101/984754-984903tg</t>
  </si>
  <si>
    <t>101/984903-985331cv</t>
  </si>
  <si>
    <t>101/985331-985487tg</t>
  </si>
  <si>
    <t>101/985487-986155cv</t>
  </si>
  <si>
    <t>101/986155-986485tg</t>
  </si>
  <si>
    <t>101/986485-987057cv</t>
  </si>
  <si>
    <t>101/987057-987778tg</t>
  </si>
  <si>
    <t>101/987778-988368cv</t>
  </si>
  <si>
    <t>101/988368-988861tg</t>
  </si>
  <si>
    <t>101/988861-989275cv</t>
  </si>
  <si>
    <t>101/989275-990485tg</t>
  </si>
  <si>
    <t>101/990485-990772cv</t>
  </si>
  <si>
    <t>101/990772-992118tg</t>
  </si>
  <si>
    <t>101/992118-992376cv</t>
  </si>
  <si>
    <t>101/992376-993474tg</t>
  </si>
  <si>
    <t>101/993474-994209cv</t>
  </si>
  <si>
    <t>101/994209-994534tg</t>
  </si>
  <si>
    <t>101/994534-995144cv</t>
  </si>
  <si>
    <t>101/995144-995997tg</t>
  </si>
  <si>
    <t>101/995997-996804cv</t>
  </si>
  <si>
    <t>101/996804-996934tg</t>
  </si>
  <si>
    <t>101/996934-997573cv</t>
  </si>
  <si>
    <t>101/997573-997694tg</t>
  </si>
  <si>
    <t>101/997694-998611cv</t>
  </si>
  <si>
    <t>101/998611-998645tg</t>
  </si>
  <si>
    <t>101/998645-999548cv</t>
  </si>
  <si>
    <t>101/999548-999927tg</t>
  </si>
  <si>
    <t>101/999927-1000243cv</t>
  </si>
  <si>
    <t>101/1000243-1000594tg</t>
  </si>
  <si>
    <t>101/1000594-1001271cv</t>
  </si>
  <si>
    <t>101/1001271-1002331tg</t>
  </si>
  <si>
    <t>101/1002331-1002878cv</t>
  </si>
  <si>
    <t>101/1002878-1003204tg</t>
  </si>
  <si>
    <t>101/1003204-1003963cv</t>
  </si>
  <si>
    <t>101/1003963-1004484tg</t>
  </si>
  <si>
    <t>101/1004484-1005029cv</t>
  </si>
  <si>
    <t>101/1005029-1005195tg</t>
  </si>
  <si>
    <t>101/1005195-1005841cv</t>
  </si>
  <si>
    <t>101/1005841-1005950tg</t>
  </si>
  <si>
    <t>101/1005950-1006464cv</t>
  </si>
  <si>
    <t>101/1006464-1008532tg</t>
  </si>
  <si>
    <t>101/1008532-1009307cv</t>
  </si>
  <si>
    <t>101/1009307-1010614tg</t>
  </si>
  <si>
    <t>101/1010614-1011753cv</t>
  </si>
  <si>
    <t>101/1011753-1012110tg</t>
  </si>
  <si>
    <t>101/1012110-1013275cv</t>
  </si>
  <si>
    <t>101/1013275-1014407tg</t>
  </si>
  <si>
    <t>101/1014407-1015548cv</t>
  </si>
  <si>
    <t>101/1015548-1015592tg</t>
  </si>
  <si>
    <t>101/1015592-1016470cv</t>
  </si>
  <si>
    <t>101/1016470-1019601tg</t>
  </si>
  <si>
    <t>101/1019601-1020306cv</t>
  </si>
  <si>
    <t>101/1020306-1020561tg</t>
  </si>
  <si>
    <t>101/1020561-1021810cv</t>
  </si>
  <si>
    <t>101/1021810-1022136tg</t>
  </si>
  <si>
    <t>101/1022136-1023005cv</t>
  </si>
  <si>
    <t>101/1023005-1023365tg</t>
  </si>
  <si>
    <t>101/1023365-1023954cv</t>
  </si>
  <si>
    <t>101/1023954-1024336tg</t>
  </si>
  <si>
    <t>101/1024336-1024853cv</t>
  </si>
  <si>
    <t>101/1024853-1025469tg</t>
  </si>
  <si>
    <t>101/1025469-1026057cv</t>
  </si>
  <si>
    <t>101/1026057-1026503tg</t>
  </si>
  <si>
    <t>101/1026503-1026983cv</t>
  </si>
  <si>
    <t>101/1026983-1027991tg</t>
  </si>
  <si>
    <t>101/1027991-1028203cv</t>
  </si>
  <si>
    <t>101/1028203-1029326tg</t>
  </si>
  <si>
    <t>101/1029326-1030174cv</t>
  </si>
  <si>
    <t>101/1030174-1030558tg</t>
  </si>
  <si>
    <t>101/1030558-1032045cv</t>
  </si>
  <si>
    <t>101/1032045-1033408tg</t>
  </si>
  <si>
    <t>101/1033408-1033833cv</t>
  </si>
  <si>
    <t>101/1033833-1034249tg</t>
  </si>
  <si>
    <t>101/1034249-1034852cv</t>
  </si>
  <si>
    <t>101/1034852-1035647tg</t>
  </si>
  <si>
    <t>101/1035647-1036637cv</t>
  </si>
  <si>
    <t>101/1036637-1037292tg</t>
  </si>
  <si>
    <t>101/1037292-1038983cv</t>
  </si>
  <si>
    <t>101/1038983-1039995tg</t>
  </si>
  <si>
    <t>101/1039995-1040439cv</t>
  </si>
  <si>
    <t>101/1040439-1040497tg</t>
  </si>
  <si>
    <t>101/1040497-1041156tg</t>
  </si>
  <si>
    <t>101/1041156-1041486cv</t>
  </si>
  <si>
    <t>101/1041486-1042028cv</t>
  </si>
  <si>
    <t>101/1042028-1043312tg</t>
  </si>
  <si>
    <t>101/1043312-1044364cv</t>
  </si>
  <si>
    <t>101/1044364-1046031tg</t>
  </si>
  <si>
    <t>101/1046031-1046616cv</t>
  </si>
  <si>
    <t>101/1046616-1048578tg</t>
  </si>
  <si>
    <t>101/1048578-1049565cv</t>
  </si>
  <si>
    <t>101/1049565-1049691tg</t>
  </si>
  <si>
    <t>101/1049691-1050306cv</t>
  </si>
  <si>
    <t>101/1050306-1050515tg</t>
  </si>
  <si>
    <t>101/1050515-1050999cv</t>
  </si>
  <si>
    <t>101/1050999-1051652tg</t>
  </si>
  <si>
    <t>101/1051652-1052667cv</t>
  </si>
  <si>
    <t>101/1052667-1053326tg</t>
  </si>
  <si>
    <t>101/1053326-1054697cv</t>
  </si>
  <si>
    <t>101/1054697-1055212tg</t>
  </si>
  <si>
    <t>101/1055212-1055891cv</t>
  </si>
  <si>
    <t>101/1055891-1057806tg</t>
  </si>
  <si>
    <t>101/1057806-1058804cv</t>
  </si>
  <si>
    <t>101/1058804-1060434tg</t>
  </si>
  <si>
    <t>101/1060434-1061469cv</t>
  </si>
  <si>
    <t>101/1061469-1061958tg</t>
  </si>
  <si>
    <t>101/1061958-1063390cv</t>
  </si>
  <si>
    <t>101/1063390-1064912tg</t>
  </si>
  <si>
    <t>101/1064912-1065409cv</t>
  </si>
  <si>
    <t>101/1065409-1065618tg</t>
  </si>
  <si>
    <t>101/1065618-1066395cv</t>
  </si>
  <si>
    <t>101/1066395-1067545tg</t>
  </si>
  <si>
    <t>101/1067545-1068388cv</t>
  </si>
  <si>
    <t>101/1068388-1068785tg</t>
  </si>
  <si>
    <t>101/1068785-1069220cv</t>
  </si>
  <si>
    <t>101/1069220-1071451tg</t>
  </si>
  <si>
    <t>101/1071451-1071762cv</t>
  </si>
  <si>
    <t>101/1071762-1072318tg</t>
  </si>
  <si>
    <t>101/1072318-1072923cv</t>
  </si>
  <si>
    <t>101/1072923-1073015tg</t>
  </si>
  <si>
    <t>101/1073015-1073725cv</t>
  </si>
  <si>
    <t>101/1073725-1074017tg</t>
  </si>
  <si>
    <t>101/1074017-1074355cv</t>
  </si>
  <si>
    <t>101/1074355-1074649tg</t>
  </si>
  <si>
    <t>101/1074649-1075121cv</t>
  </si>
  <si>
    <t>101/1075121-1075538tg</t>
  </si>
  <si>
    <t>101/1075538-1076635cv</t>
  </si>
  <si>
    <t>101/1076635-1077113tg</t>
  </si>
  <si>
    <t>101/1077113-1077903cv</t>
  </si>
  <si>
    <t>101/1077903-1078141tg</t>
  </si>
  <si>
    <t>101/1078141-1078643cv</t>
  </si>
  <si>
    <t>101/1078643-1079612tg</t>
  </si>
  <si>
    <t>101/1079612-1080447cv</t>
  </si>
  <si>
    <t>101/1080447-1081092tg</t>
  </si>
  <si>
    <t>101/1081092-1082008cv</t>
  </si>
  <si>
    <t>101/1082008-1083133tg</t>
  </si>
  <si>
    <t>101/1083133-1083916cv</t>
  </si>
  <si>
    <t>101/1083916-1084672tg</t>
  </si>
  <si>
    <t>101/1084672-1086106cv</t>
  </si>
  <si>
    <t>101/1086106-1086520tg</t>
  </si>
  <si>
    <t>101/1086520-1088035cv</t>
  </si>
  <si>
    <t>101/1088035-1088907tg</t>
  </si>
  <si>
    <t>101/1088907-1089788cv</t>
  </si>
  <si>
    <t>101/1089788-1090157tg</t>
  </si>
  <si>
    <t>101/1090157-1091208cv</t>
  </si>
  <si>
    <t>101/1091208-1091565tg</t>
  </si>
  <si>
    <t>101/1091565-1092798cv</t>
  </si>
  <si>
    <t>101/1092798-1094314tg</t>
  </si>
  <si>
    <t>101/1094314-1095246cv</t>
  </si>
  <si>
    <t>101/1095246-1095642tg</t>
  </si>
  <si>
    <t>101/1095642-1096342cv</t>
  </si>
  <si>
    <t>101/1096342-1096818tg</t>
  </si>
  <si>
    <t>101/1096818-1097573cv</t>
  </si>
  <si>
    <t>101/1097573-1098193tg</t>
  </si>
  <si>
    <t>101/1098193-1098680cv</t>
  </si>
  <si>
    <t>101/1098680-1099182cv</t>
  </si>
  <si>
    <t>101/1099182-1099794tg</t>
  </si>
  <si>
    <t>101/1099794-1100221cv</t>
  </si>
  <si>
    <t>101/1100221-1100654tg</t>
  </si>
  <si>
    <t>101/1100654-1101292cv</t>
  </si>
  <si>
    <t>101/1101292-1101544tg</t>
  </si>
  <si>
    <t>101/1101544-1102249cv</t>
  </si>
  <si>
    <t>101/1102249-1102437tg</t>
  </si>
  <si>
    <t>101/1102437-1103055cv</t>
  </si>
  <si>
    <t>101/1103055-1103215tg</t>
  </si>
  <si>
    <t>101/1103215-1103663cv</t>
  </si>
  <si>
    <t>101/1103663-1104310tg</t>
  </si>
  <si>
    <t>101/1104310-1105539cv</t>
  </si>
  <si>
    <t>101/1105539-1105958tg</t>
  </si>
  <si>
    <t>101/1105958-1106670cv</t>
  </si>
  <si>
    <t>101/1106670-1107523tg</t>
  </si>
  <si>
    <t>101/1107523-1108187cv</t>
  </si>
  <si>
    <t>101/1108187-1108871tg</t>
  </si>
  <si>
    <t>101/1108871-1109449cv</t>
  </si>
  <si>
    <t>101/1109449-1109954tg</t>
  </si>
  <si>
    <t>101/1109954-1110536cv</t>
  </si>
  <si>
    <t>101/1110536-1110810tg</t>
  </si>
  <si>
    <t>101/1110810-1111293cv</t>
  </si>
  <si>
    <t>101/1111293-1111773tg</t>
  </si>
  <si>
    <t>101/1111773-1111907cv</t>
  </si>
  <si>
    <t>101/1111907-1112487tg</t>
  </si>
  <si>
    <t>101/1112487-1112755cv</t>
  </si>
  <si>
    <t>101/1112755-1112864tg</t>
  </si>
  <si>
    <t>101/1112864-1113512cv</t>
  </si>
  <si>
    <t>101/1113512-1113797tg</t>
  </si>
  <si>
    <t>101/1113797-1114526cv</t>
  </si>
  <si>
    <t>101/1114526-1115370tg</t>
  </si>
  <si>
    <t>101/1115370-1116174cv</t>
  </si>
  <si>
    <t>101/1116174-1116357tg</t>
  </si>
  <si>
    <t>101/1116357-1117128cv</t>
  </si>
  <si>
    <t>101/1117128-1117346tg</t>
  </si>
  <si>
    <t>101/1117346-1117716cv</t>
  </si>
  <si>
    <t>101/1117716-1118344tg</t>
  </si>
  <si>
    <t>101/1118344-1119056cv</t>
  </si>
  <si>
    <t>101/1119056-1119444tg</t>
  </si>
  <si>
    <t>101/1119444-1120410cv</t>
  </si>
  <si>
    <t>101/1120410-1121104tg</t>
  </si>
  <si>
    <t>101/1121104-1121903cv</t>
  </si>
  <si>
    <t>101/1121903-1122129tg</t>
  </si>
  <si>
    <t>101/1122129-1122682cv</t>
  </si>
  <si>
    <t>101/1122682-1123010tg</t>
  </si>
  <si>
    <t>101/1123010-1123704cv</t>
  </si>
  <si>
    <t>101/1123704-1124092tg</t>
  </si>
  <si>
    <t>101/1124092-1124849cv</t>
  </si>
  <si>
    <t>101/1124849-1125131tg</t>
  </si>
  <si>
    <t>101/1125131-1125918cv</t>
  </si>
  <si>
    <t>101/1125918-1126072tg</t>
  </si>
  <si>
    <t>101/1126072-1126498cv</t>
  </si>
  <si>
    <t>101/1126498-1127678tg</t>
  </si>
  <si>
    <t>101/1127678-1128229cv</t>
  </si>
  <si>
    <t>101/1128229-1129330tg</t>
  </si>
  <si>
    <t>101/1129330-1130115cv</t>
  </si>
  <si>
    <t>101/1130115-1131151tg</t>
  </si>
  <si>
    <t>101/1131151-1132091cv</t>
  </si>
  <si>
    <t>101/1132091-1132201tg</t>
  </si>
  <si>
    <t>101/1132201-1132590cv</t>
  </si>
  <si>
    <t>101/1132590-1132742tg</t>
  </si>
  <si>
    <t>101/1132742-1133144cv</t>
  </si>
  <si>
    <t>101/1133144-1133294tg</t>
  </si>
  <si>
    <t>101/1133294-1133839cv</t>
  </si>
  <si>
    <t>101/1133839-1134099tg</t>
  </si>
  <si>
    <t>101/1134099-1135034cv</t>
  </si>
  <si>
    <t>101/1135034-1135381tg</t>
  </si>
  <si>
    <t>101/1135381-1135856cv</t>
  </si>
  <si>
    <t>101/1135856-1135907tg</t>
  </si>
  <si>
    <t>101/1135907-1136580cv</t>
  </si>
  <si>
    <t>101/1136580-1136587tg</t>
  </si>
  <si>
    <t>101/1136587-1137332cv</t>
  </si>
  <si>
    <t>101/1137332-1137472tg</t>
  </si>
  <si>
    <t>101/1137472-1138081cv</t>
  </si>
  <si>
    <t>101/1138081-1138337tg</t>
  </si>
  <si>
    <t>101/1138337-1139565cv</t>
  </si>
  <si>
    <t>101/1139565-1140109tg</t>
  </si>
  <si>
    <t>101/1140109-1140917cv</t>
  </si>
  <si>
    <t>101/1140917-1141798tg</t>
  </si>
  <si>
    <t>101/1141798-1142438cv</t>
  </si>
  <si>
    <t>101/1142438-1143028tg</t>
  </si>
  <si>
    <t>101/1143028-1143739cv</t>
  </si>
  <si>
    <t>101/1143739-1144765tg</t>
  </si>
  <si>
    <t>101/1144765-1145113cv</t>
  </si>
  <si>
    <t>101/1145113-1146163tg</t>
  </si>
  <si>
    <t>101/1146163-1146790cv</t>
  </si>
  <si>
    <t>101/1146790-1147200tg</t>
  </si>
  <si>
    <t>101/1147200-1148761cv</t>
  </si>
  <si>
    <t>101/1148761-1149030tg</t>
  </si>
  <si>
    <t>101/1149030-1150010cv</t>
  </si>
  <si>
    <t>101/1150010-1150620tg</t>
  </si>
  <si>
    <t>101/1150620-1151120cv</t>
  </si>
  <si>
    <t>101/1151120-1152200tg</t>
  </si>
  <si>
    <t>101/1152200-1153310cv</t>
  </si>
  <si>
    <t>101/1153310-1154050tg</t>
  </si>
  <si>
    <t>101/1154050-1155435cv</t>
  </si>
  <si>
    <t>101/1155435-1155855tg</t>
  </si>
  <si>
    <t>101/1155855-1156905cv</t>
  </si>
  <si>
    <t>101/1156905-1157825tg</t>
  </si>
  <si>
    <t>101/1157825-1159185cv</t>
  </si>
  <si>
    <t>101/1159185-1159325tg</t>
  </si>
  <si>
    <t>101/1159325-1160600cv</t>
  </si>
  <si>
    <t>101/1160600-1160810tg</t>
  </si>
  <si>
    <t>101/1160810-1161555cv</t>
  </si>
  <si>
    <t>101/1161555-1161970tg</t>
  </si>
  <si>
    <t>101/1161970-1162480cv</t>
  </si>
  <si>
    <t>101/1162480-1162560tg</t>
  </si>
  <si>
    <t>101/1162560-1163220cv</t>
  </si>
  <si>
    <t>101/1163220-1163994tg</t>
  </si>
  <si>
    <t>101/1163994-1164673cv</t>
  </si>
  <si>
    <t>101/1164673-1165440tg</t>
  </si>
  <si>
    <t>101/1165440-1166010cv</t>
  </si>
  <si>
    <t>101/1166010-1166605tg</t>
  </si>
  <si>
    <t>101/1166605-1167290cv</t>
  </si>
  <si>
    <t>101/1167290-1167495tg</t>
  </si>
  <si>
    <t>101/1167495-1168121cv</t>
  </si>
  <si>
    <t>101/1168121-1168168tg</t>
  </si>
  <si>
    <t>101/1168168-1168783cv</t>
  </si>
  <si>
    <t>101/1168783-1170035tg</t>
  </si>
  <si>
    <t>101/1170035-1170465cv</t>
  </si>
  <si>
    <t>101/1170465-1170763tg</t>
  </si>
  <si>
    <t>101/1170763-1171180cv</t>
  </si>
  <si>
    <t>101/1171180-1171266tg</t>
  </si>
  <si>
    <t>101/1171266-1172420cv</t>
  </si>
  <si>
    <t>101/1172420-1173305tg</t>
  </si>
  <si>
    <t>101/1173305-1174510cv</t>
  </si>
  <si>
    <t>101/1174510-1175870tg</t>
  </si>
  <si>
    <t>101/1175870-1176450cv</t>
  </si>
  <si>
    <t>101/1176450-1177203tg</t>
  </si>
  <si>
    <t>101/1177203-1178130cv</t>
  </si>
  <si>
    <t>101/1178130-1178660tg</t>
  </si>
  <si>
    <t>101/1178660-1179615cv</t>
  </si>
  <si>
    <t>101/1179615-1180240tg</t>
  </si>
  <si>
    <t>101/1180240-1181005cv</t>
  </si>
  <si>
    <t>101/1181005-1181110tg</t>
  </si>
  <si>
    <t>101/1181110-1181702cv</t>
  </si>
  <si>
    <t>101/1181702-1182440tg</t>
  </si>
  <si>
    <t>101/1182440-1183428cv</t>
  </si>
  <si>
    <t>101/1183428-1183680tg</t>
  </si>
  <si>
    <t>101/1183680-1184235cv</t>
  </si>
  <si>
    <t>101/1184235-1184415tg</t>
  </si>
  <si>
    <t>101/1184415-1184920cv</t>
  </si>
  <si>
    <t>101/1184920-1185630tg</t>
  </si>
  <si>
    <t>101/1185630-1186308cv</t>
  </si>
  <si>
    <t>101/1187515-1187780tg</t>
  </si>
  <si>
    <t>101/1187780-1188526cv</t>
  </si>
  <si>
    <t>101/1188526-1188701tg</t>
  </si>
  <si>
    <t>101/1188701-1189009cv</t>
  </si>
  <si>
    <t>101/1189009-1189185tg</t>
  </si>
  <si>
    <t>101/1189185-1189479cv</t>
  </si>
  <si>
    <t>101/1189479-1190306tg</t>
  </si>
  <si>
    <t>101/1190306-1190849cv</t>
  </si>
  <si>
    <t>101/1190849-1191123tg</t>
  </si>
  <si>
    <t>101/1191123-1191802cv</t>
  </si>
  <si>
    <t>101/1191802-1192001tg</t>
  </si>
  <si>
    <t>101/1192001-1192825cv</t>
  </si>
  <si>
    <t>101/1192825-1193130tg</t>
  </si>
  <si>
    <t>101/1193130-1194070cv</t>
  </si>
  <si>
    <t>101/1194070-1194292tg</t>
  </si>
  <si>
    <t>101/1194292-1195002cv</t>
  </si>
  <si>
    <t>101/1195002-1195210tg</t>
  </si>
  <si>
    <t>101/1195210-1197090cv</t>
  </si>
  <si>
    <t>101/1197090-1197885tg</t>
  </si>
  <si>
    <t>101/1197885-1198709cv</t>
  </si>
  <si>
    <t>101/1198709-1198889tg</t>
  </si>
  <si>
    <t>101/1198889-1199655cv</t>
  </si>
  <si>
    <t>101/1199655-1200087tg</t>
  </si>
  <si>
    <t>101/1200087-1200892cv</t>
  </si>
  <si>
    <t>101/1200892-1201498tg</t>
  </si>
  <si>
    <t>101/1201498-1202198cv</t>
  </si>
  <si>
    <t>101/1202198-1202305tg</t>
  </si>
  <si>
    <t>101/1202305-1202860cv</t>
  </si>
  <si>
    <t>101/1202860-1203087tg</t>
  </si>
  <si>
    <t>101/1203087-1203510cv</t>
  </si>
  <si>
    <t>101/1203510-1204351tg</t>
  </si>
  <si>
    <t>101/1204351-1205723cv</t>
  </si>
  <si>
    <t>101/1205723-1206870tg</t>
  </si>
  <si>
    <t>101/1206870-1208132cv</t>
  </si>
  <si>
    <t>101/1208132-1208400tg</t>
  </si>
  <si>
    <t>101/1208400-1209660cv</t>
  </si>
  <si>
    <t>101/1209660-1211690tg</t>
  </si>
  <si>
    <t>101/1211690-1212285cv</t>
  </si>
  <si>
    <t>101/1212285-1212530tg</t>
  </si>
  <si>
    <t>101/1212530-1213200cv</t>
  </si>
  <si>
    <t>101/1213200-1213489tg</t>
  </si>
  <si>
    <t>101/1213489-1214330cv</t>
  </si>
  <si>
    <t>101/1214330-1214505tg</t>
  </si>
  <si>
    <t>101/1214505-1214960cv</t>
  </si>
  <si>
    <t>101/1214960-1216045tg</t>
  </si>
  <si>
    <t>101/1216045-1216495cv</t>
  </si>
  <si>
    <t>101/1216495-1217108tg</t>
  </si>
  <si>
    <t>101/1217108-1217360cv</t>
  </si>
  <si>
    <t>101/1217360-1217753tg</t>
  </si>
  <si>
    <t>101/1217753-1218996cv</t>
  </si>
  <si>
    <t>101/1218420-1218513tg</t>
  </si>
  <si>
    <t>101/1218513-1218918cv</t>
  </si>
  <si>
    <t>101/1218918-1219102tg</t>
  </si>
  <si>
    <t>101/1219102-1219715cv</t>
  </si>
  <si>
    <t>101/1219715-1220720tg</t>
  </si>
  <si>
    <t>101/1220720-1221208cv</t>
  </si>
  <si>
    <t>101/1221208-1221395tg</t>
  </si>
  <si>
    <t>101/1221395-1221670cv</t>
  </si>
  <si>
    <t>101/1221670-1222155tg</t>
  </si>
  <si>
    <t>101/1222155-1222498cv</t>
  </si>
  <si>
    <t>101/1222498-1224127tg</t>
  </si>
  <si>
    <t>101/1224127-1225028cv</t>
  </si>
  <si>
    <t>101/1225028-1225352tg</t>
  </si>
  <si>
    <t>101/1225352-1225700cv</t>
  </si>
  <si>
    <t>101/1225700-1225901tg</t>
  </si>
  <si>
    <t>101/1225901-1226190cv</t>
  </si>
  <si>
    <t>101/1226190-1227098tg</t>
  </si>
  <si>
    <t>101/1227098-1227590cv</t>
  </si>
  <si>
    <t>101/1227590-1227701tg</t>
  </si>
  <si>
    <t>101/1227701-1228000cv</t>
  </si>
  <si>
    <t>101/1228000-1230075tg</t>
  </si>
  <si>
    <t>101/1230075-1230323cv</t>
  </si>
  <si>
    <t>101/1230323-1231930tg</t>
  </si>
  <si>
    <t>101/1231930-1232905cv</t>
  </si>
  <si>
    <t>101/1232905-1234640tg</t>
  </si>
  <si>
    <t>101/1234640-1235220cv</t>
  </si>
  <si>
    <t>101/1235220-1235550tg</t>
  </si>
  <si>
    <t>101/1235550-1236032cv</t>
  </si>
  <si>
    <t>101/1236032-1236470tg</t>
  </si>
  <si>
    <t>101/1236470-1236990cv</t>
  </si>
  <si>
    <t>101/1236990-1237106tg</t>
  </si>
  <si>
    <t>101/1237106-1238095cv</t>
  </si>
  <si>
    <t>101/1238095-1238231tg</t>
  </si>
  <si>
    <t>101/1238231-1238631cv</t>
  </si>
  <si>
    <t>101/1238631-1238698tg</t>
  </si>
  <si>
    <t>101/1238698-1238720tg</t>
  </si>
  <si>
    <t>101/1238720-1239730cv</t>
  </si>
  <si>
    <t>101/1239730-1239955tg</t>
  </si>
  <si>
    <t>101/1239955-1240840cv</t>
  </si>
  <si>
    <t>101/1240840-1241380tg</t>
  </si>
  <si>
    <t>101/1241380-1242560cv</t>
  </si>
  <si>
    <t>101/1242560-1242740tg</t>
  </si>
  <si>
    <t>101/1242740-1243205cv</t>
  </si>
  <si>
    <t>101/1243205-1243565tg</t>
  </si>
  <si>
    <t>101/1243565-1244045cv</t>
  </si>
  <si>
    <t>101/1244045-1244825tg</t>
  </si>
  <si>
    <t>101/1244825-1245756cv</t>
  </si>
  <si>
    <t>101/1245756-1245825tg</t>
  </si>
  <si>
    <t>101/1245825-1246395cv</t>
  </si>
  <si>
    <t>101/1246395-1246832tg</t>
  </si>
  <si>
    <t>101/1246832-1247225cv</t>
  </si>
  <si>
    <t>101/1247225-1247310tg</t>
  </si>
  <si>
    <t>101/1247310-1247695cv</t>
  </si>
  <si>
    <t>101/1247695-1248408tg</t>
  </si>
  <si>
    <t>101/1248408-1248920cv</t>
  </si>
  <si>
    <t>101/1248920-1249185tg</t>
  </si>
  <si>
    <t>101/1249185-1249435cv</t>
  </si>
  <si>
    <t>101/1249435-1249532tg</t>
  </si>
  <si>
    <t>101/1249532-1250310cv</t>
  </si>
  <si>
    <t>101/1250310-1250705cv</t>
  </si>
  <si>
    <t>101/1250705-1250802tg</t>
  </si>
  <si>
    <t>101/1250802-1251440cv</t>
  </si>
  <si>
    <t>101/1251440-1251517tg</t>
  </si>
  <si>
    <t>101/1251517-1252542cv</t>
  </si>
  <si>
    <t>101/1252542-1252608tg</t>
  </si>
  <si>
    <t>101/1252608-1253120cv</t>
  </si>
  <si>
    <t>101/1253120-1253260tg</t>
  </si>
  <si>
    <t>101/1253260-1253625cv</t>
  </si>
  <si>
    <t>101/1253625-1253900tg</t>
  </si>
  <si>
    <t>101/1253900-1254552cv</t>
  </si>
  <si>
    <t>101/1254552-1254970tg</t>
  </si>
  <si>
    <t>101/1254970-1255390cv</t>
  </si>
  <si>
    <t>101/1255390-1256420tg</t>
  </si>
  <si>
    <t>101/1256420-1256730cv</t>
  </si>
  <si>
    <t>101/1256730-1258283tg</t>
  </si>
  <si>
    <t>101/1258283-1259315cv</t>
  </si>
  <si>
    <t>101/1259315-1259430tg</t>
  </si>
  <si>
    <t>101/1259430-1259750cv</t>
  </si>
  <si>
    <t>101/1259750-1260190tg</t>
  </si>
  <si>
    <t>101/1260190-1260500cv</t>
  </si>
  <si>
    <t>101/1260500-1260605tg</t>
  </si>
  <si>
    <t>101/1260605-1260930cv</t>
  </si>
  <si>
    <t>101/1260930-1261085tg</t>
  </si>
  <si>
    <t>101/1261085-1261510cv</t>
  </si>
  <si>
    <t>101/1261510-1261585tg</t>
  </si>
  <si>
    <t>101/1261585-1262315cv</t>
  </si>
  <si>
    <t>101/1262315-1262955tg</t>
  </si>
  <si>
    <t>101/1262955-1263585cv</t>
  </si>
  <si>
    <t>101/1263585-1263720tg</t>
  </si>
  <si>
    <t>101/1263720-1264420cv</t>
  </si>
  <si>
    <t>101/1264420-1264570tg</t>
  </si>
  <si>
    <t>101/1264570-1265030cv</t>
  </si>
  <si>
    <t>101/1265030-1265110tg</t>
  </si>
  <si>
    <t>101/1265110-1265945cv</t>
  </si>
  <si>
    <t>101/1265945-1266015tg</t>
  </si>
  <si>
    <t>101/1266015-1266483cv</t>
  </si>
  <si>
    <t>101/1266483-1266625tg</t>
  </si>
  <si>
    <t>101/1266625-1267135cv</t>
  </si>
  <si>
    <t>101/1267135-1267290tg</t>
  </si>
  <si>
    <t>101/1267290-1267720cv</t>
  </si>
  <si>
    <t>101/1267720-1268000tg</t>
  </si>
  <si>
    <t>101/1268000-1268605cv</t>
  </si>
  <si>
    <t>101/1268605-1268713tg</t>
  </si>
  <si>
    <t>101/1268713-1269630cv</t>
  </si>
  <si>
    <t>101/1269630-1269752tg</t>
  </si>
  <si>
    <t>101/1269752-1270593cv</t>
  </si>
  <si>
    <t>101/1270593-1271000tg</t>
  </si>
  <si>
    <t>101/1271000-1271662cv</t>
  </si>
  <si>
    <t>101/1271662-1272173tg</t>
  </si>
  <si>
    <t>101/1272173-1272712cv</t>
  </si>
  <si>
    <t>101/1272712-1272785tg</t>
  </si>
  <si>
    <t>101/1272785-1273040cv</t>
  </si>
  <si>
    <t>101/1273040-1273730tg</t>
  </si>
  <si>
    <t>101/1273730-1274400cv</t>
  </si>
  <si>
    <t>101/1274400-1274470tg</t>
  </si>
  <si>
    <t>101/1274470-1275035cv</t>
  </si>
  <si>
    <t>101/1275035-1275810tg</t>
  </si>
  <si>
    <t>101/1275810-1276185cv</t>
  </si>
  <si>
    <t>101/1276185-1276310tg</t>
  </si>
  <si>
    <t>101/1276310-1276773cv</t>
  </si>
  <si>
    <t>101/1276773-1278125tg</t>
  </si>
  <si>
    <t>101/1278125-1279050cv</t>
  </si>
  <si>
    <t>101/1279050-1279870cv</t>
  </si>
  <si>
    <t>101/1279870-1280469cv</t>
  </si>
  <si>
    <t>101/1280469-1280530tg</t>
  </si>
  <si>
    <t>101/1280530-1281096cv</t>
  </si>
  <si>
    <t>101/1281096-1281193tg</t>
  </si>
  <si>
    <t>101/1281193-1281730cv</t>
  </si>
  <si>
    <t>101/1281730-1282265cv</t>
  </si>
  <si>
    <t>101/1282265-1282583tg</t>
  </si>
  <si>
    <t>101/1282583-1283050cv</t>
  </si>
  <si>
    <t>101/1283050-1283600cv</t>
  </si>
  <si>
    <t>101/1283600-1283755tg</t>
  </si>
  <si>
    <t>101/1283755-1284210cv</t>
  </si>
  <si>
    <t>101/1284210-1284310tg</t>
  </si>
  <si>
    <t>101/1284310-1284780cv</t>
  </si>
  <si>
    <t>101/1284780-1284995tg</t>
  </si>
  <si>
    <t>101/1284995-1285300cv</t>
  </si>
  <si>
    <t>101/1285300-1285850tg</t>
  </si>
  <si>
    <t>101/1285850-1286480cv</t>
  </si>
  <si>
    <t>101/1286480-1286510tg</t>
  </si>
  <si>
    <t>101/1286510-1287096cv</t>
  </si>
  <si>
    <t>101/1287096-1287143tg</t>
  </si>
  <si>
    <t>101/1287143-1287463cv</t>
  </si>
  <si>
    <t>101/1287463-1287671tg</t>
  </si>
  <si>
    <t>101/1287671-1288183cv</t>
  </si>
  <si>
    <t>101/1288183-1288344tg</t>
  </si>
  <si>
    <t>101/1288344-1288682cv</t>
  </si>
  <si>
    <t>101/1288682-1288899tg</t>
  </si>
  <si>
    <t>101/1288899-1289660cv</t>
  </si>
  <si>
    <t>101/1289660-1290000tg</t>
  </si>
  <si>
    <t>101/1290000-1290735cv</t>
  </si>
  <si>
    <t>101/1290735-1291930tg</t>
  </si>
  <si>
    <t>101/1291930-1292312cv</t>
  </si>
  <si>
    <t>101/1292312-1292698tg</t>
  </si>
  <si>
    <t>101/1292698-1293490cv</t>
  </si>
  <si>
    <t>101/1293490-1293735tg</t>
  </si>
  <si>
    <t>101/1293735-1294195cv</t>
  </si>
  <si>
    <t>101/1294195-1294904tg</t>
  </si>
  <si>
    <t>101/1294904-1295353cv</t>
  </si>
  <si>
    <t>101/1295353-1295600tg</t>
  </si>
  <si>
    <t>101/1295600-1295845cv</t>
  </si>
  <si>
    <t>101/1295845-1296110tg</t>
  </si>
  <si>
    <t>101/1296110-1296600cv</t>
  </si>
  <si>
    <t>101/1296600-1296740tg</t>
  </si>
  <si>
    <t>101/1296740-1297354cv</t>
  </si>
  <si>
    <t>101/1297354-1297628tg</t>
  </si>
  <si>
    <t>101/1297628-1298250cv</t>
  </si>
  <si>
    <t>101/1298250-1298420tg</t>
  </si>
  <si>
    <t>101/1298420-1299114cv</t>
  </si>
  <si>
    <t>101/1299114-1299498tg</t>
  </si>
  <si>
    <t>101/1299498-1300290cv</t>
  </si>
  <si>
    <t>101/1300290-1300840cv</t>
  </si>
  <si>
    <t>101/1300840-1300901tg</t>
  </si>
  <si>
    <t>101/1300901-1301414cv</t>
  </si>
  <si>
    <t>101/1301414-1301654tg</t>
  </si>
  <si>
    <t>101/1301654-1302055cv</t>
  </si>
  <si>
    <t>101/1302055-1302460tg</t>
  </si>
  <si>
    <t>101/1302460-1303040cv</t>
  </si>
  <si>
    <t>101/1303040-1303401tg</t>
  </si>
  <si>
    <t>101/1303401-1303880cv</t>
  </si>
  <si>
    <t>101/1303880-1303912tg</t>
  </si>
  <si>
    <t>101/1303912-1304600cv</t>
  </si>
  <si>
    <t>101/1304600-1304815tg</t>
  </si>
  <si>
    <t>101/1304815-1305000cv</t>
  </si>
  <si>
    <t>101/1305000-1305412tg</t>
  </si>
  <si>
    <t>101/1305412-1305750cv</t>
  </si>
  <si>
    <t>101/1305750-1305780tg</t>
  </si>
  <si>
    <t>101/1305780-1306400cv</t>
  </si>
  <si>
    <t>101/1306400-1306450tg</t>
  </si>
  <si>
    <t>101/1306450-1306940cv</t>
  </si>
  <si>
    <t>101/1306940-1307600tg</t>
  </si>
  <si>
    <t>101/1307600-1307985cv</t>
  </si>
  <si>
    <t>101/1307985-1308035tg</t>
  </si>
  <si>
    <t>101/1308035-1308885cv</t>
  </si>
  <si>
    <t>101/1308885-1308995tg</t>
  </si>
  <si>
    <t>101/1308995-1309360cv</t>
  </si>
  <si>
    <t>101/1309360-1309401tg</t>
  </si>
  <si>
    <t>101/1309401-1309770cv</t>
  </si>
  <si>
    <t>101/1309770-1310381tg</t>
  </si>
  <si>
    <t>101/1310381-1311115cv</t>
  </si>
  <si>
    <t>101/1311115-1311482tg</t>
  </si>
  <si>
    <t>101/1311482-1312209cv</t>
  </si>
  <si>
    <t>101/1312209-1312301tg</t>
  </si>
  <si>
    <t>101/1312301-1312735cv</t>
  </si>
  <si>
    <t>101/1312735-1313187tg</t>
  </si>
  <si>
    <t>101/1313187-1313492cv</t>
  </si>
  <si>
    <t>101/1313492-1314203tg</t>
  </si>
  <si>
    <t>101/1314203-1314675cv</t>
  </si>
  <si>
    <t>101/1314675-1314889tg</t>
  </si>
  <si>
    <t>101/1314889-1315392cv</t>
  </si>
  <si>
    <t>101/1315392-1315630tg</t>
  </si>
  <si>
    <t>101/1315630-1316040cv</t>
  </si>
  <si>
    <t>101/1316040-1316543tg</t>
  </si>
  <si>
    <t>101/1316543-1317155cv</t>
  </si>
  <si>
    <t>101/1317155-1317310tg</t>
  </si>
  <si>
    <t>101/1317310-1318155cv</t>
  </si>
  <si>
    <t>101/1318155-1318290tg</t>
  </si>
  <si>
    <t>101/1318290-1318720cv</t>
  </si>
  <si>
    <t>101/1318720-1319540tg</t>
  </si>
  <si>
    <t>101/1319540-1319996cv</t>
  </si>
  <si>
    <t>101/1319996-1320603tg</t>
  </si>
  <si>
    <t>101/1320603-1321135cv</t>
  </si>
  <si>
    <t>101/1321135-1321346tg</t>
  </si>
  <si>
    <t>101/1321346-1321685cv</t>
  </si>
  <si>
    <t>101/1321685-1321898tg</t>
  </si>
  <si>
    <t>101/1321898-1322405cv</t>
  </si>
  <si>
    <t>101/1322405-1322800tg</t>
  </si>
  <si>
    <t>101/1322800-1322950cv</t>
  </si>
  <si>
    <t>101/1322950-1323103tg</t>
  </si>
  <si>
    <t>101/1323103-1323395cv</t>
  </si>
  <si>
    <t>101/1323395-1323450tg</t>
  </si>
  <si>
    <t>101/1323450-1323645cv</t>
  </si>
  <si>
    <t>101/1323645-1324220tg</t>
  </si>
  <si>
    <t>101/1324220-1324810cv</t>
  </si>
  <si>
    <t>101/1324810-1324850tg</t>
  </si>
  <si>
    <t>101/1324850-1325849cv</t>
  </si>
  <si>
    <t>101/1325849-1326350tg</t>
  </si>
  <si>
    <t>101/1326350-1326850cv</t>
  </si>
  <si>
    <t>101/1326850-1327650tg</t>
  </si>
  <si>
    <t>101/1327650-1328200cv</t>
  </si>
  <si>
    <t>101/1328200-1328600tg</t>
  </si>
  <si>
    <t>101/1328600-1329018cv</t>
  </si>
  <si>
    <t>101/1329018-1329920tg</t>
  </si>
  <si>
    <t>101/1329920-1330283cv</t>
  </si>
  <si>
    <t>101/1330283-1331115tg</t>
  </si>
  <si>
    <t>101/1331115-1331368cv</t>
  </si>
  <si>
    <t>101/1331368-1331960tg</t>
  </si>
  <si>
    <t>101/1331960-1332264cv</t>
  </si>
  <si>
    <t>101/1332264-1332397tg</t>
  </si>
  <si>
    <t>101/1332397-1333136cv</t>
  </si>
  <si>
    <t>101/1333136-1334070tg</t>
  </si>
  <si>
    <t>101/1334070-1334557cv</t>
  </si>
  <si>
    <t>101/1334557-1336880tg</t>
  </si>
  <si>
    <t>101/1336880-1338059cv</t>
  </si>
  <si>
    <t>101/1338059-1338493tg</t>
  </si>
  <si>
    <t>101/1338493-1339321cv</t>
  </si>
  <si>
    <t>101/1339321-1339960tg</t>
  </si>
  <si>
    <t>101/1339960-1340500cv</t>
  </si>
  <si>
    <t>101/1340500-1341190tg</t>
  </si>
  <si>
    <t>101/1341190-1341560cv</t>
  </si>
  <si>
    <t>101/1341560-1341850tg</t>
  </si>
  <si>
    <t>101/1341850-1342250cv</t>
  </si>
  <si>
    <t>101/1342250-1342600tg</t>
  </si>
  <si>
    <t>101/1342600-1343300cv</t>
  </si>
  <si>
    <t>101/1343300-1343400tg</t>
  </si>
  <si>
    <t>101/1343400-1344300cv</t>
  </si>
  <si>
    <t>101/1344300-1345481tg</t>
  </si>
  <si>
    <t>101/1345481-1345630tg</t>
  </si>
  <si>
    <t>101/1345630-1346561cv</t>
  </si>
  <si>
    <t>101/1346561-1346653tg</t>
  </si>
  <si>
    <t>101/1346653-1346862cv</t>
  </si>
  <si>
    <t>101/1346862-1347161tg</t>
  </si>
  <si>
    <t>101/1347161-1347530cv</t>
  </si>
  <si>
    <t>101/1347530-1347701tg</t>
  </si>
  <si>
    <t>101/1347701-1349024cv</t>
  </si>
  <si>
    <t>101/1349024-1349531tg</t>
  </si>
  <si>
    <t>101/1349531-1350250cv</t>
  </si>
  <si>
    <t>101/1350250-1351050tg</t>
  </si>
  <si>
    <t>101/1351050-1351960cv</t>
  </si>
  <si>
    <t>101/1351960-1352162tg</t>
  </si>
  <si>
    <t>101/1352162-1353114cv</t>
  </si>
  <si>
    <t>101/1353114-1354109tg</t>
  </si>
  <si>
    <t>101/1354109-1354623cv</t>
  </si>
  <si>
    <t>101/1354623-1355204tg</t>
  </si>
  <si>
    <t>101/1355204-1355639cv</t>
  </si>
  <si>
    <t>101/1355639-1356702tg</t>
  </si>
  <si>
    <t>101/1356702-1357307cv</t>
  </si>
  <si>
    <t>101/1357307-1357453tg</t>
  </si>
  <si>
    <t>101/1357453-1358542cv</t>
  </si>
  <si>
    <t>101/1358542-1359659tg</t>
  </si>
  <si>
    <t>101/1359659-1360165cv</t>
  </si>
  <si>
    <t>101/1360165-1361700tg</t>
  </si>
  <si>
    <t>101/1361700-1362440cv</t>
  </si>
  <si>
    <t>101/1362440-1362640tg</t>
  </si>
  <si>
    <t>101/1362640-1363350cv</t>
  </si>
  <si>
    <t>101/1363350-1363420tg</t>
  </si>
  <si>
    <t>101/1363420-1363930cv</t>
  </si>
  <si>
    <t>101/1363930-1364000tg</t>
  </si>
  <si>
    <t>101/1364000-1364383cv</t>
  </si>
  <si>
    <t>101/1364383-1364520tg</t>
  </si>
  <si>
    <t>101/1364520-1364623cv</t>
  </si>
  <si>
    <t>101/1364623-1364960tg</t>
  </si>
  <si>
    <t>101/1364960-1365368cv</t>
  </si>
  <si>
    <t>101/1365368-1365804tg</t>
  </si>
  <si>
    <t>101/1365804-1366496cv</t>
  </si>
  <si>
    <t>101/1366496-1366598tg</t>
  </si>
  <si>
    <t>101/1366598-1366720cv</t>
  </si>
  <si>
    <t>101/1366720-1367190tg</t>
  </si>
  <si>
    <t>101/1367190-1368450cv</t>
  </si>
  <si>
    <t>101/1368450-1368650tg</t>
  </si>
  <si>
    <t>101/1368650-1369550cv</t>
  </si>
  <si>
    <t>101/1369550-1369590tg</t>
  </si>
  <si>
    <t>101/1369590-1369720cv</t>
  </si>
  <si>
    <t>101/1369720-1370120cv</t>
  </si>
  <si>
    <t>101/1370120-1370200tg</t>
  </si>
  <si>
    <t>101/1370200-1370600cv</t>
  </si>
  <si>
    <t>101/1370600-1370850tg</t>
  </si>
  <si>
    <t>101/1370850-1371120cv</t>
  </si>
  <si>
    <t>101/1371120-1371550tg</t>
  </si>
  <si>
    <t>101/1371550-1372363cv</t>
  </si>
  <si>
    <t>101/1372363-1372511tg</t>
  </si>
  <si>
    <t>101/1372511-1372876cv</t>
  </si>
  <si>
    <t>101/1372876-1372950tg</t>
  </si>
  <si>
    <t>101/1372950-1373439cv</t>
  </si>
  <si>
    <t>101/1373439-1373497tg</t>
  </si>
  <si>
    <t>101/1373497-1373969cv</t>
  </si>
  <si>
    <t>101/1373969-1374695tg</t>
  </si>
  <si>
    <t>101/1374695-1375005cv</t>
  </si>
  <si>
    <t>101/1375005-1375775tg</t>
  </si>
  <si>
    <t>101/1375775-1376256cv</t>
  </si>
  <si>
    <t>101/1376256-1376629cv</t>
  </si>
  <si>
    <t>101/1376629-1377187tg</t>
  </si>
  <si>
    <t>101/1377187-1377346tg</t>
  </si>
  <si>
    <t>101/1377346-1377850cv</t>
  </si>
  <si>
    <t>101/1377850-1378600tg</t>
  </si>
  <si>
    <t>101/1378600-1379050cv</t>
  </si>
  <si>
    <t>101/1379050-1379400tg</t>
  </si>
  <si>
    <t>101/1379400-1380008cv</t>
  </si>
  <si>
    <t>101/1380008-1380408tg</t>
  </si>
  <si>
    <t>101/1380408-1381100cv</t>
  </si>
  <si>
    <t>101/1381100-1381639tg</t>
  </si>
  <si>
    <t>101/1381639-1382015cv</t>
  </si>
  <si>
    <t>101/1382015-1382215tg</t>
  </si>
  <si>
    <t>101/1382215-1382850cv</t>
  </si>
  <si>
    <t>101/1382850-1383610tg</t>
  </si>
  <si>
    <t>101/1383610-1383900tg</t>
  </si>
  <si>
    <t>101/1383900-1384290cv</t>
  </si>
  <si>
    <t>101/1384290-1384330tg</t>
  </si>
  <si>
    <t>101/1384330-1385239cv</t>
  </si>
  <si>
    <t>101/1385239-1385269tg</t>
  </si>
  <si>
    <t>101/1385269-1385995cv</t>
  </si>
  <si>
    <t>101/1385995-1386061tg</t>
  </si>
  <si>
    <t>101/1386061-1386790cv</t>
  </si>
  <si>
    <t>101/1386790-1387256tg</t>
  </si>
  <si>
    <t>101/1387256-1387780cv</t>
  </si>
  <si>
    <t>101/1387780-1387815tg</t>
  </si>
  <si>
    <t>101/1387815-1388250cv</t>
  </si>
  <si>
    <t>101/1388250-1388809cv</t>
  </si>
  <si>
    <t>101/1388809-1389557tg</t>
  </si>
  <si>
    <t>101/1389557-1390170cv</t>
  </si>
  <si>
    <t>101/1390170-1390420tg</t>
  </si>
  <si>
    <t>101/1390420-1390660cv</t>
  </si>
  <si>
    <t>101/1390660-1390710tg</t>
  </si>
  <si>
    <t>101/1390710-1391136cv</t>
  </si>
  <si>
    <t>101/1391136-1391183tg</t>
  </si>
  <si>
    <t>101/1391183-1391720cv</t>
  </si>
  <si>
    <t>101/1391720-1391761tg</t>
  </si>
  <si>
    <t>101/1391761-1392410cv</t>
  </si>
  <si>
    <t>101/1392410-1393205cv</t>
  </si>
  <si>
    <t>101/1393205-1393419tg</t>
  </si>
  <si>
    <t>101/1393419-1393960cv</t>
  </si>
  <si>
    <t>101/1393960-1394102tg</t>
  </si>
  <si>
    <t>101/1394102-1394807cv</t>
  </si>
  <si>
    <t>101/1394807-1395110tg</t>
  </si>
  <si>
    <t>101/1395110-1395705cv</t>
  </si>
  <si>
    <t>101/1395705-1395812tg</t>
  </si>
  <si>
    <t>101/1395812-1396240cv</t>
  </si>
  <si>
    <t>101/1396240-1396530tg</t>
  </si>
  <si>
    <t>101/1396530-1397145cv</t>
  </si>
  <si>
    <t>101/1397145-1397330tg</t>
  </si>
  <si>
    <t>101/1397330-1397670cv</t>
  </si>
  <si>
    <t>101/1397670-1398209tg</t>
  </si>
  <si>
    <t>101/1398209-1399095cv</t>
  </si>
  <si>
    <t>101/1399095-1399734tg</t>
  </si>
  <si>
    <t>101/1399734-1400098cv</t>
  </si>
  <si>
    <t>101/1400098-1400142tg</t>
  </si>
  <si>
    <t>101/1400142-1400504cv</t>
  </si>
  <si>
    <t>101/1400504-1400541tg</t>
  </si>
  <si>
    <t>101/1400541-1400728cv</t>
  </si>
  <si>
    <t>101/1400791-1401108cv</t>
  </si>
  <si>
    <t>101/1401108-1401204tg</t>
  </si>
  <si>
    <t>101/1401204-1401615cv</t>
  </si>
  <si>
    <t>101/1401615-1401839tg</t>
  </si>
  <si>
    <t>101/1401839-1402228cv</t>
  </si>
  <si>
    <t>101/1402228-1402275tg</t>
  </si>
  <si>
    <t>101/1402275-1402550cv</t>
  </si>
  <si>
    <t>101/1402550-1403182tg</t>
  </si>
  <si>
    <t>101/1403182-1403509cv</t>
  </si>
  <si>
    <t>101/1403509-1403753tg</t>
  </si>
  <si>
    <t>101/1403753-1404096cv</t>
  </si>
  <si>
    <t>101/1404096-1404227tg</t>
  </si>
  <si>
    <t>101/1404227-1404599cv</t>
  </si>
  <si>
    <t>101/1404599-1405641tg</t>
  </si>
  <si>
    <t>101/1405641-1406034cv</t>
  </si>
  <si>
    <t>101/1406034-1407103tg</t>
  </si>
  <si>
    <t>101/1407103-1407584cv</t>
  </si>
  <si>
    <t>101/1407584-1408144tg</t>
  </si>
  <si>
    <t>101/1408144-1408414cv</t>
  </si>
  <si>
    <t>101/1408414-1408731tg</t>
  </si>
  <si>
    <t>101/1408731-1409802cv</t>
  </si>
  <si>
    <t>101/1409802-1409852tg</t>
  </si>
  <si>
    <t>101/1409852-1410194cv</t>
  </si>
  <si>
    <t>101/1410194-1410319tg</t>
  </si>
  <si>
    <t>101/1410319-1410470cv</t>
  </si>
  <si>
    <t>101/1410470-1410915tg</t>
  </si>
  <si>
    <t>101/1410915-1411111cv</t>
  </si>
  <si>
    <t>101/1411111-1411340tg</t>
  </si>
  <si>
    <t>101/1411340-1411937cv</t>
  </si>
  <si>
    <t>101/1411937-1412122tg</t>
  </si>
  <si>
    <t>101/1412122-1412601cv</t>
  </si>
  <si>
    <t>101/1412601-1412923tg</t>
  </si>
  <si>
    <t>101/1412923-1413202cv</t>
  </si>
  <si>
    <t>101/1413202-1413287tg</t>
  </si>
  <si>
    <t>101/1413287-1413563cv</t>
  </si>
  <si>
    <t>101/1413563-1413648tg</t>
  </si>
  <si>
    <t>101/1413648-1413908cv</t>
  </si>
  <si>
    <t>101/1413908-1413936tg</t>
  </si>
  <si>
    <t>101/1413936-1414185cv</t>
  </si>
  <si>
    <t>101/1414185-1414442tg</t>
  </si>
  <si>
    <t>101/1414442-1415175cv</t>
  </si>
  <si>
    <t>101/1415175-1415337tg</t>
  </si>
  <si>
    <t>101/1415337-1415907cv</t>
  </si>
  <si>
    <t>101/1415907-1416262tg</t>
  </si>
  <si>
    <t>101/1416262-1416715cv</t>
  </si>
  <si>
    <t>101/1416715-1416817tg</t>
  </si>
  <si>
    <t>101/1416817-1418090cv</t>
  </si>
  <si>
    <t>101/1418090-1418373tg</t>
  </si>
  <si>
    <t>101/1418373-1418890cv</t>
  </si>
  <si>
    <t>101/1418890-1418906tg</t>
  </si>
  <si>
    <t>101/1418906-1419336cv</t>
  </si>
  <si>
    <t>101/1419336-1419449tg</t>
  </si>
  <si>
    <t>101/1419449-1420313cv</t>
  </si>
  <si>
    <t>101/1420313-1420451tg</t>
  </si>
  <si>
    <t>101/1420451-1420785cv</t>
  </si>
  <si>
    <t>101/1420785-1420941tg</t>
  </si>
  <si>
    <t>101/1420941-1421270cv</t>
  </si>
  <si>
    <t>101/1421270-1421287tg</t>
  </si>
  <si>
    <t>101/1421287-1421739cv</t>
  </si>
  <si>
    <t>101/1421739-1422083tg</t>
  </si>
  <si>
    <t>101/1422083-1422328cv</t>
  </si>
  <si>
    <t>101/1422328-1422398tg</t>
  </si>
  <si>
    <t>101/1422398-1422589cv</t>
  </si>
  <si>
    <t>101/1422589-1422647tg</t>
  </si>
  <si>
    <t>101/1422647-1422858cv</t>
  </si>
  <si>
    <t>101/1422858-1422959tg</t>
  </si>
  <si>
    <t>101/1422959-1423593cv</t>
  </si>
  <si>
    <t>101/1423593-1423876tg</t>
  </si>
  <si>
    <t>101/1423876-1424621cv</t>
  </si>
  <si>
    <t>101/1424621-1424650tg</t>
  </si>
  <si>
    <t>101/1424650-1425409cv</t>
  </si>
  <si>
    <t>101/1425409-1425432tg</t>
  </si>
  <si>
    <t>101/1425432-1426279cv</t>
  </si>
  <si>
    <t>101/1426279-1426520tg</t>
  </si>
  <si>
    <t>101/1426520-1426871cv</t>
  </si>
  <si>
    <t>101/1426871-1427146tg</t>
  </si>
  <si>
    <t>101/1427146-1427396cv</t>
  </si>
  <si>
    <t>101/1427396-1427420tg</t>
  </si>
  <si>
    <t>101/1427420-1427896cv</t>
  </si>
  <si>
    <t>101/1427896-1428257tg</t>
  </si>
  <si>
    <t>101/1428257-1428740cv</t>
  </si>
  <si>
    <t>101/1428740-1429065tg</t>
  </si>
  <si>
    <t>101/1429065-1429697cv</t>
  </si>
  <si>
    <t>101/1429697-1429764tg</t>
  </si>
  <si>
    <t>101/1429764-1430386cv</t>
  </si>
  <si>
    <t>101/1430386-1430466tg</t>
  </si>
  <si>
    <t>101/1430466-1430825cv</t>
  </si>
  <si>
    <t>101/1430825-1430929tg</t>
  </si>
  <si>
    <t>101/1430929-1431344cv</t>
  </si>
  <si>
    <t>101/1431344-1431475tg</t>
  </si>
  <si>
    <t>101/1431475-1432102cv</t>
  </si>
  <si>
    <t>101/1432102-1432213tg</t>
  </si>
  <si>
    <t>101/1432213-1432525cv</t>
  </si>
  <si>
    <t>101/1432525-1432780tg</t>
  </si>
  <si>
    <t>101/1432780-1433286cv</t>
  </si>
  <si>
    <t>101/1433286-1433432tg</t>
  </si>
  <si>
    <t>101/1433432-1433811cv</t>
  </si>
  <si>
    <t>101/1433811-1434135tg</t>
  </si>
  <si>
    <t>101/1434135-1434827cv</t>
  </si>
  <si>
    <t>101/1434827-1434856tg</t>
  </si>
  <si>
    <t>101/1434856-1435202cv</t>
  </si>
  <si>
    <t>101/1435202-1435423tg</t>
  </si>
  <si>
    <t>101/1435423-1436804cv</t>
  </si>
  <si>
    <t>101/1436804-1437151tg</t>
  </si>
  <si>
    <t>101/1437151-1437453tg</t>
  </si>
  <si>
    <t>101/1437453-1437918cv</t>
  </si>
  <si>
    <t>101/1437918-1438298tg</t>
  </si>
  <si>
    <t>101/1438298-1438690cv</t>
  </si>
  <si>
    <t>101/1438690-1438821tg</t>
  </si>
  <si>
    <t>101/1438821-1439343cv</t>
  </si>
  <si>
    <t>101/1439343-1439382tg</t>
  </si>
  <si>
    <t>101/1439382-1439594cv</t>
  </si>
  <si>
    <t>101/1439594-1439784cv</t>
  </si>
  <si>
    <t>101/1439784-1439873tg</t>
  </si>
  <si>
    <t>101/1439873-1440636cv</t>
  </si>
  <si>
    <t>101/1440636-1440667tg</t>
  </si>
  <si>
    <t>101/1440667-1441435cv</t>
  </si>
  <si>
    <t>101/1441435-1442010tg</t>
  </si>
  <si>
    <t>101/1442010-1442455cv</t>
  </si>
  <si>
    <t>101/1442455-1442997tg</t>
  </si>
  <si>
    <t>101/1442997-1443369cv</t>
  </si>
  <si>
    <t>101/1443369-1443650tg</t>
  </si>
  <si>
    <t>101/1443650-1444068cv</t>
  </si>
  <si>
    <t>101/1444068-1444836tg</t>
  </si>
  <si>
    <t>101/1444836-1445359cv</t>
  </si>
  <si>
    <t>101/1445359-1445930tg</t>
  </si>
  <si>
    <t>101/1445930-1446676cv</t>
  </si>
  <si>
    <t>101/1446676-1446803tg</t>
  </si>
  <si>
    <t>101/1446803-1447520cv</t>
  </si>
  <si>
    <t>101/1447520-1448136tg</t>
  </si>
  <si>
    <t>101/1448136-1448505cv</t>
  </si>
  <si>
    <t>101/1448505-1448885tg</t>
  </si>
  <si>
    <t>101/1448885-1449744cv</t>
  </si>
  <si>
    <t>101/1449744-1450084tg</t>
  </si>
  <si>
    <t>101/1450084-1450918cv</t>
  </si>
  <si>
    <t>101/1450918-1451027tg</t>
  </si>
  <si>
    <t>101/1451027-1451488cv</t>
  </si>
  <si>
    <t>101/1451488-1451611tg</t>
  </si>
  <si>
    <t>101/1451611-1452062cv</t>
  </si>
  <si>
    <t>101/1452062-1452110tg</t>
  </si>
  <si>
    <t>101/1452110-1452547cv</t>
  </si>
  <si>
    <t>101/1452547-1452585tg</t>
  </si>
  <si>
    <t>101/1452585-1453131cv</t>
  </si>
  <si>
    <t>101/1453131-1453944tg</t>
  </si>
  <si>
    <t>101/1453944-1454252cv</t>
  </si>
  <si>
    <t>101/1454252-1454715tg</t>
  </si>
  <si>
    <t>101/1454715-1455362cv</t>
  </si>
  <si>
    <t>101/1455362-1455593tg</t>
  </si>
  <si>
    <t>101/1455593-1456512cv</t>
  </si>
  <si>
    <t>101/1456512-1456716tg</t>
  </si>
  <si>
    <t>101/1456716-1457786cv</t>
  </si>
  <si>
    <t>101/1457786-1458616tg</t>
  </si>
  <si>
    <t>101/1458616-1459026cv</t>
  </si>
  <si>
    <t>101/1459026-1459527tg</t>
  </si>
  <si>
    <t>101/1459527-1460121cv</t>
  </si>
  <si>
    <t>101/1460121-1460529tg</t>
  </si>
  <si>
    <t>101/1460529-1460857cv</t>
  </si>
  <si>
    <t>101/1460857-1460887tg</t>
  </si>
  <si>
    <t>101/1460887-1461478cv</t>
  </si>
  <si>
    <t>101/1461478-1461804tg</t>
  </si>
  <si>
    <t>101/1461804-1462198cv</t>
  </si>
  <si>
    <t>101/1462198-1462802tg</t>
  </si>
  <si>
    <t>101/1462802-1463187cv</t>
  </si>
  <si>
    <t>101/1463187-1463274tg</t>
  </si>
  <si>
    <t>101/1463274-1463817cv</t>
  </si>
  <si>
    <t>101/1463817-1463865tg</t>
  </si>
  <si>
    <t>101/1463865-1464176cv</t>
  </si>
  <si>
    <t>101/1464176-1464331tg</t>
  </si>
  <si>
    <t>101/1464331-1464804cv</t>
  </si>
  <si>
    <t>101/1464804-1464992tg</t>
  </si>
  <si>
    <t>101/1464992-1465295cv</t>
  </si>
  <si>
    <t>101/1465295-1465410tg</t>
  </si>
  <si>
    <t>101/1465410-1466192cv</t>
  </si>
  <si>
    <t>101/1466192-1466401tg</t>
  </si>
  <si>
    <t>101/1466401-1466877cv</t>
  </si>
  <si>
    <t>101/1466877-1466957tg</t>
  </si>
  <si>
    <t>101/1466957-1467077cv</t>
  </si>
  <si>
    <t>101/1467077-1467397cv</t>
  </si>
  <si>
    <t>101/1467397-1467575tg</t>
  </si>
  <si>
    <t>101/1467575-1468125cv</t>
  </si>
  <si>
    <t>101/1468125-1468478tg</t>
  </si>
  <si>
    <t>101/1468478-1469052cv</t>
  </si>
  <si>
    <t>101/1469052-1469233tg</t>
  </si>
  <si>
    <t>101/1469233-1469487cv</t>
  </si>
  <si>
    <t>101/1469487-1470112tg</t>
  </si>
  <si>
    <t>101/1470112-1470700cv</t>
  </si>
  <si>
    <t>101/1470700-1470925cv</t>
  </si>
  <si>
    <t>101/1470925-1471086tg</t>
  </si>
  <si>
    <t>101/1471086-1471347cv</t>
  </si>
  <si>
    <t>101/1472177-1472409cv</t>
  </si>
  <si>
    <t>101/1472409-1472460tg</t>
  </si>
  <si>
    <t>101/1472460-1472954cv</t>
  </si>
  <si>
    <t>101/1472954-1473185tg</t>
  </si>
  <si>
    <t>101/1473185-1473378cv</t>
  </si>
  <si>
    <t>101/1473378-1473948tg</t>
  </si>
  <si>
    <t>101/1473948-1474079cv</t>
  </si>
  <si>
    <t>101/1474079-1474496tg</t>
  </si>
  <si>
    <t>101/1474496-1474859cv</t>
  </si>
  <si>
    <t>101/1474859-1475417tg</t>
  </si>
  <si>
    <t>101/1475417-1475828cv</t>
  </si>
  <si>
    <t>101/1475828-1476109tg</t>
  </si>
  <si>
    <t>101/1476109-1476554cv</t>
  </si>
  <si>
    <t>101/1476554-1476982tg</t>
  </si>
  <si>
    <t>101/1476982-1477531cv</t>
  </si>
  <si>
    <t>101/1477531-1477839tg</t>
  </si>
  <si>
    <t>101/1477839-1478527cv</t>
  </si>
  <si>
    <t>101/1478527-1479206tg</t>
  </si>
  <si>
    <t>101/1479206-1479418cv</t>
  </si>
  <si>
    <t>101/1479418-1479457tg</t>
  </si>
  <si>
    <t>101/1479457-1479979cv</t>
  </si>
  <si>
    <t>101/1479979-1480110tg</t>
  </si>
  <si>
    <t>101/1480110-1480502cv</t>
  </si>
  <si>
    <t>101/1480502-1480882tg</t>
  </si>
  <si>
    <t>101/1480882-1481347cv</t>
  </si>
  <si>
    <t>101/1481347-1481649tg</t>
  </si>
  <si>
    <t>101/1481649-1483377cv</t>
  </si>
  <si>
    <t>101/1483377-1483598tg</t>
  </si>
  <si>
    <t>101/1483598-1483944cv</t>
  </si>
  <si>
    <t>101/1483944-1483973tg</t>
  </si>
  <si>
    <t>101/1483973-1484665cv</t>
  </si>
  <si>
    <t>101/1484665-1484989tg</t>
  </si>
  <si>
    <t>101/1484989-1485368cv</t>
  </si>
  <si>
    <t>101/1485368-1485514tg</t>
  </si>
  <si>
    <t>101/1485514-1486020cv</t>
  </si>
  <si>
    <t>101/1486020-1486275tg</t>
  </si>
  <si>
    <t>101/1486275-1486587cv</t>
  </si>
  <si>
    <t>101/1486587-1486698tg</t>
  </si>
  <si>
    <t>101/1486698-1487325cv</t>
  </si>
  <si>
    <t>101/1487325-1487456tg</t>
  </si>
  <si>
    <t>101/1487456-1487871cv</t>
  </si>
  <si>
    <t>101/1487871-1487975tg</t>
  </si>
  <si>
    <t>101/1487975-1488334cv</t>
  </si>
  <si>
    <t>101/1488334-1488414tg</t>
  </si>
  <si>
    <t>101/1488414-1489036cv</t>
  </si>
  <si>
    <t>101/1489036-1489103tg</t>
  </si>
  <si>
    <t>101/1489103-1489735cv</t>
  </si>
  <si>
    <t>101/1489735-1490060tg</t>
  </si>
  <si>
    <t>101/1490060-1490543cv</t>
  </si>
  <si>
    <t>101/1490543-1490904tg</t>
  </si>
  <si>
    <t>101/1490904-1491380cv</t>
  </si>
  <si>
    <t>101/1491380-1491404tg</t>
  </si>
  <si>
    <t>101/1491404-1491654cv</t>
  </si>
  <si>
    <t>101/1491654-1491929tg</t>
  </si>
  <si>
    <t>101/1491929-1492280cv</t>
  </si>
  <si>
    <t>101/1492280-1492521tg</t>
  </si>
  <si>
    <t>101/1492521-1493368cv</t>
  </si>
  <si>
    <t>101/1493368-1493391tg</t>
  </si>
  <si>
    <t>101/1493391-1494150cv</t>
  </si>
  <si>
    <t>101/1494150-1494179tg</t>
  </si>
  <si>
    <t>101/1494179-1494924cv</t>
  </si>
  <si>
    <t>101/1494924-1495207tg</t>
  </si>
  <si>
    <t>101/1495207-1495841cv</t>
  </si>
  <si>
    <t>101/1495841-1495942tg</t>
  </si>
  <si>
    <t>101/1495942-1496153cv</t>
  </si>
  <si>
    <t>101/1496153-1496211tg</t>
  </si>
  <si>
    <t>101/1496211-1496402cv</t>
  </si>
  <si>
    <t>101/1496402-1496472tg</t>
  </si>
  <si>
    <t>101/1496472-1496717cv</t>
  </si>
  <si>
    <t>101/1496717-1497061tg</t>
  </si>
  <si>
    <t>101/1497061-1497513cv</t>
  </si>
  <si>
    <t>101/1497513-1497530tg</t>
  </si>
  <si>
    <t>101/1497530-1497859cv</t>
  </si>
  <si>
    <t>101/1497859-1498015tg</t>
  </si>
  <si>
    <t>101/1498015-1498349cv</t>
  </si>
  <si>
    <t>101/1498349-1498487tg</t>
  </si>
  <si>
    <t>101/1498487-1499351cv</t>
  </si>
  <si>
    <t>101/1499351-1499464tg</t>
  </si>
  <si>
    <t>101/1499464-1499894cv</t>
  </si>
  <si>
    <t>101/1499894-1499910tg</t>
  </si>
  <si>
    <t>101/1499910-1500427cv</t>
  </si>
  <si>
    <t>101/1500427-1500710tg</t>
  </si>
  <si>
    <t>101/1500710-1501983cv</t>
  </si>
  <si>
    <t>101/1501983-1502085tg</t>
  </si>
  <si>
    <t>101/1502085-1502538cv</t>
  </si>
  <si>
    <t>101/1502538-1502893tg</t>
  </si>
  <si>
    <t>101/1502893-1503463cv</t>
  </si>
  <si>
    <t>101/1503463-1503625tg</t>
  </si>
  <si>
    <t>101/1503625-1504358cv</t>
  </si>
  <si>
    <t>101/1504358-1504615tg</t>
  </si>
  <si>
    <t>101/1504615-1504864cv</t>
  </si>
  <si>
    <t>101/1504864-1504892tg</t>
  </si>
  <si>
    <t>101/1504892-1505152cv</t>
  </si>
  <si>
    <t>101/1505152-1505237tg</t>
  </si>
  <si>
    <t>101/1505237-1505513cv</t>
  </si>
  <si>
    <t>101/1505513-1505598tg</t>
  </si>
  <si>
    <t>101/1505598-1505877cv</t>
  </si>
  <si>
    <t>101/1505877-1506199tg</t>
  </si>
  <si>
    <t>101/1506199-1506678cv</t>
  </si>
  <si>
    <t>101/1506678-1506863tg</t>
  </si>
  <si>
    <t>101/1506863-1507460cv</t>
  </si>
  <si>
    <t>101/1507460-1507689tg</t>
  </si>
  <si>
    <t>101/1507689-1507885cv</t>
  </si>
  <si>
    <t>101/1507885-1508330tg</t>
  </si>
  <si>
    <t>101/1508330-1508481cv</t>
  </si>
  <si>
    <t>101/1508481-1508606tg</t>
  </si>
  <si>
    <t>101/1508606-1508948cv</t>
  </si>
  <si>
    <t>101/1508948-1508998tg</t>
  </si>
  <si>
    <t>101/1508998-1510069cv</t>
  </si>
  <si>
    <t>101/1510069-1510386tg</t>
  </si>
  <si>
    <t>101/1510386-1510656cv</t>
  </si>
  <si>
    <t>101/1510656-1511216tg</t>
  </si>
  <si>
    <t>101/1511216-1511697cv</t>
  </si>
  <si>
    <t>101/1511697-1512766tg</t>
  </si>
  <si>
    <t>101/1512766-1513159cv</t>
  </si>
  <si>
    <t>101/1513159-1514201tg</t>
  </si>
  <si>
    <t>101/1514201-1514573cv</t>
  </si>
  <si>
    <t>101/1514573-1514704tg</t>
  </si>
  <si>
    <t>101/1514704-1515047cv</t>
  </si>
  <si>
    <t>101/1515047-1515291tg</t>
  </si>
  <si>
    <t>101/1515291-1515618cv</t>
  </si>
  <si>
    <t>101/1515618-1516250tg</t>
  </si>
  <si>
    <t>101/1516250-1516525cv</t>
  </si>
  <si>
    <t>101/1516525-1516572tg</t>
  </si>
  <si>
    <t>101/1516572-1516961cv</t>
  </si>
  <si>
    <t>101/1516961-1517185tg</t>
  </si>
  <si>
    <t>101/1517185-1517596cv</t>
  </si>
  <si>
    <t>101/1517596-1517692tg</t>
  </si>
  <si>
    <t>101/1517692-1518009cv</t>
  </si>
  <si>
    <t>101/1518009-1518072tg</t>
  </si>
  <si>
    <t>101/1518072-1518259cv</t>
  </si>
  <si>
    <t>101/1518259-1518296tg</t>
  </si>
  <si>
    <t>101/1518296-1518658cv</t>
  </si>
  <si>
    <t>101/1518658-1518702tg</t>
  </si>
  <si>
    <t>101/1518702-1519443cv</t>
  </si>
  <si>
    <t>101/1519443-1519542tg</t>
  </si>
  <si>
    <t>101/1519542-1520239cv</t>
  </si>
  <si>
    <t>101/1520239-1520407tg</t>
  </si>
  <si>
    <t>101/1520407-1520859cv</t>
  </si>
  <si>
    <t>101/1520859-1521108tg</t>
  </si>
  <si>
    <t>101/1521108-1521490cv</t>
  </si>
  <si>
    <t>101/1521490-1521580tg</t>
  </si>
  <si>
    <t>101/1521580-1521975cv</t>
  </si>
  <si>
    <t>101/1521975-1522239tg</t>
  </si>
  <si>
    <t>101/1522239-1522696cv</t>
  </si>
  <si>
    <t>101/1522696-1522740tg</t>
  </si>
  <si>
    <t>101/1522740-1523209cv</t>
  </si>
  <si>
    <t>101/1523209-1523415tg</t>
  </si>
  <si>
    <t>101/1523415-1523826cv</t>
  </si>
  <si>
    <t>101/1523826-1523925tg</t>
  </si>
  <si>
    <t>101/1523925-1524400cv</t>
  </si>
  <si>
    <t>101/1524400-1524960tg</t>
  </si>
  <si>
    <t>LAT</t>
  </si>
  <si>
    <t>TÚNEL CORINGA</t>
  </si>
  <si>
    <t>LMR-LAT</t>
  </si>
  <si>
    <t>LPX-NRM</t>
  </si>
  <si>
    <t>Id_Cadastro_Tunel</t>
  </si>
  <si>
    <t>1</t>
  </si>
  <si>
    <t>6</t>
  </si>
  <si>
    <t>7</t>
  </si>
  <si>
    <t>7/479588-480015tg</t>
  </si>
  <si>
    <t>7/507890-508390cv</t>
  </si>
  <si>
    <t>9</t>
  </si>
  <si>
    <t>10</t>
  </si>
  <si>
    <t>13</t>
  </si>
  <si>
    <t>14</t>
  </si>
  <si>
    <t>15</t>
  </si>
  <si>
    <t>16</t>
  </si>
  <si>
    <t>16/114992-115202tg</t>
  </si>
  <si>
    <t>16/115436-115723cv</t>
  </si>
  <si>
    <t>16/118017-118100tg</t>
  </si>
  <si>
    <t>16/123497-124221cv</t>
  </si>
  <si>
    <t>16/125225-125969cv</t>
  </si>
  <si>
    <t>16/133442-133668cv</t>
  </si>
  <si>
    <t>17</t>
  </si>
  <si>
    <t>17/141320-142645tg</t>
  </si>
  <si>
    <t>17/149150-149450cv</t>
  </si>
  <si>
    <t>17/155120-155400tg</t>
  </si>
  <si>
    <t>17/156095-156210cv</t>
  </si>
  <si>
    <t>17/169720-169820cv</t>
  </si>
  <si>
    <t>17/220622-220842tu</t>
  </si>
  <si>
    <t>17/220800-220930cv</t>
  </si>
  <si>
    <t>17/223050-223290cv</t>
  </si>
  <si>
    <t>17/228530-229080cv</t>
  </si>
  <si>
    <t>17/307050-307610tg</t>
  </si>
  <si>
    <t>17/313580-313780tg</t>
  </si>
  <si>
    <t>17/318820-319190cv</t>
  </si>
  <si>
    <t>17/320400-321050tg</t>
  </si>
  <si>
    <t>17/348689-349693tg</t>
  </si>
  <si>
    <t>19</t>
  </si>
  <si>
    <t>19/010830-011455cv</t>
  </si>
  <si>
    <t>19/017683-018020cv</t>
  </si>
  <si>
    <t>19/020902-021005tg</t>
  </si>
  <si>
    <t>19/023212-023880cv</t>
  </si>
  <si>
    <t>19/023880-025175tg</t>
  </si>
  <si>
    <t>19/026100-026751cv</t>
  </si>
  <si>
    <t>19/027620-027970cv</t>
  </si>
  <si>
    <t>19/029775-030085cv</t>
  </si>
  <si>
    <t>19/030718-031670cv</t>
  </si>
  <si>
    <t>19/031897-032512cv</t>
  </si>
  <si>
    <t>19/037480-037750tg</t>
  </si>
  <si>
    <t>19/156400-158200tg</t>
  </si>
  <si>
    <t>19/041995-042210tg</t>
  </si>
  <si>
    <t>19/044956-045120tg</t>
  </si>
  <si>
    <t>19/045840-046090tg</t>
  </si>
  <si>
    <t>19/046720-046920tg</t>
  </si>
  <si>
    <t>19/048222-048897cv</t>
  </si>
  <si>
    <t>19/049080-050205cv</t>
  </si>
  <si>
    <t>19/052887-053115tg</t>
  </si>
  <si>
    <t>19/054971-056120cv</t>
  </si>
  <si>
    <t>19/069105-069450tg</t>
  </si>
  <si>
    <t>19/069655-070450tg</t>
  </si>
  <si>
    <t>19/071795-072780cv</t>
  </si>
  <si>
    <t>19/075682-075872cv</t>
  </si>
  <si>
    <t>19/077976-078205cv</t>
  </si>
  <si>
    <t>19/082080-083086tg</t>
  </si>
  <si>
    <t>19/094997-095307tg</t>
  </si>
  <si>
    <t>21</t>
  </si>
  <si>
    <t>2/200360-201360tg</t>
  </si>
  <si>
    <t>24</t>
  </si>
  <si>
    <t>25</t>
  </si>
  <si>
    <t>37</t>
  </si>
  <si>
    <t>39</t>
  </si>
  <si>
    <t>Malha</t>
  </si>
  <si>
    <t>Trecho</t>
  </si>
  <si>
    <t>N_Sub</t>
  </si>
  <si>
    <t>Sub_Dupli</t>
  </si>
  <si>
    <t>Sub_Trecho2</t>
  </si>
  <si>
    <t>Km_Sub_Trecho2</t>
  </si>
  <si>
    <t>Km_Inicio</t>
  </si>
  <si>
    <t>Km_Fim</t>
  </si>
  <si>
    <t>Estado</t>
  </si>
  <si>
    <t>Gerência</t>
  </si>
  <si>
    <t>PDT</t>
  </si>
  <si>
    <t>ID_PowerApps</t>
  </si>
  <si>
    <t>Métrica</t>
  </si>
  <si>
    <t>CN</t>
  </si>
  <si>
    <t>LLD-LMG</t>
  </si>
  <si>
    <t>LLD-LAP</t>
  </si>
  <si>
    <t>217-268</t>
  </si>
  <si>
    <t>PR</t>
  </si>
  <si>
    <t>Central Norte</t>
  </si>
  <si>
    <t>268-340</t>
  </si>
  <si>
    <t>2</t>
  </si>
  <si>
    <t>LMQ-LLD</t>
  </si>
  <si>
    <t>LMQ-LLJ</t>
  </si>
  <si>
    <t>0-103</t>
  </si>
  <si>
    <t>LLJ-LLD</t>
  </si>
  <si>
    <t>103-217</t>
  </si>
  <si>
    <t>3</t>
  </si>
  <si>
    <t>LMQ-LMU</t>
  </si>
  <si>
    <t>27-210</t>
  </si>
  <si>
    <t>4</t>
  </si>
  <si>
    <t>LUS-LMU</t>
  </si>
  <si>
    <t>104-222</t>
  </si>
  <si>
    <t>5</t>
  </si>
  <si>
    <t>LMU-LHA</t>
  </si>
  <si>
    <t>0-120</t>
  </si>
  <si>
    <t>378-249</t>
  </si>
  <si>
    <t>LUS-LAP</t>
  </si>
  <si>
    <t>LUS-LIH</t>
  </si>
  <si>
    <t>248 - 334</t>
  </si>
  <si>
    <t>334 - 420</t>
  </si>
  <si>
    <t>420 - 500</t>
  </si>
  <si>
    <t>500 - 583</t>
  </si>
  <si>
    <t>8</t>
  </si>
  <si>
    <t>LGZ-LDV</t>
  </si>
  <si>
    <t>223-341</t>
  </si>
  <si>
    <t>Central Serras</t>
  </si>
  <si>
    <t>CS</t>
  </si>
  <si>
    <t>LIC-LUS</t>
  </si>
  <si>
    <t>LIC-LEB</t>
  </si>
  <si>
    <t>114-170</t>
  </si>
  <si>
    <t>170-249</t>
  </si>
  <si>
    <t>0-114</t>
  </si>
  <si>
    <t>11</t>
  </si>
  <si>
    <t>LNH-LCO</t>
  </si>
  <si>
    <t>102-109</t>
  </si>
  <si>
    <t>12</t>
  </si>
  <si>
    <t>LCO-LBR</t>
  </si>
  <si>
    <t>0-43</t>
  </si>
  <si>
    <t>0-63</t>
  </si>
  <si>
    <t>LRI-LFC</t>
  </si>
  <si>
    <t>213-138</t>
  </si>
  <si>
    <t>138-77</t>
  </si>
  <si>
    <t>LJG-LFC</t>
  </si>
  <si>
    <t>77-0</t>
  </si>
  <si>
    <t>TS</t>
  </si>
  <si>
    <t>0-864</t>
  </si>
  <si>
    <t>SC</t>
  </si>
  <si>
    <t>Tronco Sul</t>
  </si>
  <si>
    <t>LRI-LLS</t>
  </si>
  <si>
    <t>1-108</t>
  </si>
  <si>
    <t>108-206</t>
  </si>
  <si>
    <t>206-292</t>
  </si>
  <si>
    <t>LLS-NRO</t>
  </si>
  <si>
    <t>397-300</t>
  </si>
  <si>
    <t>300-209</t>
  </si>
  <si>
    <t>209-99</t>
  </si>
  <si>
    <t>18</t>
  </si>
  <si>
    <t>NJB-NCB</t>
  </si>
  <si>
    <t>0-70</t>
  </si>
  <si>
    <t>RS</t>
  </si>
  <si>
    <t>1-159</t>
  </si>
  <si>
    <t>20</t>
  </si>
  <si>
    <t>NOR-NES</t>
  </si>
  <si>
    <t>0-14</t>
  </si>
  <si>
    <t>0-101</t>
  </si>
  <si>
    <t>22</t>
  </si>
  <si>
    <t>NTI-NDP</t>
  </si>
  <si>
    <t>4-19</t>
  </si>
  <si>
    <t>23</t>
  </si>
  <si>
    <t>NGL-NRP</t>
  </si>
  <si>
    <t>33-152</t>
  </si>
  <si>
    <t>152-318</t>
  </si>
  <si>
    <t>RS + Cruz Alta</t>
  </si>
  <si>
    <t>318-430</t>
  </si>
  <si>
    <t>27</t>
  </si>
  <si>
    <t>NSO-NPF</t>
  </si>
  <si>
    <t>142-337</t>
  </si>
  <si>
    <t>28</t>
  </si>
  <si>
    <t>NSM-NCZ</t>
  </si>
  <si>
    <t>NSM-NTP</t>
  </si>
  <si>
    <t>0-87</t>
  </si>
  <si>
    <t>NTP-NCZ</t>
  </si>
  <si>
    <t>87-142</t>
  </si>
  <si>
    <t>29</t>
  </si>
  <si>
    <t>NCZ-NSR</t>
  </si>
  <si>
    <t>0-178</t>
  </si>
  <si>
    <t>34</t>
  </si>
  <si>
    <t>NCY-NUG</t>
  </si>
  <si>
    <t>429-693</t>
  </si>
  <si>
    <t>35</t>
  </si>
  <si>
    <t>Desativado</t>
  </si>
  <si>
    <t>0-159</t>
  </si>
  <si>
    <t>36</t>
  </si>
  <si>
    <t>NCY-NBG</t>
  </si>
  <si>
    <t>0-209</t>
  </si>
  <si>
    <t>207-473</t>
  </si>
  <si>
    <t>38</t>
  </si>
  <si>
    <t>LGZ-LIM</t>
  </si>
  <si>
    <t>0-65</t>
  </si>
  <si>
    <t>LIM-LGP</t>
  </si>
  <si>
    <t>65-136</t>
  </si>
  <si>
    <t>336-419</t>
  </si>
  <si>
    <t>SP</t>
  </si>
  <si>
    <t>40</t>
  </si>
  <si>
    <t>ZXZ-ZZA</t>
  </si>
  <si>
    <t>385-417</t>
  </si>
  <si>
    <t>41</t>
  </si>
  <si>
    <t>ZIE-ZPE</t>
  </si>
  <si>
    <t>276-838</t>
  </si>
  <si>
    <t>45</t>
  </si>
  <si>
    <t>NGL-NPY</t>
  </si>
  <si>
    <t>11-34</t>
  </si>
  <si>
    <t>Central Serrras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</si>
</sst>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49" fontId="0" fillId="0" borderId="0" xfId="0" applyNumberFormat="1"/>
    <xf numFmtId="164" fontId="0" fillId="3" borderId="0" xfId="0" applyNumberFormat="1" applyFill="1" applyAlignment="1">
      <alignment horizontal="center"/>
    </xf>
    <xf numFmtId="0" fontId="4" fillId="5" borderId="2" xfId="0" applyFont="1" applyFill="1" applyBorder="1"/>
    <xf numFmtId="0" fontId="4" fillId="0" borderId="2" xfId="0" applyFont="1" applyBorder="1"/>
    <xf numFmtId="0" fontId="4" fillId="4" borderId="2" xfId="0" applyFont="1" applyFill="1" applyBorder="1"/>
    <xf numFmtId="164" fontId="3" fillId="4" borderId="0" xfId="0" applyNumberFormat="1" applyFont="1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4" borderId="1" xfId="0" applyFont="1" applyFill="1" applyBorder="1"/>
    <xf numFmtId="49" fontId="4" fillId="0" borderId="1" xfId="0" applyNumberFormat="1" applyFont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1" fontId="0" fillId="4" borderId="1" xfId="0" applyNumberFormat="1" applyFill="1" applyBorder="1"/>
    <xf numFmtId="1" fontId="0" fillId="0" borderId="1" xfId="0" applyNumberFormat="1" applyBorder="1"/>
    <xf numFmtId="164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30" formatCode="@"/>
    </dxf>
    <dxf>
      <numFmt numFmtId="1" formatCode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numFmt numFmtId="30" formatCode="@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60039B79-15D5-4262-BFA9-543DE4415C01}"/>
</namedSheetView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2" xr16:uid="{00000000-0016-0000-0000-000000000000}" autoFormatId="0" applyNumberFormats="0" applyBorderFormats="0" applyFontFormats="1" applyPatternFormats="1" applyAlignmentFormats="0" applyWidthHeightFormats="0">
  <queryTableRefresh preserveSortFilterLayout="0" nextId="28">
    <queryTableFields count="27">
      <queryTableField id="1" name="ID_Registro" tableColumnId="1"/>
      <queryTableField id="2" name="ID_Defeito" tableColumnId="2"/>
      <queryTableField id="3" name="ID_Ronda" tableColumnId="3"/>
      <queryTableField id="4" name="Atualização" tableColumnId="4"/>
      <queryTableField id="5" name="Tipo de Inspeção" tableColumnId="5"/>
      <queryTableField id="6" name="Data" tableColumnId="6"/>
      <queryTableField id="7" name="Responsável" tableColumnId="7"/>
      <queryTableField id="8" name="Status Defeito" tableColumnId="8"/>
      <queryTableField id="9" name="SUB_Defeitos_Tu" tableColumnId="9"/>
      <queryTableField id="10" name="km_Nominal" tableColumnId="10"/>
      <queryTableField id="11" name="Equip_Super" tableColumnId="11"/>
      <queryTableField id="12" name="Equip_Tunel" tableColumnId="12"/>
      <queryTableField id="13" name="km Início Defeito" tableColumnId="13"/>
      <queryTableField id="14" name="km Fim Defeito" tableColumnId="14"/>
      <queryTableField id="15" name="Extensão Defeito (m)" tableColumnId="15"/>
      <queryTableField id="16" name="Latitude Inicio" tableColumnId="16"/>
      <queryTableField id="17" name="Latitude Fim" tableColumnId="17"/>
      <queryTableField id="18" name="Longitude Inicio" tableColumnId="18"/>
      <queryTableField id="19" name="Longitude Fim" tableColumnId="19"/>
      <queryTableField id="20" name="Lado" tableColumnId="20"/>
      <queryTableField id="21" name="DEFEITO" tableColumnId="21"/>
      <queryTableField id="22" name="Prioridade" tableColumnId="22"/>
      <queryTableField id="23" name="Observação" tableColumnId="23"/>
      <queryTableField id="24" name="Fotos" tableColumnId="24"/>
      <queryTableField id="25" name="OS" tableColumnId="25"/>
      <queryTableField id="26" name="Sub_Trecho" tableColumnId="26"/>
      <queryTableField id="27" name="__PowerAppsId__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00000000-0016-0000-0300-000001000000}" autoFormatId="0" applyNumberFormats="0" applyBorderFormats="0" applyFontFormats="1" applyPatternFormats="1" applyAlignmentFormats="0" applyWidthHeightFormats="0">
  <queryTableRefresh preserveSortFilterLayout="0" nextId="12" unboundColumnsRight="2">
    <queryTableFields count="11">
      <queryTableField id="1" name="SUB" tableColumnId="1"/>
      <queryTableField id="2" name="Km NOMINAL" tableColumnId="2"/>
      <queryTableField id="3" name="kmi" tableColumnId="3"/>
      <queryTableField id="4" name="kmf" tableColumnId="4"/>
      <queryTableField id="5" name="EXTENSÃO" tableColumnId="5"/>
      <queryTableField id="6" name="Equip_Tunel" tableColumnId="6"/>
      <queryTableField id="7" name="Equip_Super" tableColumnId="7"/>
      <queryTableField id="8" name="NOME" tableColumnId="8"/>
      <queryTableField id="9" name="Id_Cadastro_Tunel" tableColumnId="9"/>
      <queryTableField id="10" dataBound="0" tableColumnId="10"/>
      <queryTableField id="11" dataBound="0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3" xr16:uid="{00000000-0016-0000-0400-000002000000}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Malha" tableColumnId="1"/>
      <queryTableField id="2" name="Trecho" tableColumnId="2"/>
      <queryTableField id="3" name="N_Sub" tableColumnId="3"/>
      <queryTableField id="4" name="Sub_Dupli" tableColumnId="4"/>
      <queryTableField id="5" name="Sub_Trecho" tableColumnId="5"/>
      <queryTableField id="6" name="Sub_Trecho2" tableColumnId="6"/>
      <queryTableField id="7" name="Km_Sub_Trecho2" tableColumnId="7"/>
      <queryTableField id="8" name="Km_Inicio" tableColumnId="8"/>
      <queryTableField id="9" name="Km_Fim" tableColumnId="9"/>
      <queryTableField id="10" name="Estado" tableColumnId="10"/>
      <queryTableField id="11" name="Gerência" tableColumnId="11"/>
      <queryTableField id="12" name="PDT" tableColumnId="12"/>
      <queryTableField id="13" name="ID_PowerApp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eitos_Tuneis" displayName="Defeitos_Tuneis" ref="A1:AA627" tableType="queryTable" totalsRowShown="0">
  <autoFilter ref="A1:AA627" xr:uid="{00000000-000C-0000-FFFF-FFFF00000000}"/>
  <tableColumns count="27">
    <tableColumn id="1" xr3:uid="{321C97FE-1762-4F01-85A0-293CCA1AD074}" uniqueName="1" name="ID_Registro" queryTableFieldId="1"/>
    <tableColumn id="2" xr3:uid="{6BA9DBB6-DF94-47C8-8933-F8E4D1512C34}" uniqueName="2" name="ID_Defeito" queryTableFieldId="2"/>
    <tableColumn id="3" xr3:uid="{91C44988-223C-42AE-AE8E-311D8D9C2A3F}" uniqueName="3" name="ID_Ronda" queryTableFieldId="3"/>
    <tableColumn id="4" xr3:uid="{B3F05F73-61EF-41BB-B8AD-ADDBDA30E395}" uniqueName="4" name="Atualização" queryTableFieldId="4"/>
    <tableColumn id="5" xr3:uid="{EAF94088-41AB-41A7-A634-0C3E6A04A42D}" uniqueName="5" name="Tipo de Inspeção" queryTableFieldId="5"/>
    <tableColumn id="6" xr3:uid="{91BC161D-A484-4447-93DC-2FF8ADD530B9}" uniqueName="6" name="Data" queryTableFieldId="6" dataDxfId="16"/>
    <tableColumn id="7" xr3:uid="{74BB1755-2C38-4347-81B0-6E4FBCDFC8DB}" uniqueName="7" name="Responsável" queryTableFieldId="7"/>
    <tableColumn id="8" xr3:uid="{F2B62218-6405-4E6B-A390-0A29D12C148E}" uniqueName="8" name="Status Defeito" queryTableFieldId="8"/>
    <tableColumn id="9" xr3:uid="{2380FA40-C903-4D75-BF37-D1D3FF59E8E6}" uniqueName="9" name="SUB_Defeitos_Tu" queryTableFieldId="9"/>
    <tableColumn id="10" xr3:uid="{443A2F4E-F3FD-4AFD-8A04-BBBE3F66F4D4}" uniqueName="10" name="km_Nominal" queryTableFieldId="10"/>
    <tableColumn id="11" xr3:uid="{838020B4-05DD-4965-ADA9-7F912E318791}" uniqueName="11" name="Equip_Super" queryTableFieldId="11"/>
    <tableColumn id="12" xr3:uid="{86EE1304-FE20-433D-8D38-6DEB6D6A14A1}" uniqueName="12" name="Equip_Tunel" queryTableFieldId="12"/>
    <tableColumn id="13" xr3:uid="{3CC4D332-D639-4E33-9770-B6DDBE3317B8}" uniqueName="13" name="km Início Defeito" queryTableFieldId="13"/>
    <tableColumn id="14" xr3:uid="{DD3A0258-FBA0-4EEE-B828-6483E1C70BE2}" uniqueName="14" name="km Fim Defeito" queryTableFieldId="14"/>
    <tableColumn id="15" xr3:uid="{99BAE184-7677-42AC-8A7B-14F783B4BEF4}" uniqueName="15" name="Extensão Defeito (m)" queryTableFieldId="15"/>
    <tableColumn id="16" xr3:uid="{5A2931DD-D6E0-4DB9-8E6C-3120750C9CCC}" uniqueName="16" name="Latitude Inicio" queryTableFieldId="16"/>
    <tableColumn id="17" xr3:uid="{9BE18CC1-26FE-461A-B42B-3D5D5E295CE1}" uniqueName="17" name="Latitude Fim" queryTableFieldId="17"/>
    <tableColumn id="18" xr3:uid="{02E0ADCB-BDE1-4A34-8D7C-5D32C0870649}" uniqueName="18" name="Longitude Inicio" queryTableFieldId="18"/>
    <tableColumn id="19" xr3:uid="{B296FDEE-4474-44A6-B0D3-9B32405A357D}" uniqueName="19" name="Longitude Fim" queryTableFieldId="19"/>
    <tableColumn id="20" xr3:uid="{6146184B-BDC1-4B4E-8485-695FAD8405E7}" uniqueName="20" name="Lado" queryTableFieldId="20"/>
    <tableColumn id="21" xr3:uid="{D91096FF-B2E8-4708-A82F-EDD64C0227D2}" uniqueName="21" name="DEFEITO" queryTableFieldId="21"/>
    <tableColumn id="22" xr3:uid="{2504B9F3-1B65-4467-8CAD-FB3221EF83BD}" uniqueName="22" name="Prioridade" queryTableFieldId="22"/>
    <tableColumn id="23" xr3:uid="{382C8B45-5279-43C7-BC1A-EB2EB62A0A50}" uniqueName="23" name="Observação" queryTableFieldId="23" dataDxfId="15"/>
    <tableColumn id="24" xr3:uid="{069A3CE8-F7A1-40B7-86E3-0C11883B6D0D}" uniqueName="24" name="Fotos" queryTableFieldId="24"/>
    <tableColumn id="25" xr3:uid="{72223880-2985-447D-87E8-E4868361F337}" uniqueName="25" name="OS" queryTableFieldId="25"/>
    <tableColumn id="26" xr3:uid="{88CCB799-D049-4429-BF39-F990154D99A6}" uniqueName="26" name="Sub_Trecho" queryTableFieldId="26"/>
    <tableColumn id="27" xr3:uid="{709F8CE1-5474-40F6-81A4-89A6E72B50ED}" uniqueName="27" name="__PowerAppsId__" queryTableFieldId="2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dastro_Tunel" displayName="Cadastro_Tunel" ref="A1:M3201" totalsRowShown="0" headerRowDxfId="14" dataDxfId="13">
  <autoFilter ref="A1:M3201" xr:uid="{00000000-0009-0000-0100-000002000000}"/>
  <tableColumns count="13">
    <tableColumn id="1" xr3:uid="{00000000-0010-0000-0100-000001000000}" name="SUB" dataDxfId="12"/>
    <tableColumn id="8" xr3:uid="{00000000-0010-0000-0100-000008000000}" name="SUB_2" dataDxfId="11"/>
    <tableColumn id="2" xr3:uid="{00000000-0010-0000-0100-000002000000}" name="Km NOMINAL" dataDxfId="10"/>
    <tableColumn id="11" xr3:uid="{00000000-0010-0000-0100-00000B000000}" name="kmi" dataDxfId="9"/>
    <tableColumn id="10" xr3:uid="{00000000-0010-0000-0100-00000A000000}" name="kmf" dataDxfId="8"/>
    <tableColumn id="3" xr3:uid="{00000000-0010-0000-0100-000003000000}" name="EXTENSÃO" dataDxfId="7"/>
    <tableColumn id="4" xr3:uid="{00000000-0010-0000-0100-000004000000}" name="Equip_Tunel" dataDxfId="6"/>
    <tableColumn id="5" xr3:uid="{00000000-0010-0000-0100-000005000000}" name="Equip_Super" dataDxfId="5"/>
    <tableColumn id="6" xr3:uid="{00000000-0010-0000-0100-000006000000}" name="NOME" dataDxfId="4"/>
    <tableColumn id="7" xr3:uid="{00000000-0010-0000-0100-000007000000}" name="Pre_Inspecao" dataDxfId="3"/>
    <tableColumn id="12" xr3:uid="{00000000-0010-0000-0100-00000C000000}" name="Sub_Trecho" dataDxfId="2"/>
    <tableColumn id="9" xr3:uid="{00000000-0010-0000-0100-000009000000}" name="__PowerAppsId__" dataDxfId="1"/>
    <tableColumn id="13" xr3:uid="{00000000-0010-0000-0100-00000D000000}" name="ID_Cad_Tunei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quipamento_Tuneis" displayName="Equipamento_Tuneis" ref="A1:K158" tableType="queryTable" totalsRowShown="0">
  <autoFilter ref="A1:K158" xr:uid="{00000000-000C-0000-FFFF-FFFF02000000}"/>
  <tableColumns count="11">
    <tableColumn id="1" xr3:uid="{F36A213B-3552-49CD-88AA-57EFF39C1F25}" uniqueName="1" name="SUB" queryTableFieldId="1"/>
    <tableColumn id="2" xr3:uid="{3F04F983-4991-48AD-8138-C44F80EA7F3C}" uniqueName="2" name="Km NOMINAL" queryTableFieldId="2"/>
    <tableColumn id="3" xr3:uid="{09A781EC-F44A-44A0-9E9C-13E897041E70}" uniqueName="3" name="kmi" queryTableFieldId="3"/>
    <tableColumn id="4" xr3:uid="{D7D35B90-0A86-48A6-92DA-E5453A9BD279}" uniqueName="4" name="kmf" queryTableFieldId="4"/>
    <tableColumn id="5" xr3:uid="{262FEABC-BC64-4620-9422-002558D691A2}" uniqueName="5" name="EXTENSÃO" queryTableFieldId="5"/>
    <tableColumn id="6" xr3:uid="{1D0F3E4A-AA17-474E-AE0F-FC62FFAD3EB2}" uniqueName="6" name="Equip_Tunel" queryTableFieldId="6"/>
    <tableColumn id="7" xr3:uid="{CC91D88A-166E-478B-9C6A-0D02009C4B74}" uniqueName="7" name="Equip_Super" queryTableFieldId="7"/>
    <tableColumn id="8" xr3:uid="{E0E03859-6E00-464B-AD70-EE3FBF784F09}" uniqueName="8" name="NOME" queryTableFieldId="8"/>
    <tableColumn id="9" xr3:uid="{A1A002B7-3EAF-4E8B-8A27-0E4C4B4D1D83}" uniqueName="9" name="Id_Cadastro_Tunel" queryTableFieldId="9"/>
    <tableColumn id="10" xr3:uid="{43F6E3E0-A42E-42A6-AAC7-AC8823A977B8}" uniqueName="10" name="Sub_Trecho" queryTableFieldId="10"/>
    <tableColumn id="11" xr3:uid="{2DC70065-0E3F-4C2C-8DF9-B53028B173B2}" uniqueName="11" name="SUB_2" queryTableFieldId="1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echo_Segmentado2" displayName="Trecho_Segmentado2" ref="A1:M53" tableType="queryTable" totalsRowShown="0">
  <autoFilter ref="A1:M53" xr:uid="{00000000-000C-0000-FFFF-FFFF03000000}"/>
  <tableColumns count="13">
    <tableColumn id="1" xr3:uid="{10D84F58-100A-4DF7-A13D-A208B7446F88}" uniqueName="1" name="Malha" queryTableFieldId="1"/>
    <tableColumn id="2" xr3:uid="{6295A287-08D7-431F-9EF9-D8506EAA3707}" uniqueName="2" name="Trecho" queryTableFieldId="2"/>
    <tableColumn id="3" xr3:uid="{E48BF0A1-3438-4018-8BF8-0725B239C0DC}" uniqueName="3" name="N_Sub" queryTableFieldId="3"/>
    <tableColumn id="4" xr3:uid="{DA579661-50AE-420B-9EB1-44B600784078}" uniqueName="4" name="Sub_Dupli" queryTableFieldId="4"/>
    <tableColumn id="5" xr3:uid="{22938751-13B6-4897-8B7C-EC7AF33F74FD}" uniqueName="5" name="Sub_Trecho" queryTableFieldId="5"/>
    <tableColumn id="6" xr3:uid="{8BAC901C-C12F-4AA3-8ACC-4F979463D4F6}" uniqueName="6" name="Sub_Trecho2" queryTableFieldId="6"/>
    <tableColumn id="7" xr3:uid="{AAE8AB39-C8C7-40EB-AC4A-C2C230B339A8}" uniqueName="7" name="Km_Sub_Trecho2" queryTableFieldId="7"/>
    <tableColumn id="8" xr3:uid="{D358E827-313C-40BD-8CAF-76F8266D1719}" uniqueName="8" name="Km_Inicio" queryTableFieldId="8"/>
    <tableColumn id="9" xr3:uid="{0B648D72-E422-477E-A0BC-753A78001E5D}" uniqueName="9" name="Km_Fim" queryTableFieldId="9"/>
    <tableColumn id="10" xr3:uid="{69180A57-A517-492B-BBA1-FEF55BCC67A5}" uniqueName="10" name="Estado" queryTableFieldId="10"/>
    <tableColumn id="11" xr3:uid="{D23DAC09-2E68-4D84-9CF8-044D684A803B}" uniqueName="11" name="Gerência" queryTableFieldId="11"/>
    <tableColumn id="12" xr3:uid="{9ED865F6-67A6-4F55-BCB9-1A7354A49145}" uniqueName="12" name="PDT" queryTableFieldId="12"/>
    <tableColumn id="13" xr3:uid="{210C80E2-4F9A-4D22-A5E7-C7CC0041AF78}" uniqueName="13" name="ID_PowerApps" queryTableFieldId="1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A627"/>
  <sheetViews>
    <sheetView tabSelected="1" topLeftCell="A43" zoomScale="80" zoomScaleNormal="80" workbookViewId="0">
      <selection activeCell="I51" sqref="I51"/>
    </sheetView>
  </sheetViews>
  <sheetFormatPr defaultRowHeight="14.4" x14ac:dyDescent="0.3"/>
  <cols>
    <col min="1" max="1" width="13.5546875" bestFit="1" customWidth="1"/>
    <col min="2" max="2" width="13" bestFit="1" customWidth="1"/>
    <col min="3" max="3" width="11.88671875" bestFit="1" customWidth="1"/>
    <col min="4" max="4" width="13.5546875" bestFit="1" customWidth="1"/>
    <col min="5" max="5" width="18.33203125" bestFit="1" customWidth="1"/>
    <col min="6" max="6" width="10.5546875" bestFit="1" customWidth="1"/>
    <col min="7" max="7" width="17.109375" bestFit="1" customWidth="1"/>
    <col min="8" max="8" width="16.109375" bestFit="1" customWidth="1"/>
    <col min="9" max="9" width="18.77734375" bestFit="1" customWidth="1"/>
    <col min="10" max="10" width="14.6640625" style="7" bestFit="1" customWidth="1"/>
    <col min="11" max="11" width="18.44140625" bestFit="1" customWidth="1"/>
    <col min="12" max="12" width="18.33203125" bestFit="1" customWidth="1"/>
    <col min="13" max="13" width="18.5546875" bestFit="1" customWidth="1"/>
    <col min="14" max="14" width="17.109375" bestFit="1" customWidth="1"/>
    <col min="15" max="15" width="22.21875" bestFit="1" customWidth="1"/>
    <col min="16" max="16" width="16.109375" bestFit="1" customWidth="1"/>
    <col min="17" max="17" width="14.44140625" bestFit="1" customWidth="1"/>
    <col min="18" max="18" width="17.6640625" bestFit="1" customWidth="1"/>
    <col min="19" max="19" width="16.109375" bestFit="1" customWidth="1"/>
    <col min="20" max="20" width="14.88671875" bestFit="1" customWidth="1"/>
    <col min="21" max="21" width="37.88671875" bestFit="1" customWidth="1"/>
    <col min="22" max="22" width="12.77734375" bestFit="1" customWidth="1"/>
    <col min="23" max="23" width="80.88671875" style="10" bestFit="1" customWidth="1"/>
    <col min="24" max="24" width="80.88671875" bestFit="1" customWidth="1"/>
    <col min="25" max="25" width="7" bestFit="1" customWidth="1"/>
    <col min="26" max="26" width="13.77734375" bestFit="1" customWidth="1"/>
    <col min="27" max="27" width="37.8867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0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98</v>
      </c>
      <c r="B2">
        <v>532</v>
      </c>
      <c r="D2">
        <v>0</v>
      </c>
      <c r="E2" t="s">
        <v>27</v>
      </c>
      <c r="F2" s="9">
        <v>44488</v>
      </c>
      <c r="G2" t="s">
        <v>28</v>
      </c>
      <c r="H2" t="s">
        <v>29</v>
      </c>
      <c r="I2">
        <v>17</v>
      </c>
      <c r="J2">
        <v>313.834</v>
      </c>
      <c r="K2" t="s">
        <v>30</v>
      </c>
      <c r="L2" t="s">
        <v>31</v>
      </c>
      <c r="O2">
        <v>0</v>
      </c>
      <c r="U2" t="s">
        <v>32</v>
      </c>
      <c r="V2" t="s">
        <v>33</v>
      </c>
      <c r="X2" t="s">
        <v>34</v>
      </c>
      <c r="Z2" t="s">
        <v>35</v>
      </c>
      <c r="AA2" t="s">
        <v>36</v>
      </c>
    </row>
    <row r="3" spans="1:27" x14ac:dyDescent="0.3">
      <c r="A3">
        <v>99</v>
      </c>
      <c r="B3">
        <v>533</v>
      </c>
      <c r="D3">
        <v>0</v>
      </c>
      <c r="E3" t="s">
        <v>27</v>
      </c>
      <c r="F3" s="9">
        <v>44488</v>
      </c>
      <c r="G3" t="s">
        <v>28</v>
      </c>
      <c r="H3" t="s">
        <v>29</v>
      </c>
      <c r="I3">
        <v>17</v>
      </c>
      <c r="J3">
        <v>313.834</v>
      </c>
      <c r="K3" t="s">
        <v>30</v>
      </c>
      <c r="L3" t="s">
        <v>31</v>
      </c>
      <c r="O3">
        <v>0</v>
      </c>
      <c r="U3" t="s">
        <v>37</v>
      </c>
      <c r="V3" t="s">
        <v>38</v>
      </c>
      <c r="X3" t="s">
        <v>39</v>
      </c>
      <c r="Z3" t="s">
        <v>35</v>
      </c>
      <c r="AA3" t="s">
        <v>40</v>
      </c>
    </row>
    <row r="4" spans="1:27" x14ac:dyDescent="0.3">
      <c r="A4">
        <v>100</v>
      </c>
      <c r="B4">
        <v>535</v>
      </c>
      <c r="D4">
        <v>0</v>
      </c>
      <c r="E4" t="s">
        <v>27</v>
      </c>
      <c r="F4" s="9">
        <v>44488</v>
      </c>
      <c r="G4" t="s">
        <v>28</v>
      </c>
      <c r="H4" t="s">
        <v>29</v>
      </c>
      <c r="I4">
        <v>17</v>
      </c>
      <c r="J4">
        <v>318.56299999999999</v>
      </c>
      <c r="K4" t="s">
        <v>41</v>
      </c>
      <c r="L4" t="s">
        <v>42</v>
      </c>
      <c r="O4">
        <v>0</v>
      </c>
      <c r="U4" t="s">
        <v>37</v>
      </c>
      <c r="V4" t="s">
        <v>38</v>
      </c>
      <c r="X4" t="s">
        <v>43</v>
      </c>
      <c r="Z4" t="s">
        <v>35</v>
      </c>
      <c r="AA4" t="s">
        <v>44</v>
      </c>
    </row>
    <row r="5" spans="1:27" x14ac:dyDescent="0.3">
      <c r="A5">
        <v>101</v>
      </c>
      <c r="B5">
        <v>536</v>
      </c>
      <c r="D5">
        <v>0</v>
      </c>
      <c r="E5" t="s">
        <v>27</v>
      </c>
      <c r="F5" s="9">
        <v>44488</v>
      </c>
      <c r="G5" t="s">
        <v>28</v>
      </c>
      <c r="H5" t="s">
        <v>29</v>
      </c>
      <c r="I5">
        <v>17</v>
      </c>
      <c r="J5">
        <v>318.56299999999999</v>
      </c>
      <c r="K5" t="s">
        <v>41</v>
      </c>
      <c r="L5" t="s">
        <v>42</v>
      </c>
      <c r="O5">
        <v>0</v>
      </c>
      <c r="U5" t="s">
        <v>37</v>
      </c>
      <c r="V5" t="s">
        <v>38</v>
      </c>
      <c r="X5" t="s">
        <v>45</v>
      </c>
      <c r="Z5" t="s">
        <v>35</v>
      </c>
      <c r="AA5" t="s">
        <v>46</v>
      </c>
    </row>
    <row r="6" spans="1:27" x14ac:dyDescent="0.3">
      <c r="A6">
        <v>102</v>
      </c>
      <c r="B6">
        <v>537</v>
      </c>
      <c r="D6">
        <v>0</v>
      </c>
      <c r="E6" t="s">
        <v>27</v>
      </c>
      <c r="F6" s="9">
        <v>44488</v>
      </c>
      <c r="G6" t="s">
        <v>28</v>
      </c>
      <c r="H6" t="s">
        <v>29</v>
      </c>
      <c r="I6">
        <v>17</v>
      </c>
      <c r="J6">
        <v>319.375</v>
      </c>
      <c r="K6" t="s">
        <v>47</v>
      </c>
      <c r="L6" t="s">
        <v>48</v>
      </c>
      <c r="O6">
        <v>0</v>
      </c>
      <c r="U6" t="s">
        <v>49</v>
      </c>
      <c r="V6" t="s">
        <v>33</v>
      </c>
      <c r="X6" t="s">
        <v>50</v>
      </c>
      <c r="Z6" t="s">
        <v>35</v>
      </c>
      <c r="AA6" t="s">
        <v>51</v>
      </c>
    </row>
    <row r="7" spans="1:27" x14ac:dyDescent="0.3">
      <c r="A7">
        <v>103</v>
      </c>
      <c r="B7">
        <v>538</v>
      </c>
      <c r="D7">
        <v>0</v>
      </c>
      <c r="E7" t="s">
        <v>27</v>
      </c>
      <c r="F7" s="9">
        <v>44488</v>
      </c>
      <c r="G7" t="s">
        <v>28</v>
      </c>
      <c r="H7" t="s">
        <v>29</v>
      </c>
      <c r="I7">
        <v>17</v>
      </c>
      <c r="J7">
        <v>319.375</v>
      </c>
      <c r="K7" t="s">
        <v>47</v>
      </c>
      <c r="L7" t="s">
        <v>48</v>
      </c>
      <c r="O7">
        <v>0</v>
      </c>
      <c r="U7" t="s">
        <v>37</v>
      </c>
      <c r="V7" t="s">
        <v>33</v>
      </c>
      <c r="X7" t="s">
        <v>52</v>
      </c>
      <c r="Z7" t="s">
        <v>35</v>
      </c>
      <c r="AA7" t="s">
        <v>53</v>
      </c>
    </row>
    <row r="8" spans="1:27" x14ac:dyDescent="0.3">
      <c r="A8">
        <v>104</v>
      </c>
      <c r="B8">
        <v>539</v>
      </c>
      <c r="D8">
        <v>0</v>
      </c>
      <c r="E8" t="s">
        <v>27</v>
      </c>
      <c r="F8" s="9">
        <v>44488</v>
      </c>
      <c r="G8" t="s">
        <v>28</v>
      </c>
      <c r="H8" t="s">
        <v>29</v>
      </c>
      <c r="I8">
        <v>17</v>
      </c>
      <c r="J8">
        <v>319.375</v>
      </c>
      <c r="K8" t="s">
        <v>47</v>
      </c>
      <c r="L8" t="s">
        <v>48</v>
      </c>
      <c r="O8">
        <v>0</v>
      </c>
      <c r="U8" t="s">
        <v>37</v>
      </c>
      <c r="V8" t="s">
        <v>33</v>
      </c>
      <c r="X8" t="s">
        <v>54</v>
      </c>
      <c r="Z8" t="s">
        <v>35</v>
      </c>
      <c r="AA8" t="s">
        <v>55</v>
      </c>
    </row>
    <row r="9" spans="1:27" x14ac:dyDescent="0.3">
      <c r="A9">
        <v>105</v>
      </c>
      <c r="B9">
        <v>540</v>
      </c>
      <c r="D9">
        <v>0</v>
      </c>
      <c r="E9" t="s">
        <v>27</v>
      </c>
      <c r="F9" s="9">
        <v>44488</v>
      </c>
      <c r="G9" t="s">
        <v>28</v>
      </c>
      <c r="H9" t="s">
        <v>29</v>
      </c>
      <c r="I9">
        <v>17</v>
      </c>
      <c r="J9">
        <v>319.375</v>
      </c>
      <c r="K9" t="s">
        <v>47</v>
      </c>
      <c r="L9" t="s">
        <v>48</v>
      </c>
      <c r="O9">
        <v>0</v>
      </c>
      <c r="U9" t="s">
        <v>37</v>
      </c>
      <c r="V9" t="s">
        <v>38</v>
      </c>
      <c r="X9" t="s">
        <v>56</v>
      </c>
      <c r="Z9" t="s">
        <v>35</v>
      </c>
      <c r="AA9" t="s">
        <v>57</v>
      </c>
    </row>
    <row r="10" spans="1:27" x14ac:dyDescent="0.3">
      <c r="A10">
        <v>106</v>
      </c>
      <c r="B10">
        <v>541</v>
      </c>
      <c r="D10">
        <v>0</v>
      </c>
      <c r="E10" t="s">
        <v>27</v>
      </c>
      <c r="F10" s="9">
        <v>44488</v>
      </c>
      <c r="G10" t="s">
        <v>28</v>
      </c>
      <c r="H10" t="s">
        <v>29</v>
      </c>
      <c r="I10">
        <v>17</v>
      </c>
      <c r="J10">
        <v>319.375</v>
      </c>
      <c r="K10" t="s">
        <v>47</v>
      </c>
      <c r="L10" t="s">
        <v>48</v>
      </c>
      <c r="O10">
        <v>0</v>
      </c>
      <c r="U10" t="s">
        <v>37</v>
      </c>
      <c r="V10" t="s">
        <v>33</v>
      </c>
      <c r="X10" t="s">
        <v>58</v>
      </c>
      <c r="Z10" t="s">
        <v>35</v>
      </c>
      <c r="AA10" t="s">
        <v>59</v>
      </c>
    </row>
    <row r="11" spans="1:27" x14ac:dyDescent="0.3">
      <c r="A11">
        <v>107</v>
      </c>
      <c r="B11">
        <v>542</v>
      </c>
      <c r="D11">
        <v>0</v>
      </c>
      <c r="E11" t="s">
        <v>27</v>
      </c>
      <c r="F11" s="9">
        <v>44488</v>
      </c>
      <c r="G11" t="s">
        <v>28</v>
      </c>
      <c r="H11" t="s">
        <v>29</v>
      </c>
      <c r="I11">
        <v>17</v>
      </c>
      <c r="J11">
        <v>319.375</v>
      </c>
      <c r="K11" t="s">
        <v>47</v>
      </c>
      <c r="L11" t="s">
        <v>48</v>
      </c>
      <c r="O11">
        <v>0</v>
      </c>
      <c r="U11" t="s">
        <v>37</v>
      </c>
      <c r="V11" t="s">
        <v>38</v>
      </c>
      <c r="X11" t="s">
        <v>60</v>
      </c>
      <c r="Z11" t="s">
        <v>35</v>
      </c>
      <c r="AA11" t="s">
        <v>61</v>
      </c>
    </row>
    <row r="12" spans="1:27" x14ac:dyDescent="0.3">
      <c r="A12">
        <v>108</v>
      </c>
      <c r="B12">
        <v>543</v>
      </c>
      <c r="D12">
        <v>0</v>
      </c>
      <c r="E12" t="s">
        <v>27</v>
      </c>
      <c r="F12" s="9">
        <v>44488</v>
      </c>
      <c r="G12" t="s">
        <v>28</v>
      </c>
      <c r="H12" t="s">
        <v>29</v>
      </c>
      <c r="I12">
        <v>17</v>
      </c>
      <c r="J12">
        <v>319.375</v>
      </c>
      <c r="K12" t="s">
        <v>47</v>
      </c>
      <c r="L12" t="s">
        <v>48</v>
      </c>
      <c r="O12">
        <v>0</v>
      </c>
      <c r="U12" t="s">
        <v>37</v>
      </c>
      <c r="V12" t="s">
        <v>62</v>
      </c>
      <c r="X12" t="s">
        <v>63</v>
      </c>
      <c r="Z12" t="s">
        <v>35</v>
      </c>
      <c r="AA12" t="s">
        <v>64</v>
      </c>
    </row>
    <row r="13" spans="1:27" x14ac:dyDescent="0.3">
      <c r="A13">
        <v>198</v>
      </c>
      <c r="B13">
        <v>505</v>
      </c>
      <c r="D13">
        <v>0</v>
      </c>
      <c r="E13" t="s">
        <v>27</v>
      </c>
      <c r="F13" s="9">
        <v>44489</v>
      </c>
      <c r="G13" t="s">
        <v>28</v>
      </c>
      <c r="H13" t="s">
        <v>29</v>
      </c>
      <c r="I13">
        <v>17</v>
      </c>
      <c r="J13">
        <v>307.62900000000002</v>
      </c>
      <c r="K13" t="s">
        <v>65</v>
      </c>
      <c r="L13" t="s">
        <v>66</v>
      </c>
      <c r="O13">
        <v>0</v>
      </c>
      <c r="U13" t="s">
        <v>32</v>
      </c>
      <c r="V13" t="s">
        <v>33</v>
      </c>
      <c r="X13" t="s">
        <v>67</v>
      </c>
      <c r="Z13" t="s">
        <v>35</v>
      </c>
      <c r="AA13" t="s">
        <v>68</v>
      </c>
    </row>
    <row r="14" spans="1:27" x14ac:dyDescent="0.3">
      <c r="A14">
        <v>199</v>
      </c>
      <c r="B14">
        <v>506</v>
      </c>
      <c r="D14">
        <v>0</v>
      </c>
      <c r="E14" t="s">
        <v>27</v>
      </c>
      <c r="F14" s="9">
        <v>44489</v>
      </c>
      <c r="G14" t="s">
        <v>28</v>
      </c>
      <c r="H14" t="s">
        <v>29</v>
      </c>
      <c r="I14">
        <v>17</v>
      </c>
      <c r="J14">
        <v>307.62900000000002</v>
      </c>
      <c r="K14" t="s">
        <v>65</v>
      </c>
      <c r="L14" t="s">
        <v>66</v>
      </c>
      <c r="O14">
        <v>0</v>
      </c>
      <c r="U14" t="s">
        <v>32</v>
      </c>
      <c r="V14" t="s">
        <v>33</v>
      </c>
      <c r="X14" t="s">
        <v>69</v>
      </c>
      <c r="Z14" t="s">
        <v>35</v>
      </c>
      <c r="AA14" t="s">
        <v>70</v>
      </c>
    </row>
    <row r="15" spans="1:27" x14ac:dyDescent="0.3">
      <c r="A15">
        <v>200</v>
      </c>
      <c r="B15">
        <v>507</v>
      </c>
      <c r="D15">
        <v>0</v>
      </c>
      <c r="E15" t="s">
        <v>27</v>
      </c>
      <c r="F15" s="9">
        <v>44489</v>
      </c>
      <c r="G15" t="s">
        <v>28</v>
      </c>
      <c r="H15" t="s">
        <v>29</v>
      </c>
      <c r="I15">
        <v>17</v>
      </c>
      <c r="J15">
        <v>307.62900000000002</v>
      </c>
      <c r="K15" t="s">
        <v>65</v>
      </c>
      <c r="L15" t="s">
        <v>66</v>
      </c>
      <c r="O15">
        <v>0</v>
      </c>
      <c r="U15" t="s">
        <v>32</v>
      </c>
      <c r="V15" t="s">
        <v>33</v>
      </c>
      <c r="X15" t="s">
        <v>71</v>
      </c>
      <c r="Z15" t="s">
        <v>35</v>
      </c>
      <c r="AA15" t="s">
        <v>72</v>
      </c>
    </row>
    <row r="16" spans="1:27" x14ac:dyDescent="0.3">
      <c r="A16">
        <v>201</v>
      </c>
      <c r="B16">
        <v>508</v>
      </c>
      <c r="D16">
        <v>0</v>
      </c>
      <c r="E16" t="s">
        <v>27</v>
      </c>
      <c r="F16" s="9">
        <v>44489</v>
      </c>
      <c r="G16" t="s">
        <v>28</v>
      </c>
      <c r="H16" t="s">
        <v>29</v>
      </c>
      <c r="I16">
        <v>17</v>
      </c>
      <c r="J16">
        <v>307.62900000000002</v>
      </c>
      <c r="K16" t="s">
        <v>65</v>
      </c>
      <c r="L16" t="s">
        <v>66</v>
      </c>
      <c r="O16">
        <v>0</v>
      </c>
      <c r="U16" t="s">
        <v>32</v>
      </c>
      <c r="V16" t="s">
        <v>33</v>
      </c>
      <c r="X16" t="s">
        <v>73</v>
      </c>
      <c r="Z16" t="s">
        <v>35</v>
      </c>
      <c r="AA16" t="s">
        <v>74</v>
      </c>
    </row>
    <row r="17" spans="1:27" x14ac:dyDescent="0.3">
      <c r="A17">
        <v>202</v>
      </c>
      <c r="B17">
        <v>509</v>
      </c>
      <c r="D17">
        <v>0</v>
      </c>
      <c r="E17" t="s">
        <v>27</v>
      </c>
      <c r="F17" s="9">
        <v>44489</v>
      </c>
      <c r="G17" t="s">
        <v>28</v>
      </c>
      <c r="H17" t="s">
        <v>29</v>
      </c>
      <c r="I17">
        <v>17</v>
      </c>
      <c r="J17">
        <v>307.62900000000002</v>
      </c>
      <c r="K17" t="s">
        <v>65</v>
      </c>
      <c r="L17" t="s">
        <v>66</v>
      </c>
      <c r="O17">
        <v>0</v>
      </c>
      <c r="U17" t="s">
        <v>32</v>
      </c>
      <c r="V17" t="s">
        <v>33</v>
      </c>
      <c r="X17" t="s">
        <v>75</v>
      </c>
      <c r="Z17" t="s">
        <v>35</v>
      </c>
      <c r="AA17" t="s">
        <v>76</v>
      </c>
    </row>
    <row r="18" spans="1:27" x14ac:dyDescent="0.3">
      <c r="A18">
        <v>203</v>
      </c>
      <c r="B18">
        <v>510</v>
      </c>
      <c r="D18">
        <v>0</v>
      </c>
      <c r="E18" t="s">
        <v>27</v>
      </c>
      <c r="F18" s="9">
        <v>44489</v>
      </c>
      <c r="G18" t="s">
        <v>28</v>
      </c>
      <c r="H18" t="s">
        <v>29</v>
      </c>
      <c r="I18">
        <v>17</v>
      </c>
      <c r="J18">
        <v>307.62900000000002</v>
      </c>
      <c r="K18" t="s">
        <v>65</v>
      </c>
      <c r="L18" t="s">
        <v>66</v>
      </c>
      <c r="O18">
        <v>0</v>
      </c>
      <c r="U18" t="s">
        <v>32</v>
      </c>
      <c r="V18" t="s">
        <v>33</v>
      </c>
      <c r="X18" t="s">
        <v>77</v>
      </c>
      <c r="Z18" t="s">
        <v>35</v>
      </c>
      <c r="AA18" t="s">
        <v>78</v>
      </c>
    </row>
    <row r="19" spans="1:27" x14ac:dyDescent="0.3">
      <c r="A19">
        <v>204</v>
      </c>
      <c r="B19">
        <v>511</v>
      </c>
      <c r="D19">
        <v>0</v>
      </c>
      <c r="E19" t="s">
        <v>27</v>
      </c>
      <c r="F19" s="9">
        <v>44489</v>
      </c>
      <c r="G19" t="s">
        <v>28</v>
      </c>
      <c r="H19" t="s">
        <v>29</v>
      </c>
      <c r="I19">
        <v>17</v>
      </c>
      <c r="J19">
        <v>307.62900000000002</v>
      </c>
      <c r="K19" t="s">
        <v>65</v>
      </c>
      <c r="L19" t="s">
        <v>66</v>
      </c>
      <c r="O19">
        <v>0</v>
      </c>
      <c r="U19" t="s">
        <v>79</v>
      </c>
      <c r="V19" t="s">
        <v>38</v>
      </c>
      <c r="W19" s="10" t="s">
        <v>80</v>
      </c>
      <c r="Z19" t="s">
        <v>35</v>
      </c>
      <c r="AA19" t="s">
        <v>81</v>
      </c>
    </row>
    <row r="20" spans="1:27" x14ac:dyDescent="0.3">
      <c r="A20">
        <v>205</v>
      </c>
      <c r="B20">
        <v>512</v>
      </c>
      <c r="D20">
        <v>0</v>
      </c>
      <c r="E20" t="s">
        <v>27</v>
      </c>
      <c r="F20" s="9">
        <v>44489</v>
      </c>
      <c r="G20" t="s">
        <v>28</v>
      </c>
      <c r="H20" t="s">
        <v>29</v>
      </c>
      <c r="I20">
        <v>17</v>
      </c>
      <c r="J20">
        <v>307.62900000000002</v>
      </c>
      <c r="K20" t="s">
        <v>65</v>
      </c>
      <c r="L20" t="s">
        <v>66</v>
      </c>
      <c r="O20">
        <v>0</v>
      </c>
      <c r="U20" t="s">
        <v>37</v>
      </c>
      <c r="V20" t="s">
        <v>38</v>
      </c>
      <c r="X20" t="s">
        <v>82</v>
      </c>
      <c r="Z20" t="s">
        <v>35</v>
      </c>
      <c r="AA20" t="s">
        <v>83</v>
      </c>
    </row>
    <row r="21" spans="1:27" x14ac:dyDescent="0.3">
      <c r="A21">
        <v>206</v>
      </c>
      <c r="B21">
        <v>515</v>
      </c>
      <c r="D21">
        <v>0</v>
      </c>
      <c r="E21" t="s">
        <v>27</v>
      </c>
      <c r="F21" s="9">
        <v>44489</v>
      </c>
      <c r="G21" t="s">
        <v>28</v>
      </c>
      <c r="H21" t="s">
        <v>29</v>
      </c>
      <c r="I21">
        <v>17</v>
      </c>
      <c r="J21">
        <v>309.23</v>
      </c>
      <c r="K21" t="s">
        <v>84</v>
      </c>
      <c r="L21" t="s">
        <v>85</v>
      </c>
      <c r="O21">
        <v>0</v>
      </c>
      <c r="U21" t="s">
        <v>79</v>
      </c>
      <c r="V21" t="s">
        <v>38</v>
      </c>
      <c r="W21" s="10" t="s">
        <v>86</v>
      </c>
      <c r="Z21" t="s">
        <v>35</v>
      </c>
      <c r="AA21" t="s">
        <v>87</v>
      </c>
    </row>
    <row r="22" spans="1:27" x14ac:dyDescent="0.3">
      <c r="A22">
        <v>207</v>
      </c>
      <c r="B22">
        <v>516</v>
      </c>
      <c r="D22">
        <v>0</v>
      </c>
      <c r="E22" t="s">
        <v>27</v>
      </c>
      <c r="F22" s="9">
        <v>44489</v>
      </c>
      <c r="G22" t="s">
        <v>28</v>
      </c>
      <c r="H22" t="s">
        <v>29</v>
      </c>
      <c r="I22">
        <v>17</v>
      </c>
      <c r="J22">
        <v>309.23</v>
      </c>
      <c r="K22" t="s">
        <v>84</v>
      </c>
      <c r="L22" t="s">
        <v>85</v>
      </c>
      <c r="O22">
        <v>0</v>
      </c>
      <c r="U22" t="s">
        <v>37</v>
      </c>
      <c r="V22" t="s">
        <v>62</v>
      </c>
      <c r="X22" t="s">
        <v>88</v>
      </c>
      <c r="Z22" t="s">
        <v>35</v>
      </c>
      <c r="AA22" t="s">
        <v>89</v>
      </c>
    </row>
    <row r="23" spans="1:27" x14ac:dyDescent="0.3">
      <c r="A23">
        <v>208</v>
      </c>
      <c r="B23">
        <v>517</v>
      </c>
      <c r="D23">
        <v>0</v>
      </c>
      <c r="E23" t="s">
        <v>27</v>
      </c>
      <c r="F23" s="9">
        <v>44489</v>
      </c>
      <c r="G23" t="s">
        <v>28</v>
      </c>
      <c r="H23" t="s">
        <v>29</v>
      </c>
      <c r="I23">
        <v>17</v>
      </c>
      <c r="J23">
        <v>309.23</v>
      </c>
      <c r="K23" t="s">
        <v>84</v>
      </c>
      <c r="L23" t="s">
        <v>85</v>
      </c>
      <c r="O23">
        <v>0</v>
      </c>
      <c r="U23" t="s">
        <v>37</v>
      </c>
      <c r="V23" t="s">
        <v>38</v>
      </c>
      <c r="X23" t="s">
        <v>90</v>
      </c>
      <c r="Z23" t="s">
        <v>35</v>
      </c>
      <c r="AA23" t="s">
        <v>91</v>
      </c>
    </row>
    <row r="24" spans="1:27" x14ac:dyDescent="0.3">
      <c r="A24">
        <v>209</v>
      </c>
      <c r="B24">
        <v>518</v>
      </c>
      <c r="D24">
        <v>0</v>
      </c>
      <c r="E24" t="s">
        <v>27</v>
      </c>
      <c r="F24" s="9">
        <v>44489</v>
      </c>
      <c r="G24" t="s">
        <v>28</v>
      </c>
      <c r="H24" t="s">
        <v>29</v>
      </c>
      <c r="I24">
        <v>17</v>
      </c>
      <c r="J24">
        <v>309.23</v>
      </c>
      <c r="K24" t="s">
        <v>84</v>
      </c>
      <c r="L24" t="s">
        <v>85</v>
      </c>
      <c r="O24">
        <v>0</v>
      </c>
      <c r="U24" t="s">
        <v>32</v>
      </c>
      <c r="V24" t="s">
        <v>33</v>
      </c>
      <c r="X24" t="s">
        <v>92</v>
      </c>
      <c r="Z24" t="s">
        <v>35</v>
      </c>
      <c r="AA24" t="s">
        <v>93</v>
      </c>
    </row>
    <row r="25" spans="1:27" x14ac:dyDescent="0.3">
      <c r="A25">
        <v>210</v>
      </c>
      <c r="B25">
        <v>519</v>
      </c>
      <c r="D25">
        <v>0</v>
      </c>
      <c r="E25" t="s">
        <v>27</v>
      </c>
      <c r="F25" s="9">
        <v>44489</v>
      </c>
      <c r="G25" t="s">
        <v>28</v>
      </c>
      <c r="H25" t="s">
        <v>29</v>
      </c>
      <c r="I25">
        <v>17</v>
      </c>
      <c r="J25">
        <v>309.23</v>
      </c>
      <c r="K25" t="s">
        <v>84</v>
      </c>
      <c r="L25" t="s">
        <v>85</v>
      </c>
      <c r="O25">
        <v>0</v>
      </c>
      <c r="U25" t="s">
        <v>94</v>
      </c>
      <c r="V25" t="s">
        <v>33</v>
      </c>
      <c r="X25" t="s">
        <v>95</v>
      </c>
      <c r="Z25" t="s">
        <v>35</v>
      </c>
      <c r="AA25" t="s">
        <v>96</v>
      </c>
    </row>
    <row r="26" spans="1:27" x14ac:dyDescent="0.3">
      <c r="A26">
        <v>211</v>
      </c>
      <c r="B26">
        <v>520</v>
      </c>
      <c r="D26">
        <v>0</v>
      </c>
      <c r="E26" t="s">
        <v>27</v>
      </c>
      <c r="F26" s="9">
        <v>44489</v>
      </c>
      <c r="G26" t="s">
        <v>28</v>
      </c>
      <c r="H26" t="s">
        <v>29</v>
      </c>
      <c r="I26">
        <v>17</v>
      </c>
      <c r="J26">
        <v>310.733</v>
      </c>
      <c r="K26" t="s">
        <v>97</v>
      </c>
      <c r="L26" t="s">
        <v>98</v>
      </c>
      <c r="O26">
        <v>0</v>
      </c>
      <c r="U26" t="s">
        <v>37</v>
      </c>
      <c r="V26" t="s">
        <v>38</v>
      </c>
      <c r="X26" t="s">
        <v>99</v>
      </c>
      <c r="Z26" t="s">
        <v>35</v>
      </c>
      <c r="AA26" t="s">
        <v>100</v>
      </c>
    </row>
    <row r="27" spans="1:27" x14ac:dyDescent="0.3">
      <c r="A27">
        <v>212</v>
      </c>
      <c r="B27">
        <v>521</v>
      </c>
      <c r="D27">
        <v>0</v>
      </c>
      <c r="E27" t="s">
        <v>27</v>
      </c>
      <c r="F27" s="9">
        <v>44489</v>
      </c>
      <c r="G27" t="s">
        <v>28</v>
      </c>
      <c r="H27" t="s">
        <v>29</v>
      </c>
      <c r="I27">
        <v>17</v>
      </c>
      <c r="J27">
        <v>310.733</v>
      </c>
      <c r="K27" t="s">
        <v>97</v>
      </c>
      <c r="L27" t="s">
        <v>98</v>
      </c>
      <c r="O27">
        <v>0</v>
      </c>
      <c r="U27" t="s">
        <v>32</v>
      </c>
      <c r="V27" t="s">
        <v>38</v>
      </c>
      <c r="X27" t="s">
        <v>101</v>
      </c>
      <c r="Z27" t="s">
        <v>35</v>
      </c>
      <c r="AA27" t="s">
        <v>102</v>
      </c>
    </row>
    <row r="28" spans="1:27" x14ac:dyDescent="0.3">
      <c r="A28">
        <v>213</v>
      </c>
      <c r="B28">
        <v>522</v>
      </c>
      <c r="D28">
        <v>0</v>
      </c>
      <c r="E28" t="s">
        <v>27</v>
      </c>
      <c r="F28" s="9">
        <v>44489</v>
      </c>
      <c r="G28" t="s">
        <v>28</v>
      </c>
      <c r="H28" t="s">
        <v>29</v>
      </c>
      <c r="I28">
        <v>17</v>
      </c>
      <c r="J28">
        <v>310.733</v>
      </c>
      <c r="K28" t="s">
        <v>97</v>
      </c>
      <c r="L28" t="s">
        <v>98</v>
      </c>
      <c r="O28">
        <v>0</v>
      </c>
      <c r="U28" t="s">
        <v>32</v>
      </c>
      <c r="V28" t="s">
        <v>38</v>
      </c>
      <c r="X28" t="s">
        <v>103</v>
      </c>
      <c r="Z28" t="s">
        <v>35</v>
      </c>
      <c r="AA28" t="s">
        <v>104</v>
      </c>
    </row>
    <row r="29" spans="1:27" x14ac:dyDescent="0.3">
      <c r="A29">
        <v>214</v>
      </c>
      <c r="B29">
        <v>523</v>
      </c>
      <c r="D29">
        <v>0</v>
      </c>
      <c r="E29" t="s">
        <v>27</v>
      </c>
      <c r="F29" s="9">
        <v>44489</v>
      </c>
      <c r="G29" t="s">
        <v>28</v>
      </c>
      <c r="H29" t="s">
        <v>29</v>
      </c>
      <c r="I29">
        <v>17</v>
      </c>
      <c r="J29">
        <v>310.733</v>
      </c>
      <c r="K29" t="s">
        <v>97</v>
      </c>
      <c r="L29" t="s">
        <v>98</v>
      </c>
      <c r="O29">
        <v>0</v>
      </c>
      <c r="U29" t="s">
        <v>32</v>
      </c>
      <c r="V29" t="s">
        <v>38</v>
      </c>
      <c r="X29" t="s">
        <v>105</v>
      </c>
      <c r="Z29" t="s">
        <v>35</v>
      </c>
      <c r="AA29" t="s">
        <v>106</v>
      </c>
    </row>
    <row r="30" spans="1:27" x14ac:dyDescent="0.3">
      <c r="A30">
        <v>321999</v>
      </c>
      <c r="B30">
        <v>210</v>
      </c>
      <c r="D30">
        <v>0</v>
      </c>
      <c r="E30" t="s">
        <v>107</v>
      </c>
      <c r="F30" s="9">
        <v>45400</v>
      </c>
      <c r="G30" t="s">
        <v>108</v>
      </c>
      <c r="H30" t="s">
        <v>109</v>
      </c>
      <c r="I30">
        <v>16</v>
      </c>
      <c r="J30">
        <v>191.64</v>
      </c>
      <c r="K30" t="s">
        <v>110</v>
      </c>
      <c r="L30" t="s">
        <v>111</v>
      </c>
      <c r="P30">
        <v>-27.042271670000002</v>
      </c>
      <c r="R30">
        <v>-50.351511670000001</v>
      </c>
      <c r="T30" t="s">
        <v>112</v>
      </c>
      <c r="U30" t="s">
        <v>113</v>
      </c>
      <c r="V30" t="s">
        <v>33</v>
      </c>
      <c r="W30" s="10" t="s">
        <v>114</v>
      </c>
      <c r="X30" t="s">
        <v>115</v>
      </c>
      <c r="Z30" t="s">
        <v>116</v>
      </c>
      <c r="AA30" t="s">
        <v>117</v>
      </c>
    </row>
    <row r="31" spans="1:27" x14ac:dyDescent="0.3">
      <c r="A31">
        <v>260</v>
      </c>
      <c r="B31">
        <v>211</v>
      </c>
      <c r="D31">
        <v>0</v>
      </c>
      <c r="E31" t="s">
        <v>118</v>
      </c>
      <c r="F31" s="9">
        <v>44490</v>
      </c>
      <c r="G31" t="s">
        <v>119</v>
      </c>
      <c r="H31" t="s">
        <v>29</v>
      </c>
      <c r="I31">
        <v>16</v>
      </c>
      <c r="J31">
        <v>228.42</v>
      </c>
      <c r="K31" t="s">
        <v>120</v>
      </c>
      <c r="L31" t="s">
        <v>121</v>
      </c>
      <c r="P31">
        <v>-27.308991670000001</v>
      </c>
      <c r="R31">
        <v>-50.312968329999997</v>
      </c>
      <c r="T31" t="s">
        <v>112</v>
      </c>
      <c r="U31" t="s">
        <v>32</v>
      </c>
      <c r="V31" t="s">
        <v>33</v>
      </c>
      <c r="W31" s="10" t="s">
        <v>122</v>
      </c>
      <c r="Z31" t="s">
        <v>123</v>
      </c>
      <c r="AA31" t="s">
        <v>124</v>
      </c>
    </row>
    <row r="32" spans="1:27" x14ac:dyDescent="0.3">
      <c r="A32">
        <v>261</v>
      </c>
      <c r="B32">
        <v>212</v>
      </c>
      <c r="D32">
        <v>0</v>
      </c>
      <c r="E32" t="s">
        <v>118</v>
      </c>
      <c r="F32" s="9">
        <v>44490</v>
      </c>
      <c r="G32" t="s">
        <v>119</v>
      </c>
      <c r="H32" t="s">
        <v>29</v>
      </c>
      <c r="I32">
        <v>16</v>
      </c>
      <c r="J32">
        <v>237.64500000000001</v>
      </c>
      <c r="K32" t="s">
        <v>125</v>
      </c>
      <c r="L32" t="s">
        <v>121</v>
      </c>
      <c r="P32">
        <v>-27.372240000000001</v>
      </c>
      <c r="R32">
        <v>-50.288631670000001</v>
      </c>
      <c r="U32" t="s">
        <v>113</v>
      </c>
      <c r="V32" t="s">
        <v>62</v>
      </c>
      <c r="W32" s="10" t="s">
        <v>126</v>
      </c>
      <c r="Z32" t="s">
        <v>123</v>
      </c>
      <c r="AA32" t="s">
        <v>127</v>
      </c>
    </row>
    <row r="33" spans="1:27" x14ac:dyDescent="0.3">
      <c r="A33">
        <v>262</v>
      </c>
      <c r="B33">
        <v>513</v>
      </c>
      <c r="D33">
        <v>0</v>
      </c>
      <c r="E33" t="s">
        <v>27</v>
      </c>
      <c r="F33" s="9">
        <v>44490</v>
      </c>
      <c r="G33" t="s">
        <v>28</v>
      </c>
      <c r="H33" t="s">
        <v>29</v>
      </c>
      <c r="I33">
        <v>17</v>
      </c>
      <c r="J33">
        <v>308.24799999999999</v>
      </c>
      <c r="K33" t="s">
        <v>128</v>
      </c>
      <c r="L33" t="s">
        <v>129</v>
      </c>
      <c r="O33">
        <v>0</v>
      </c>
      <c r="U33" t="s">
        <v>37</v>
      </c>
      <c r="V33" t="s">
        <v>38</v>
      </c>
      <c r="X33" t="s">
        <v>130</v>
      </c>
      <c r="Z33" t="s">
        <v>35</v>
      </c>
      <c r="AA33" t="s">
        <v>131</v>
      </c>
    </row>
    <row r="34" spans="1:27" x14ac:dyDescent="0.3">
      <c r="A34">
        <v>263</v>
      </c>
      <c r="B34">
        <v>514</v>
      </c>
      <c r="D34">
        <v>0</v>
      </c>
      <c r="E34" t="s">
        <v>27</v>
      </c>
      <c r="F34" s="9">
        <v>44490</v>
      </c>
      <c r="G34" t="s">
        <v>28</v>
      </c>
      <c r="H34" t="s">
        <v>29</v>
      </c>
      <c r="I34">
        <v>17</v>
      </c>
      <c r="J34">
        <v>308.24799999999999</v>
      </c>
      <c r="K34" t="s">
        <v>128</v>
      </c>
      <c r="L34" t="s">
        <v>129</v>
      </c>
      <c r="O34">
        <v>0</v>
      </c>
      <c r="U34" t="s">
        <v>37</v>
      </c>
      <c r="V34" t="s">
        <v>33</v>
      </c>
      <c r="X34" t="s">
        <v>132</v>
      </c>
      <c r="Z34" t="s">
        <v>35</v>
      </c>
      <c r="AA34" t="s">
        <v>133</v>
      </c>
    </row>
    <row r="35" spans="1:27" x14ac:dyDescent="0.3">
      <c r="A35">
        <v>264</v>
      </c>
      <c r="B35">
        <v>534</v>
      </c>
      <c r="D35">
        <v>0</v>
      </c>
      <c r="E35" t="s">
        <v>27</v>
      </c>
      <c r="F35" s="9">
        <v>44490</v>
      </c>
      <c r="G35" t="s">
        <v>28</v>
      </c>
      <c r="H35" t="s">
        <v>29</v>
      </c>
      <c r="I35">
        <v>17</v>
      </c>
      <c r="J35">
        <v>315.18299999999999</v>
      </c>
      <c r="K35" t="s">
        <v>134</v>
      </c>
      <c r="L35" t="s">
        <v>135</v>
      </c>
      <c r="O35">
        <v>0</v>
      </c>
      <c r="U35" t="s">
        <v>37</v>
      </c>
      <c r="V35" t="s">
        <v>38</v>
      </c>
      <c r="X35" t="s">
        <v>136</v>
      </c>
      <c r="Z35" t="s">
        <v>35</v>
      </c>
      <c r="AA35" t="s">
        <v>137</v>
      </c>
    </row>
    <row r="36" spans="1:27" x14ac:dyDescent="0.3">
      <c r="A36">
        <v>265</v>
      </c>
      <c r="B36">
        <v>602</v>
      </c>
      <c r="D36">
        <v>0</v>
      </c>
      <c r="E36" t="s">
        <v>27</v>
      </c>
      <c r="F36" s="9">
        <v>44490</v>
      </c>
      <c r="G36" t="s">
        <v>28</v>
      </c>
      <c r="H36" t="s">
        <v>29</v>
      </c>
      <c r="I36">
        <v>17</v>
      </c>
      <c r="J36">
        <v>349.76600000000002</v>
      </c>
      <c r="K36" t="s">
        <v>138</v>
      </c>
      <c r="L36" t="s">
        <v>139</v>
      </c>
      <c r="O36">
        <v>0</v>
      </c>
      <c r="U36" t="s">
        <v>37</v>
      </c>
      <c r="V36" t="s">
        <v>38</v>
      </c>
      <c r="Z36" t="s">
        <v>35</v>
      </c>
      <c r="AA36" t="s">
        <v>140</v>
      </c>
    </row>
    <row r="37" spans="1:27" x14ac:dyDescent="0.3">
      <c r="A37">
        <v>336</v>
      </c>
      <c r="B37">
        <v>594</v>
      </c>
      <c r="D37">
        <v>0</v>
      </c>
      <c r="E37" t="s">
        <v>27</v>
      </c>
      <c r="F37" s="9">
        <v>44498</v>
      </c>
      <c r="G37" t="s">
        <v>28</v>
      </c>
      <c r="H37" t="s">
        <v>29</v>
      </c>
      <c r="I37">
        <v>17</v>
      </c>
      <c r="J37">
        <v>348.363</v>
      </c>
      <c r="K37" t="s">
        <v>141</v>
      </c>
      <c r="L37" t="s">
        <v>142</v>
      </c>
      <c r="O37">
        <v>0</v>
      </c>
      <c r="U37" t="s">
        <v>37</v>
      </c>
      <c r="V37" t="s">
        <v>38</v>
      </c>
      <c r="Z37" t="s">
        <v>35</v>
      </c>
      <c r="AA37" t="s">
        <v>143</v>
      </c>
    </row>
    <row r="38" spans="1:27" x14ac:dyDescent="0.3">
      <c r="A38">
        <v>337</v>
      </c>
      <c r="B38">
        <v>595</v>
      </c>
      <c r="D38">
        <v>0</v>
      </c>
      <c r="E38" t="s">
        <v>27</v>
      </c>
      <c r="F38" s="9">
        <v>44498</v>
      </c>
      <c r="G38" t="s">
        <v>28</v>
      </c>
      <c r="H38" t="s">
        <v>29</v>
      </c>
      <c r="I38">
        <v>17</v>
      </c>
      <c r="J38">
        <v>348.363</v>
      </c>
      <c r="K38" t="s">
        <v>141</v>
      </c>
      <c r="L38" t="s">
        <v>142</v>
      </c>
      <c r="O38">
        <v>0</v>
      </c>
      <c r="U38" t="s">
        <v>144</v>
      </c>
      <c r="V38" t="s">
        <v>38</v>
      </c>
      <c r="Z38" t="s">
        <v>35</v>
      </c>
      <c r="AA38" t="s">
        <v>145</v>
      </c>
    </row>
    <row r="39" spans="1:27" x14ac:dyDescent="0.3">
      <c r="A39">
        <v>338</v>
      </c>
      <c r="B39">
        <v>596</v>
      </c>
      <c r="D39">
        <v>0</v>
      </c>
      <c r="E39" t="s">
        <v>27</v>
      </c>
      <c r="F39" s="9">
        <v>44498</v>
      </c>
      <c r="G39" t="s">
        <v>28</v>
      </c>
      <c r="H39" t="s">
        <v>29</v>
      </c>
      <c r="I39">
        <v>17</v>
      </c>
      <c r="J39">
        <v>348.363</v>
      </c>
      <c r="K39" t="s">
        <v>141</v>
      </c>
      <c r="L39" t="s">
        <v>142</v>
      </c>
      <c r="O39">
        <v>0</v>
      </c>
      <c r="U39" t="s">
        <v>32</v>
      </c>
      <c r="V39" t="s">
        <v>38</v>
      </c>
      <c r="Z39" t="s">
        <v>35</v>
      </c>
      <c r="AA39" t="s">
        <v>146</v>
      </c>
    </row>
    <row r="40" spans="1:27" x14ac:dyDescent="0.3">
      <c r="A40">
        <v>339</v>
      </c>
      <c r="B40">
        <v>597</v>
      </c>
      <c r="D40">
        <v>0</v>
      </c>
      <c r="E40" t="s">
        <v>27</v>
      </c>
      <c r="F40" s="9">
        <v>44498</v>
      </c>
      <c r="G40" t="s">
        <v>28</v>
      </c>
      <c r="H40" t="s">
        <v>29</v>
      </c>
      <c r="I40">
        <v>17</v>
      </c>
      <c r="J40">
        <v>348.363</v>
      </c>
      <c r="K40" t="s">
        <v>141</v>
      </c>
      <c r="L40" t="s">
        <v>142</v>
      </c>
      <c r="O40">
        <v>0</v>
      </c>
      <c r="U40" t="s">
        <v>32</v>
      </c>
      <c r="V40" t="s">
        <v>38</v>
      </c>
      <c r="Z40" t="s">
        <v>35</v>
      </c>
      <c r="AA40" t="s">
        <v>147</v>
      </c>
    </row>
    <row r="41" spans="1:27" x14ac:dyDescent="0.3">
      <c r="A41">
        <v>340</v>
      </c>
      <c r="B41">
        <v>598</v>
      </c>
      <c r="D41">
        <v>0</v>
      </c>
      <c r="E41" t="s">
        <v>27</v>
      </c>
      <c r="F41" s="9">
        <v>44498</v>
      </c>
      <c r="G41" t="s">
        <v>28</v>
      </c>
      <c r="H41" t="s">
        <v>29</v>
      </c>
      <c r="I41">
        <v>17</v>
      </c>
      <c r="J41">
        <v>348.363</v>
      </c>
      <c r="K41" t="s">
        <v>141</v>
      </c>
      <c r="L41" t="s">
        <v>142</v>
      </c>
      <c r="O41">
        <v>0</v>
      </c>
      <c r="U41" t="s">
        <v>32</v>
      </c>
      <c r="V41" t="s">
        <v>33</v>
      </c>
      <c r="Z41" t="s">
        <v>35</v>
      </c>
      <c r="AA41" t="s">
        <v>148</v>
      </c>
    </row>
    <row r="42" spans="1:27" x14ac:dyDescent="0.3">
      <c r="A42">
        <v>341</v>
      </c>
      <c r="B42">
        <v>599</v>
      </c>
      <c r="D42">
        <v>0</v>
      </c>
      <c r="E42" t="s">
        <v>27</v>
      </c>
      <c r="F42" s="9">
        <v>44498</v>
      </c>
      <c r="G42" t="s">
        <v>28</v>
      </c>
      <c r="H42" t="s">
        <v>29</v>
      </c>
      <c r="I42">
        <v>17</v>
      </c>
      <c r="J42">
        <v>348.363</v>
      </c>
      <c r="K42" t="s">
        <v>141</v>
      </c>
      <c r="L42" t="s">
        <v>142</v>
      </c>
      <c r="O42">
        <v>0</v>
      </c>
      <c r="U42" t="s">
        <v>32</v>
      </c>
      <c r="V42" t="s">
        <v>38</v>
      </c>
      <c r="Z42" t="s">
        <v>35</v>
      </c>
      <c r="AA42" t="s">
        <v>149</v>
      </c>
    </row>
    <row r="43" spans="1:27" x14ac:dyDescent="0.3">
      <c r="A43">
        <v>342</v>
      </c>
      <c r="B43">
        <v>600</v>
      </c>
      <c r="D43">
        <v>0</v>
      </c>
      <c r="E43" t="s">
        <v>27</v>
      </c>
      <c r="F43" s="9">
        <v>44498</v>
      </c>
      <c r="G43" t="s">
        <v>28</v>
      </c>
      <c r="H43" t="s">
        <v>29</v>
      </c>
      <c r="I43">
        <v>17</v>
      </c>
      <c r="J43">
        <v>348.363</v>
      </c>
      <c r="K43" t="s">
        <v>141</v>
      </c>
      <c r="L43" t="s">
        <v>142</v>
      </c>
      <c r="O43">
        <v>0</v>
      </c>
      <c r="U43" t="s">
        <v>32</v>
      </c>
      <c r="V43" t="s">
        <v>38</v>
      </c>
      <c r="Z43" t="s">
        <v>35</v>
      </c>
      <c r="AA43" t="s">
        <v>150</v>
      </c>
    </row>
    <row r="44" spans="1:27" x14ac:dyDescent="0.3">
      <c r="A44">
        <v>343</v>
      </c>
      <c r="B44">
        <v>601</v>
      </c>
      <c r="D44">
        <v>0</v>
      </c>
      <c r="E44" t="s">
        <v>27</v>
      </c>
      <c r="F44" s="9">
        <v>44498</v>
      </c>
      <c r="G44" t="s">
        <v>28</v>
      </c>
      <c r="H44" t="s">
        <v>29</v>
      </c>
      <c r="I44">
        <v>17</v>
      </c>
      <c r="J44">
        <v>348.363</v>
      </c>
      <c r="K44" t="s">
        <v>141</v>
      </c>
      <c r="L44" t="s">
        <v>142</v>
      </c>
      <c r="O44">
        <v>0</v>
      </c>
      <c r="U44" t="s">
        <v>32</v>
      </c>
      <c r="V44" t="s">
        <v>38</v>
      </c>
      <c r="Z44" t="s">
        <v>35</v>
      </c>
      <c r="AA44" t="s">
        <v>151</v>
      </c>
    </row>
    <row r="45" spans="1:27" x14ac:dyDescent="0.3">
      <c r="A45">
        <v>344</v>
      </c>
      <c r="B45">
        <v>603</v>
      </c>
      <c r="D45">
        <v>0</v>
      </c>
      <c r="E45" t="s">
        <v>27</v>
      </c>
      <c r="F45" s="9">
        <v>44498</v>
      </c>
      <c r="G45" t="s">
        <v>28</v>
      </c>
      <c r="H45" t="s">
        <v>29</v>
      </c>
      <c r="I45">
        <v>17</v>
      </c>
      <c r="J45">
        <v>351.21300000000002</v>
      </c>
      <c r="K45" t="s">
        <v>152</v>
      </c>
      <c r="L45" t="s">
        <v>153</v>
      </c>
      <c r="O45">
        <v>0</v>
      </c>
      <c r="U45" t="s">
        <v>37</v>
      </c>
      <c r="V45" t="s">
        <v>38</v>
      </c>
      <c r="Z45" t="s">
        <v>35</v>
      </c>
      <c r="AA45" t="s">
        <v>154</v>
      </c>
    </row>
    <row r="46" spans="1:27" x14ac:dyDescent="0.3">
      <c r="A46">
        <v>345</v>
      </c>
      <c r="B46">
        <v>604</v>
      </c>
      <c r="D46">
        <v>0</v>
      </c>
      <c r="E46" t="s">
        <v>27</v>
      </c>
      <c r="F46" s="9">
        <v>44498</v>
      </c>
      <c r="G46" t="s">
        <v>28</v>
      </c>
      <c r="H46" t="s">
        <v>29</v>
      </c>
      <c r="I46">
        <v>17</v>
      </c>
      <c r="J46">
        <v>351.21300000000002</v>
      </c>
      <c r="K46" t="s">
        <v>152</v>
      </c>
      <c r="L46" t="s">
        <v>153</v>
      </c>
      <c r="O46">
        <v>0</v>
      </c>
      <c r="U46" t="s">
        <v>37</v>
      </c>
      <c r="V46" t="s">
        <v>38</v>
      </c>
      <c r="Z46" t="s">
        <v>35</v>
      </c>
      <c r="AA46" t="s">
        <v>155</v>
      </c>
    </row>
    <row r="47" spans="1:27" x14ac:dyDescent="0.3">
      <c r="A47">
        <v>346</v>
      </c>
      <c r="B47">
        <v>605</v>
      </c>
      <c r="D47">
        <v>0</v>
      </c>
      <c r="E47" t="s">
        <v>27</v>
      </c>
      <c r="F47" s="9">
        <v>44498</v>
      </c>
      <c r="G47" t="s">
        <v>28</v>
      </c>
      <c r="H47" t="s">
        <v>29</v>
      </c>
      <c r="I47">
        <v>17</v>
      </c>
      <c r="J47">
        <v>351.21300000000002</v>
      </c>
      <c r="K47" t="s">
        <v>152</v>
      </c>
      <c r="L47" t="s">
        <v>153</v>
      </c>
      <c r="O47">
        <v>0</v>
      </c>
      <c r="U47" t="s">
        <v>37</v>
      </c>
      <c r="V47" t="s">
        <v>38</v>
      </c>
      <c r="Z47" t="s">
        <v>35</v>
      </c>
      <c r="AA47" t="s">
        <v>156</v>
      </c>
    </row>
    <row r="48" spans="1:27" x14ac:dyDescent="0.3">
      <c r="A48">
        <v>347</v>
      </c>
      <c r="B48">
        <v>606</v>
      </c>
      <c r="D48">
        <v>0</v>
      </c>
      <c r="E48" t="s">
        <v>27</v>
      </c>
      <c r="F48" s="9">
        <v>44498</v>
      </c>
      <c r="G48" t="s">
        <v>28</v>
      </c>
      <c r="H48" t="s">
        <v>29</v>
      </c>
      <c r="I48">
        <v>17</v>
      </c>
      <c r="J48">
        <v>351.21300000000002</v>
      </c>
      <c r="K48" t="s">
        <v>152</v>
      </c>
      <c r="L48" t="s">
        <v>153</v>
      </c>
      <c r="O48">
        <v>0</v>
      </c>
      <c r="U48" t="s">
        <v>37</v>
      </c>
      <c r="V48" t="s">
        <v>38</v>
      </c>
      <c r="Z48" t="s">
        <v>35</v>
      </c>
      <c r="AA48" t="s">
        <v>157</v>
      </c>
    </row>
    <row r="49" spans="1:27" x14ac:dyDescent="0.3">
      <c r="A49">
        <v>348</v>
      </c>
      <c r="B49">
        <v>607</v>
      </c>
      <c r="D49">
        <v>0</v>
      </c>
      <c r="E49" t="s">
        <v>27</v>
      </c>
      <c r="F49" s="9">
        <v>44498</v>
      </c>
      <c r="G49" t="s">
        <v>28</v>
      </c>
      <c r="H49" t="s">
        <v>29</v>
      </c>
      <c r="I49">
        <v>17</v>
      </c>
      <c r="J49">
        <v>351.21300000000002</v>
      </c>
      <c r="K49" t="s">
        <v>152</v>
      </c>
      <c r="L49" t="s">
        <v>153</v>
      </c>
      <c r="O49">
        <v>0</v>
      </c>
      <c r="U49" t="s">
        <v>37</v>
      </c>
      <c r="V49" t="s">
        <v>38</v>
      </c>
      <c r="Z49" t="s">
        <v>35</v>
      </c>
      <c r="AA49" t="s">
        <v>158</v>
      </c>
    </row>
    <row r="50" spans="1:27" x14ac:dyDescent="0.3">
      <c r="A50">
        <v>64</v>
      </c>
      <c r="B50">
        <v>472</v>
      </c>
      <c r="D50">
        <v>0</v>
      </c>
      <c r="E50" t="s">
        <v>27</v>
      </c>
      <c r="F50" s="9">
        <v>44474</v>
      </c>
      <c r="G50" t="s">
        <v>28</v>
      </c>
      <c r="H50" t="s">
        <v>29</v>
      </c>
      <c r="I50">
        <v>17</v>
      </c>
      <c r="J50">
        <v>216.07400000000001</v>
      </c>
      <c r="K50" t="s">
        <v>159</v>
      </c>
      <c r="L50" t="s">
        <v>160</v>
      </c>
      <c r="O50">
        <v>0</v>
      </c>
      <c r="U50" t="s">
        <v>37</v>
      </c>
      <c r="V50" t="s">
        <v>38</v>
      </c>
      <c r="X50" t="s">
        <v>161</v>
      </c>
      <c r="Z50" t="s">
        <v>162</v>
      </c>
      <c r="AA50" t="s">
        <v>163</v>
      </c>
    </row>
    <row r="51" spans="1:27" x14ac:dyDescent="0.3">
      <c r="A51">
        <v>65</v>
      </c>
      <c r="B51">
        <v>473</v>
      </c>
      <c r="D51">
        <v>0</v>
      </c>
      <c r="E51" t="s">
        <v>27</v>
      </c>
      <c r="F51" s="9">
        <v>44474</v>
      </c>
      <c r="G51" t="s">
        <v>28</v>
      </c>
      <c r="H51" t="s">
        <v>29</v>
      </c>
      <c r="I51">
        <v>17</v>
      </c>
      <c r="J51">
        <v>216.07400000000001</v>
      </c>
      <c r="K51" t="s">
        <v>159</v>
      </c>
      <c r="L51" t="s">
        <v>160</v>
      </c>
      <c r="O51">
        <v>0</v>
      </c>
      <c r="U51" t="s">
        <v>37</v>
      </c>
      <c r="V51" t="s">
        <v>38</v>
      </c>
      <c r="X51" t="s">
        <v>164</v>
      </c>
      <c r="Z51" t="s">
        <v>162</v>
      </c>
      <c r="AA51" t="s">
        <v>165</v>
      </c>
    </row>
    <row r="52" spans="1:27" x14ac:dyDescent="0.3">
      <c r="A52">
        <v>66</v>
      </c>
      <c r="B52">
        <v>474</v>
      </c>
      <c r="D52">
        <v>0</v>
      </c>
      <c r="E52" t="s">
        <v>27</v>
      </c>
      <c r="F52" s="9">
        <v>44474</v>
      </c>
      <c r="G52" t="s">
        <v>28</v>
      </c>
      <c r="H52" t="s">
        <v>29</v>
      </c>
      <c r="I52">
        <v>17</v>
      </c>
      <c r="J52">
        <v>216.07400000000001</v>
      </c>
      <c r="K52" t="s">
        <v>159</v>
      </c>
      <c r="L52" t="s">
        <v>160</v>
      </c>
      <c r="O52">
        <v>0</v>
      </c>
      <c r="U52" t="s">
        <v>32</v>
      </c>
      <c r="V52" t="s">
        <v>38</v>
      </c>
      <c r="X52" t="s">
        <v>166</v>
      </c>
      <c r="Z52" t="s">
        <v>162</v>
      </c>
      <c r="AA52" t="s">
        <v>167</v>
      </c>
    </row>
    <row r="53" spans="1:27" x14ac:dyDescent="0.3">
      <c r="A53">
        <v>67</v>
      </c>
      <c r="B53">
        <v>475</v>
      </c>
      <c r="D53">
        <v>0</v>
      </c>
      <c r="E53" t="s">
        <v>27</v>
      </c>
      <c r="F53" s="9">
        <v>44474</v>
      </c>
      <c r="G53" t="s">
        <v>28</v>
      </c>
      <c r="H53" t="s">
        <v>29</v>
      </c>
      <c r="I53">
        <v>17</v>
      </c>
      <c r="J53">
        <v>223.33099999999999</v>
      </c>
      <c r="K53" t="s">
        <v>168</v>
      </c>
      <c r="L53" t="s">
        <v>169</v>
      </c>
      <c r="O53">
        <v>0</v>
      </c>
      <c r="U53" t="s">
        <v>49</v>
      </c>
      <c r="V53" t="s">
        <v>38</v>
      </c>
      <c r="X53" t="s">
        <v>170</v>
      </c>
      <c r="Z53" t="s">
        <v>162</v>
      </c>
      <c r="AA53" t="s">
        <v>171</v>
      </c>
    </row>
    <row r="54" spans="1:27" x14ac:dyDescent="0.3">
      <c r="A54">
        <v>68</v>
      </c>
      <c r="B54">
        <v>476</v>
      </c>
      <c r="D54">
        <v>0</v>
      </c>
      <c r="E54" t="s">
        <v>27</v>
      </c>
      <c r="F54" s="9">
        <v>44474</v>
      </c>
      <c r="G54" t="s">
        <v>28</v>
      </c>
      <c r="H54" t="s">
        <v>29</v>
      </c>
      <c r="I54">
        <v>17</v>
      </c>
      <c r="J54">
        <v>223.33099999999999</v>
      </c>
      <c r="K54" t="s">
        <v>168</v>
      </c>
      <c r="L54" t="s">
        <v>169</v>
      </c>
      <c r="O54">
        <v>0</v>
      </c>
      <c r="U54" t="s">
        <v>49</v>
      </c>
      <c r="V54" t="s">
        <v>38</v>
      </c>
      <c r="X54" t="s">
        <v>172</v>
      </c>
      <c r="Z54" t="s">
        <v>162</v>
      </c>
      <c r="AA54" t="s">
        <v>173</v>
      </c>
    </row>
    <row r="55" spans="1:27" x14ac:dyDescent="0.3">
      <c r="A55">
        <v>69</v>
      </c>
      <c r="B55">
        <v>492</v>
      </c>
      <c r="D55">
        <v>0</v>
      </c>
      <c r="E55" t="s">
        <v>27</v>
      </c>
      <c r="F55" s="9">
        <v>44474</v>
      </c>
      <c r="G55" t="s">
        <v>28</v>
      </c>
      <c r="H55" t="s">
        <v>29</v>
      </c>
      <c r="I55">
        <v>17</v>
      </c>
      <c r="J55">
        <v>239.92</v>
      </c>
      <c r="K55" t="s">
        <v>174</v>
      </c>
      <c r="L55" t="s">
        <v>175</v>
      </c>
      <c r="O55">
        <v>0</v>
      </c>
      <c r="U55" t="s">
        <v>49</v>
      </c>
      <c r="V55" t="s">
        <v>62</v>
      </c>
      <c r="X55" t="s">
        <v>176</v>
      </c>
      <c r="Z55" t="s">
        <v>162</v>
      </c>
      <c r="AA55" t="s">
        <v>177</v>
      </c>
    </row>
    <row r="56" spans="1:27" x14ac:dyDescent="0.3">
      <c r="A56">
        <v>70</v>
      </c>
      <c r="B56">
        <v>493</v>
      </c>
      <c r="D56">
        <v>0</v>
      </c>
      <c r="E56" t="s">
        <v>27</v>
      </c>
      <c r="F56" s="9">
        <v>44474</v>
      </c>
      <c r="G56" t="s">
        <v>28</v>
      </c>
      <c r="H56" t="s">
        <v>29</v>
      </c>
      <c r="I56">
        <v>17</v>
      </c>
      <c r="J56">
        <v>239.92</v>
      </c>
      <c r="K56" t="s">
        <v>174</v>
      </c>
      <c r="L56" t="s">
        <v>175</v>
      </c>
      <c r="O56">
        <v>0</v>
      </c>
      <c r="U56" t="s">
        <v>49</v>
      </c>
      <c r="V56" t="s">
        <v>38</v>
      </c>
      <c r="X56" t="s">
        <v>178</v>
      </c>
      <c r="Z56" t="s">
        <v>162</v>
      </c>
      <c r="AA56" t="s">
        <v>179</v>
      </c>
    </row>
    <row r="57" spans="1:27" x14ac:dyDescent="0.3">
      <c r="A57">
        <v>71</v>
      </c>
      <c r="B57">
        <v>494</v>
      </c>
      <c r="D57">
        <v>0</v>
      </c>
      <c r="E57" t="s">
        <v>27</v>
      </c>
      <c r="F57" s="9">
        <v>44474</v>
      </c>
      <c r="G57" t="s">
        <v>28</v>
      </c>
      <c r="H57" t="s">
        <v>29</v>
      </c>
      <c r="I57">
        <v>17</v>
      </c>
      <c r="J57">
        <v>239.92</v>
      </c>
      <c r="K57" t="s">
        <v>174</v>
      </c>
      <c r="L57" t="s">
        <v>175</v>
      </c>
      <c r="O57">
        <v>0</v>
      </c>
      <c r="U57" t="s">
        <v>37</v>
      </c>
      <c r="V57" t="s">
        <v>38</v>
      </c>
      <c r="X57" t="s">
        <v>180</v>
      </c>
      <c r="Z57" t="s">
        <v>162</v>
      </c>
      <c r="AA57" t="s">
        <v>181</v>
      </c>
    </row>
    <row r="58" spans="1:27" x14ac:dyDescent="0.3">
      <c r="A58">
        <v>72</v>
      </c>
      <c r="B58">
        <v>495</v>
      </c>
      <c r="D58">
        <v>0</v>
      </c>
      <c r="E58" t="s">
        <v>27</v>
      </c>
      <c r="F58" s="9">
        <v>44474</v>
      </c>
      <c r="G58" t="s">
        <v>28</v>
      </c>
      <c r="H58" t="s">
        <v>29</v>
      </c>
      <c r="I58">
        <v>17</v>
      </c>
      <c r="J58">
        <v>239.92</v>
      </c>
      <c r="K58" t="s">
        <v>174</v>
      </c>
      <c r="L58" t="s">
        <v>175</v>
      </c>
      <c r="O58">
        <v>0</v>
      </c>
      <c r="U58" t="s">
        <v>37</v>
      </c>
      <c r="V58" t="s">
        <v>38</v>
      </c>
      <c r="X58" t="s">
        <v>182</v>
      </c>
      <c r="Z58" t="s">
        <v>162</v>
      </c>
      <c r="AA58" t="s">
        <v>183</v>
      </c>
    </row>
    <row r="59" spans="1:27" x14ac:dyDescent="0.3">
      <c r="A59">
        <v>73</v>
      </c>
      <c r="B59">
        <v>496</v>
      </c>
      <c r="D59">
        <v>0</v>
      </c>
      <c r="E59" t="s">
        <v>27</v>
      </c>
      <c r="F59" s="9">
        <v>44474</v>
      </c>
      <c r="G59" t="s">
        <v>28</v>
      </c>
      <c r="H59" t="s">
        <v>29</v>
      </c>
      <c r="I59">
        <v>17</v>
      </c>
      <c r="J59">
        <v>239.92</v>
      </c>
      <c r="K59" t="s">
        <v>174</v>
      </c>
      <c r="L59" t="s">
        <v>175</v>
      </c>
      <c r="O59">
        <v>0</v>
      </c>
      <c r="U59" t="s">
        <v>49</v>
      </c>
      <c r="V59" t="s">
        <v>33</v>
      </c>
      <c r="X59" t="s">
        <v>184</v>
      </c>
      <c r="Z59" t="s">
        <v>162</v>
      </c>
      <c r="AA59" t="s">
        <v>185</v>
      </c>
    </row>
    <row r="60" spans="1:27" x14ac:dyDescent="0.3">
      <c r="A60">
        <v>74</v>
      </c>
      <c r="B60">
        <v>477</v>
      </c>
      <c r="D60">
        <v>0</v>
      </c>
      <c r="E60" t="s">
        <v>27</v>
      </c>
      <c r="F60" s="9">
        <v>44476</v>
      </c>
      <c r="G60" t="s">
        <v>28</v>
      </c>
      <c r="H60" t="s">
        <v>29</v>
      </c>
      <c r="I60">
        <v>17</v>
      </c>
      <c r="J60">
        <v>224.857</v>
      </c>
      <c r="K60" t="s">
        <v>186</v>
      </c>
      <c r="L60" t="s">
        <v>187</v>
      </c>
      <c r="O60">
        <v>0</v>
      </c>
      <c r="U60" t="s">
        <v>37</v>
      </c>
      <c r="V60" t="s">
        <v>38</v>
      </c>
      <c r="X60" t="s">
        <v>188</v>
      </c>
      <c r="Z60" t="s">
        <v>162</v>
      </c>
      <c r="AA60" t="s">
        <v>189</v>
      </c>
    </row>
    <row r="61" spans="1:27" x14ac:dyDescent="0.3">
      <c r="A61">
        <v>75</v>
      </c>
      <c r="B61">
        <v>478</v>
      </c>
      <c r="D61">
        <v>0</v>
      </c>
      <c r="E61" t="s">
        <v>27</v>
      </c>
      <c r="F61" s="9">
        <v>44476</v>
      </c>
      <c r="G61" t="s">
        <v>28</v>
      </c>
      <c r="H61" t="s">
        <v>29</v>
      </c>
      <c r="I61">
        <v>17</v>
      </c>
      <c r="J61">
        <v>224.857</v>
      </c>
      <c r="K61" t="s">
        <v>186</v>
      </c>
      <c r="L61" t="s">
        <v>187</v>
      </c>
      <c r="O61">
        <v>0</v>
      </c>
      <c r="U61" t="s">
        <v>37</v>
      </c>
      <c r="V61" t="s">
        <v>38</v>
      </c>
      <c r="X61" t="s">
        <v>190</v>
      </c>
      <c r="Z61" t="s">
        <v>162</v>
      </c>
      <c r="AA61" t="s">
        <v>191</v>
      </c>
    </row>
    <row r="62" spans="1:27" x14ac:dyDescent="0.3">
      <c r="A62">
        <v>76</v>
      </c>
      <c r="B62">
        <v>479</v>
      </c>
      <c r="D62">
        <v>0</v>
      </c>
      <c r="E62" t="s">
        <v>27</v>
      </c>
      <c r="F62" s="9">
        <v>44476</v>
      </c>
      <c r="G62" t="s">
        <v>28</v>
      </c>
      <c r="H62" t="s">
        <v>29</v>
      </c>
      <c r="I62">
        <v>17</v>
      </c>
      <c r="J62">
        <v>224.857</v>
      </c>
      <c r="K62" t="s">
        <v>186</v>
      </c>
      <c r="L62" t="s">
        <v>187</v>
      </c>
      <c r="O62">
        <v>0</v>
      </c>
      <c r="U62" t="s">
        <v>37</v>
      </c>
      <c r="V62" t="s">
        <v>38</v>
      </c>
      <c r="X62" t="s">
        <v>192</v>
      </c>
      <c r="Z62" t="s">
        <v>162</v>
      </c>
      <c r="AA62" t="s">
        <v>193</v>
      </c>
    </row>
    <row r="63" spans="1:27" x14ac:dyDescent="0.3">
      <c r="A63">
        <v>77</v>
      </c>
      <c r="B63">
        <v>480</v>
      </c>
      <c r="D63">
        <v>0</v>
      </c>
      <c r="E63" t="s">
        <v>27</v>
      </c>
      <c r="F63" s="9">
        <v>44476</v>
      </c>
      <c r="G63" t="s">
        <v>28</v>
      </c>
      <c r="H63" t="s">
        <v>29</v>
      </c>
      <c r="I63">
        <v>17</v>
      </c>
      <c r="J63">
        <v>229.381</v>
      </c>
      <c r="K63" t="s">
        <v>194</v>
      </c>
      <c r="L63" t="s">
        <v>195</v>
      </c>
      <c r="O63">
        <v>0</v>
      </c>
      <c r="U63" t="s">
        <v>37</v>
      </c>
      <c r="V63" t="s">
        <v>38</v>
      </c>
      <c r="X63" t="s">
        <v>196</v>
      </c>
      <c r="Z63" t="s">
        <v>162</v>
      </c>
      <c r="AA63" t="s">
        <v>197</v>
      </c>
    </row>
    <row r="64" spans="1:27" x14ac:dyDescent="0.3">
      <c r="A64">
        <v>78</v>
      </c>
      <c r="B64">
        <v>481</v>
      </c>
      <c r="D64">
        <v>0</v>
      </c>
      <c r="E64" t="s">
        <v>27</v>
      </c>
      <c r="F64" s="9">
        <v>44476</v>
      </c>
      <c r="G64" t="s">
        <v>28</v>
      </c>
      <c r="H64" t="s">
        <v>29</v>
      </c>
      <c r="I64">
        <v>17</v>
      </c>
      <c r="J64">
        <v>229.381</v>
      </c>
      <c r="K64" t="s">
        <v>194</v>
      </c>
      <c r="L64" t="s">
        <v>195</v>
      </c>
      <c r="O64">
        <v>0</v>
      </c>
      <c r="U64" t="s">
        <v>32</v>
      </c>
      <c r="V64" t="s">
        <v>38</v>
      </c>
      <c r="X64" t="s">
        <v>198</v>
      </c>
      <c r="Z64" t="s">
        <v>162</v>
      </c>
      <c r="AA64" t="s">
        <v>199</v>
      </c>
    </row>
    <row r="65" spans="1:27" x14ac:dyDescent="0.3">
      <c r="A65">
        <v>79</v>
      </c>
      <c r="B65">
        <v>482</v>
      </c>
      <c r="D65">
        <v>0</v>
      </c>
      <c r="E65" t="s">
        <v>27</v>
      </c>
      <c r="F65" s="9">
        <v>44476</v>
      </c>
      <c r="G65" t="s">
        <v>28</v>
      </c>
      <c r="H65" t="s">
        <v>29</v>
      </c>
      <c r="I65">
        <v>17</v>
      </c>
      <c r="J65">
        <v>229.381</v>
      </c>
      <c r="K65" t="s">
        <v>194</v>
      </c>
      <c r="L65" t="s">
        <v>195</v>
      </c>
      <c r="O65">
        <v>0</v>
      </c>
      <c r="U65" t="s">
        <v>32</v>
      </c>
      <c r="V65" t="s">
        <v>33</v>
      </c>
      <c r="X65" t="s">
        <v>200</v>
      </c>
      <c r="Z65" t="s">
        <v>162</v>
      </c>
      <c r="AA65" t="s">
        <v>201</v>
      </c>
    </row>
    <row r="66" spans="1:27" x14ac:dyDescent="0.3">
      <c r="A66">
        <v>80</v>
      </c>
      <c r="B66">
        <v>483</v>
      </c>
      <c r="D66">
        <v>0</v>
      </c>
      <c r="E66" t="s">
        <v>27</v>
      </c>
      <c r="F66" s="9">
        <v>44476</v>
      </c>
      <c r="G66" t="s">
        <v>28</v>
      </c>
      <c r="H66" t="s">
        <v>29</v>
      </c>
      <c r="I66">
        <v>17</v>
      </c>
      <c r="J66">
        <v>229.381</v>
      </c>
      <c r="K66" t="s">
        <v>194</v>
      </c>
      <c r="L66" t="s">
        <v>195</v>
      </c>
      <c r="O66">
        <v>0</v>
      </c>
      <c r="U66" t="s">
        <v>32</v>
      </c>
      <c r="V66" t="s">
        <v>33</v>
      </c>
      <c r="X66" t="s">
        <v>202</v>
      </c>
      <c r="Z66" t="s">
        <v>162</v>
      </c>
      <c r="AA66" t="s">
        <v>203</v>
      </c>
    </row>
    <row r="67" spans="1:27" x14ac:dyDescent="0.3">
      <c r="A67">
        <v>81</v>
      </c>
      <c r="B67">
        <v>484</v>
      </c>
      <c r="D67">
        <v>0</v>
      </c>
      <c r="E67" t="s">
        <v>27</v>
      </c>
      <c r="F67" s="9">
        <v>44476</v>
      </c>
      <c r="G67" t="s">
        <v>28</v>
      </c>
      <c r="H67" t="s">
        <v>29</v>
      </c>
      <c r="I67">
        <v>17</v>
      </c>
      <c r="J67">
        <v>229.381</v>
      </c>
      <c r="K67" t="s">
        <v>194</v>
      </c>
      <c r="L67" t="s">
        <v>195</v>
      </c>
      <c r="O67">
        <v>0</v>
      </c>
      <c r="U67" t="s">
        <v>37</v>
      </c>
      <c r="V67" t="s">
        <v>33</v>
      </c>
      <c r="X67" t="s">
        <v>204</v>
      </c>
      <c r="Z67" t="s">
        <v>162</v>
      </c>
      <c r="AA67" t="s">
        <v>205</v>
      </c>
    </row>
    <row r="68" spans="1:27" x14ac:dyDescent="0.3">
      <c r="A68">
        <v>82</v>
      </c>
      <c r="B68">
        <v>497</v>
      </c>
      <c r="D68">
        <v>0</v>
      </c>
      <c r="E68" t="s">
        <v>27</v>
      </c>
      <c r="F68" s="9">
        <v>44476</v>
      </c>
      <c r="G68" t="s">
        <v>28</v>
      </c>
      <c r="H68" t="s">
        <v>29</v>
      </c>
      <c r="I68">
        <v>17</v>
      </c>
      <c r="J68">
        <v>254.41900000000001</v>
      </c>
      <c r="K68" t="s">
        <v>206</v>
      </c>
      <c r="L68" t="s">
        <v>207</v>
      </c>
      <c r="O68">
        <v>0</v>
      </c>
      <c r="U68" t="s">
        <v>37</v>
      </c>
      <c r="V68" t="s">
        <v>38</v>
      </c>
      <c r="X68" t="s">
        <v>208</v>
      </c>
      <c r="Z68" t="s">
        <v>209</v>
      </c>
      <c r="AA68" t="s">
        <v>210</v>
      </c>
    </row>
    <row r="69" spans="1:27" x14ac:dyDescent="0.3">
      <c r="A69">
        <v>83</v>
      </c>
      <c r="B69">
        <v>498</v>
      </c>
      <c r="D69">
        <v>0</v>
      </c>
      <c r="E69" t="s">
        <v>27</v>
      </c>
      <c r="F69" s="9">
        <v>44476</v>
      </c>
      <c r="G69" t="s">
        <v>28</v>
      </c>
      <c r="H69" t="s">
        <v>29</v>
      </c>
      <c r="I69">
        <v>17</v>
      </c>
      <c r="J69">
        <v>254.41900000000001</v>
      </c>
      <c r="K69" t="s">
        <v>206</v>
      </c>
      <c r="L69" t="s">
        <v>207</v>
      </c>
      <c r="O69">
        <v>0</v>
      </c>
      <c r="U69" t="s">
        <v>37</v>
      </c>
      <c r="V69" t="s">
        <v>38</v>
      </c>
      <c r="X69" t="s">
        <v>211</v>
      </c>
      <c r="Z69" t="s">
        <v>209</v>
      </c>
      <c r="AA69" t="s">
        <v>212</v>
      </c>
    </row>
    <row r="70" spans="1:27" x14ac:dyDescent="0.3">
      <c r="A70">
        <v>84</v>
      </c>
      <c r="B70">
        <v>499</v>
      </c>
      <c r="D70">
        <v>0</v>
      </c>
      <c r="E70" t="s">
        <v>27</v>
      </c>
      <c r="F70" s="9">
        <v>44476</v>
      </c>
      <c r="G70" t="s">
        <v>28</v>
      </c>
      <c r="H70" t="s">
        <v>29</v>
      </c>
      <c r="I70">
        <v>17</v>
      </c>
      <c r="J70">
        <v>254.41900000000001</v>
      </c>
      <c r="K70" t="s">
        <v>206</v>
      </c>
      <c r="L70" t="s">
        <v>207</v>
      </c>
      <c r="O70">
        <v>0</v>
      </c>
      <c r="U70" t="s">
        <v>79</v>
      </c>
      <c r="V70" t="s">
        <v>38</v>
      </c>
      <c r="W70" s="10" t="s">
        <v>213</v>
      </c>
      <c r="Z70" t="s">
        <v>209</v>
      </c>
      <c r="AA70" t="s">
        <v>214</v>
      </c>
    </row>
    <row r="71" spans="1:27" x14ac:dyDescent="0.3">
      <c r="A71">
        <v>85</v>
      </c>
      <c r="B71">
        <v>500</v>
      </c>
      <c r="D71">
        <v>0</v>
      </c>
      <c r="E71" t="s">
        <v>27</v>
      </c>
      <c r="F71" s="9">
        <v>44476</v>
      </c>
      <c r="G71" t="s">
        <v>28</v>
      </c>
      <c r="H71" t="s">
        <v>29</v>
      </c>
      <c r="I71">
        <v>17</v>
      </c>
      <c r="J71">
        <v>254.41900000000001</v>
      </c>
      <c r="K71" t="s">
        <v>206</v>
      </c>
      <c r="L71" t="s">
        <v>207</v>
      </c>
      <c r="O71">
        <v>0</v>
      </c>
      <c r="U71" t="s">
        <v>37</v>
      </c>
      <c r="V71" t="s">
        <v>38</v>
      </c>
      <c r="X71" t="s">
        <v>215</v>
      </c>
      <c r="Z71" t="s">
        <v>209</v>
      </c>
      <c r="AA71" t="s">
        <v>216</v>
      </c>
    </row>
    <row r="72" spans="1:27" x14ac:dyDescent="0.3">
      <c r="A72">
        <v>86</v>
      </c>
      <c r="B72">
        <v>501</v>
      </c>
      <c r="D72">
        <v>0</v>
      </c>
      <c r="E72" t="s">
        <v>27</v>
      </c>
      <c r="F72" s="9">
        <v>44476</v>
      </c>
      <c r="G72" t="s">
        <v>28</v>
      </c>
      <c r="H72" t="s">
        <v>29</v>
      </c>
      <c r="I72">
        <v>17</v>
      </c>
      <c r="J72">
        <v>254.41900000000001</v>
      </c>
      <c r="K72" t="s">
        <v>206</v>
      </c>
      <c r="L72" t="s">
        <v>207</v>
      </c>
      <c r="O72">
        <v>0</v>
      </c>
      <c r="U72" t="s">
        <v>32</v>
      </c>
      <c r="V72" t="s">
        <v>38</v>
      </c>
      <c r="X72" t="s">
        <v>217</v>
      </c>
      <c r="Z72" t="s">
        <v>209</v>
      </c>
      <c r="AA72" t="s">
        <v>218</v>
      </c>
    </row>
    <row r="73" spans="1:27" x14ac:dyDescent="0.3">
      <c r="A73">
        <v>87</v>
      </c>
      <c r="B73">
        <v>502</v>
      </c>
      <c r="D73">
        <v>0</v>
      </c>
      <c r="E73" t="s">
        <v>27</v>
      </c>
      <c r="F73" s="9">
        <v>44476</v>
      </c>
      <c r="G73" t="s">
        <v>28</v>
      </c>
      <c r="H73" t="s">
        <v>29</v>
      </c>
      <c r="I73">
        <v>17</v>
      </c>
      <c r="J73">
        <v>254.41900000000001</v>
      </c>
      <c r="K73" t="s">
        <v>206</v>
      </c>
      <c r="L73" t="s">
        <v>207</v>
      </c>
      <c r="O73">
        <v>0</v>
      </c>
      <c r="U73" t="s">
        <v>79</v>
      </c>
      <c r="V73" t="s">
        <v>38</v>
      </c>
      <c r="W73" s="10" t="s">
        <v>219</v>
      </c>
      <c r="Z73" t="s">
        <v>209</v>
      </c>
      <c r="AA73" t="s">
        <v>220</v>
      </c>
    </row>
    <row r="74" spans="1:27" x14ac:dyDescent="0.3">
      <c r="A74">
        <v>88</v>
      </c>
      <c r="B74">
        <v>503</v>
      </c>
      <c r="D74">
        <v>0</v>
      </c>
      <c r="E74" t="s">
        <v>27</v>
      </c>
      <c r="F74" s="9">
        <v>44476</v>
      </c>
      <c r="G74" t="s">
        <v>28</v>
      </c>
      <c r="H74" t="s">
        <v>29</v>
      </c>
      <c r="I74">
        <v>17</v>
      </c>
      <c r="J74">
        <v>254.41900000000001</v>
      </c>
      <c r="K74" t="s">
        <v>206</v>
      </c>
      <c r="L74" t="s">
        <v>207</v>
      </c>
      <c r="O74">
        <v>0</v>
      </c>
      <c r="U74" t="s">
        <v>79</v>
      </c>
      <c r="V74" t="s">
        <v>38</v>
      </c>
      <c r="W74" s="10" t="s">
        <v>221</v>
      </c>
      <c r="Z74" t="s">
        <v>209</v>
      </c>
      <c r="AA74" t="s">
        <v>222</v>
      </c>
    </row>
    <row r="75" spans="1:27" x14ac:dyDescent="0.3">
      <c r="A75">
        <v>89</v>
      </c>
      <c r="B75">
        <v>504</v>
      </c>
      <c r="D75">
        <v>0</v>
      </c>
      <c r="E75" t="s">
        <v>27</v>
      </c>
      <c r="F75" s="9">
        <v>44476</v>
      </c>
      <c r="G75" t="s">
        <v>28</v>
      </c>
      <c r="H75" t="s">
        <v>29</v>
      </c>
      <c r="I75">
        <v>17</v>
      </c>
      <c r="J75">
        <v>254.41900000000001</v>
      </c>
      <c r="K75" t="s">
        <v>206</v>
      </c>
      <c r="L75" t="s">
        <v>207</v>
      </c>
      <c r="O75">
        <v>0</v>
      </c>
      <c r="U75" t="s">
        <v>37</v>
      </c>
      <c r="V75" t="s">
        <v>62</v>
      </c>
      <c r="X75" t="s">
        <v>223</v>
      </c>
      <c r="Z75" t="s">
        <v>209</v>
      </c>
      <c r="AA75" t="s">
        <v>224</v>
      </c>
    </row>
    <row r="76" spans="1:27" x14ac:dyDescent="0.3">
      <c r="A76">
        <v>90</v>
      </c>
      <c r="B76">
        <v>524</v>
      </c>
      <c r="D76">
        <v>0</v>
      </c>
      <c r="E76" t="s">
        <v>27</v>
      </c>
      <c r="F76" s="9">
        <v>44477</v>
      </c>
      <c r="G76" t="s">
        <v>28</v>
      </c>
      <c r="H76" t="s">
        <v>29</v>
      </c>
      <c r="I76">
        <v>17</v>
      </c>
      <c r="J76">
        <v>311.762</v>
      </c>
      <c r="K76" t="s">
        <v>225</v>
      </c>
      <c r="L76" t="s">
        <v>226</v>
      </c>
      <c r="O76">
        <v>0</v>
      </c>
      <c r="U76" t="s">
        <v>37</v>
      </c>
      <c r="V76" t="s">
        <v>38</v>
      </c>
      <c r="X76" t="s">
        <v>227</v>
      </c>
      <c r="Z76" t="s">
        <v>35</v>
      </c>
      <c r="AA76" t="s">
        <v>228</v>
      </c>
    </row>
    <row r="77" spans="1:27" x14ac:dyDescent="0.3">
      <c r="A77">
        <v>91</v>
      </c>
      <c r="B77">
        <v>525</v>
      </c>
      <c r="D77">
        <v>0</v>
      </c>
      <c r="E77" t="s">
        <v>27</v>
      </c>
      <c r="F77" s="9">
        <v>44477</v>
      </c>
      <c r="G77" t="s">
        <v>28</v>
      </c>
      <c r="H77" t="s">
        <v>29</v>
      </c>
      <c r="I77">
        <v>17</v>
      </c>
      <c r="J77">
        <v>311.762</v>
      </c>
      <c r="K77" t="s">
        <v>225</v>
      </c>
      <c r="L77" t="s">
        <v>226</v>
      </c>
      <c r="O77">
        <v>0</v>
      </c>
      <c r="U77" t="s">
        <v>37</v>
      </c>
      <c r="V77" t="s">
        <v>38</v>
      </c>
      <c r="X77" t="s">
        <v>229</v>
      </c>
      <c r="Z77" t="s">
        <v>35</v>
      </c>
      <c r="AA77" t="s">
        <v>230</v>
      </c>
    </row>
    <row r="78" spans="1:27" x14ac:dyDescent="0.3">
      <c r="A78">
        <v>92</v>
      </c>
      <c r="B78">
        <v>526</v>
      </c>
      <c r="D78">
        <v>0</v>
      </c>
      <c r="E78" t="s">
        <v>27</v>
      </c>
      <c r="F78" s="9">
        <v>44477</v>
      </c>
      <c r="G78" t="s">
        <v>28</v>
      </c>
      <c r="H78" t="s">
        <v>29</v>
      </c>
      <c r="I78">
        <v>17</v>
      </c>
      <c r="J78">
        <v>311.762</v>
      </c>
      <c r="K78" t="s">
        <v>225</v>
      </c>
      <c r="L78" t="s">
        <v>226</v>
      </c>
      <c r="O78">
        <v>0</v>
      </c>
      <c r="U78" t="s">
        <v>79</v>
      </c>
      <c r="V78" t="s">
        <v>38</v>
      </c>
      <c r="W78" s="10" t="s">
        <v>231</v>
      </c>
      <c r="Z78" t="s">
        <v>35</v>
      </c>
      <c r="AA78" t="s">
        <v>232</v>
      </c>
    </row>
    <row r="79" spans="1:27" x14ac:dyDescent="0.3">
      <c r="A79">
        <v>93</v>
      </c>
      <c r="B79">
        <v>527</v>
      </c>
      <c r="D79">
        <v>0</v>
      </c>
      <c r="E79" t="s">
        <v>27</v>
      </c>
      <c r="F79" s="9">
        <v>44477</v>
      </c>
      <c r="G79" t="s">
        <v>28</v>
      </c>
      <c r="H79" t="s">
        <v>29</v>
      </c>
      <c r="I79">
        <v>17</v>
      </c>
      <c r="J79">
        <v>311.762</v>
      </c>
      <c r="K79" t="s">
        <v>225</v>
      </c>
      <c r="L79" t="s">
        <v>226</v>
      </c>
      <c r="O79">
        <v>0</v>
      </c>
      <c r="U79" t="s">
        <v>37</v>
      </c>
      <c r="V79" t="s">
        <v>38</v>
      </c>
      <c r="X79" t="s">
        <v>233</v>
      </c>
      <c r="Z79" t="s">
        <v>35</v>
      </c>
      <c r="AA79" t="s">
        <v>234</v>
      </c>
    </row>
    <row r="80" spans="1:27" x14ac:dyDescent="0.3">
      <c r="A80">
        <v>94</v>
      </c>
      <c r="B80">
        <v>528</v>
      </c>
      <c r="D80">
        <v>0</v>
      </c>
      <c r="E80" t="s">
        <v>27</v>
      </c>
      <c r="F80" s="9">
        <v>44477</v>
      </c>
      <c r="G80" t="s">
        <v>28</v>
      </c>
      <c r="H80" t="s">
        <v>29</v>
      </c>
      <c r="I80">
        <v>17</v>
      </c>
      <c r="J80">
        <v>311.762</v>
      </c>
      <c r="K80" t="s">
        <v>225</v>
      </c>
      <c r="L80" t="s">
        <v>226</v>
      </c>
      <c r="O80">
        <v>0</v>
      </c>
      <c r="U80" t="s">
        <v>37</v>
      </c>
      <c r="V80" t="s">
        <v>38</v>
      </c>
      <c r="X80" t="s">
        <v>235</v>
      </c>
      <c r="Z80" t="s">
        <v>35</v>
      </c>
      <c r="AA80" t="s">
        <v>236</v>
      </c>
    </row>
    <row r="81" spans="1:27" x14ac:dyDescent="0.3">
      <c r="A81">
        <v>95</v>
      </c>
      <c r="B81">
        <v>529</v>
      </c>
      <c r="D81">
        <v>0</v>
      </c>
      <c r="E81" t="s">
        <v>27</v>
      </c>
      <c r="F81" s="9">
        <v>44477</v>
      </c>
      <c r="G81" t="s">
        <v>28</v>
      </c>
      <c r="H81" t="s">
        <v>29</v>
      </c>
      <c r="I81">
        <v>17</v>
      </c>
      <c r="J81">
        <v>311.762</v>
      </c>
      <c r="K81" t="s">
        <v>225</v>
      </c>
      <c r="L81" t="s">
        <v>226</v>
      </c>
      <c r="O81">
        <v>0</v>
      </c>
      <c r="U81" t="s">
        <v>37</v>
      </c>
      <c r="V81" t="s">
        <v>38</v>
      </c>
      <c r="X81" t="s">
        <v>237</v>
      </c>
      <c r="Z81" t="s">
        <v>35</v>
      </c>
      <c r="AA81" t="s">
        <v>238</v>
      </c>
    </row>
    <row r="82" spans="1:27" x14ac:dyDescent="0.3">
      <c r="A82">
        <v>96</v>
      </c>
      <c r="B82">
        <v>530</v>
      </c>
      <c r="D82">
        <v>0</v>
      </c>
      <c r="E82" t="s">
        <v>27</v>
      </c>
      <c r="F82" s="9">
        <v>44477</v>
      </c>
      <c r="G82" t="s">
        <v>28</v>
      </c>
      <c r="H82" t="s">
        <v>29</v>
      </c>
      <c r="I82">
        <v>17</v>
      </c>
      <c r="J82">
        <v>311.762</v>
      </c>
      <c r="K82" t="s">
        <v>225</v>
      </c>
      <c r="L82" t="s">
        <v>226</v>
      </c>
      <c r="O82">
        <v>0</v>
      </c>
      <c r="U82" t="s">
        <v>49</v>
      </c>
      <c r="V82" t="s">
        <v>38</v>
      </c>
      <c r="X82" t="s">
        <v>239</v>
      </c>
      <c r="Z82" t="s">
        <v>35</v>
      </c>
      <c r="AA82" t="s">
        <v>240</v>
      </c>
    </row>
    <row r="83" spans="1:27" x14ac:dyDescent="0.3">
      <c r="A83">
        <v>97</v>
      </c>
      <c r="B83">
        <v>531</v>
      </c>
      <c r="D83">
        <v>0</v>
      </c>
      <c r="E83" t="s">
        <v>27</v>
      </c>
      <c r="F83" s="9">
        <v>44477</v>
      </c>
      <c r="G83" t="s">
        <v>28</v>
      </c>
      <c r="H83" t="s">
        <v>29</v>
      </c>
      <c r="I83">
        <v>17</v>
      </c>
      <c r="J83">
        <v>311.762</v>
      </c>
      <c r="K83" t="s">
        <v>225</v>
      </c>
      <c r="L83" t="s">
        <v>226</v>
      </c>
      <c r="O83">
        <v>0</v>
      </c>
      <c r="U83" t="s">
        <v>37</v>
      </c>
      <c r="V83" t="s">
        <v>38</v>
      </c>
      <c r="X83" t="s">
        <v>241</v>
      </c>
      <c r="Z83" t="s">
        <v>35</v>
      </c>
      <c r="AA83" t="s">
        <v>242</v>
      </c>
    </row>
    <row r="84" spans="1:27" x14ac:dyDescent="0.3">
      <c r="A84">
        <v>393</v>
      </c>
      <c r="B84">
        <v>544</v>
      </c>
      <c r="D84">
        <v>0</v>
      </c>
      <c r="E84" t="s">
        <v>27</v>
      </c>
      <c r="F84" s="9">
        <v>44517</v>
      </c>
      <c r="G84" t="s">
        <v>28</v>
      </c>
      <c r="H84" t="s">
        <v>29</v>
      </c>
      <c r="I84">
        <v>17</v>
      </c>
      <c r="J84">
        <v>323.88799999999998</v>
      </c>
      <c r="K84" t="s">
        <v>243</v>
      </c>
      <c r="L84" t="s">
        <v>244</v>
      </c>
      <c r="O84">
        <v>0</v>
      </c>
      <c r="U84" t="s">
        <v>37</v>
      </c>
      <c r="V84" t="s">
        <v>38</v>
      </c>
      <c r="X84" t="s">
        <v>245</v>
      </c>
      <c r="Z84" t="s">
        <v>35</v>
      </c>
      <c r="AA84" t="s">
        <v>246</v>
      </c>
    </row>
    <row r="85" spans="1:27" x14ac:dyDescent="0.3">
      <c r="A85">
        <v>394</v>
      </c>
      <c r="B85">
        <v>545</v>
      </c>
      <c r="D85">
        <v>0</v>
      </c>
      <c r="E85" t="s">
        <v>27</v>
      </c>
      <c r="F85" s="9">
        <v>44517</v>
      </c>
      <c r="G85" t="s">
        <v>28</v>
      </c>
      <c r="H85" t="s">
        <v>29</v>
      </c>
      <c r="I85">
        <v>17</v>
      </c>
      <c r="J85">
        <v>323.88799999999998</v>
      </c>
      <c r="K85" t="s">
        <v>243</v>
      </c>
      <c r="L85" t="s">
        <v>244</v>
      </c>
      <c r="O85">
        <v>0</v>
      </c>
      <c r="U85" t="s">
        <v>37</v>
      </c>
      <c r="V85" t="s">
        <v>38</v>
      </c>
      <c r="X85" t="s">
        <v>247</v>
      </c>
      <c r="Z85" t="s">
        <v>35</v>
      </c>
      <c r="AA85" t="s">
        <v>248</v>
      </c>
    </row>
    <row r="86" spans="1:27" x14ac:dyDescent="0.3">
      <c r="A86">
        <v>395</v>
      </c>
      <c r="B86">
        <v>546</v>
      </c>
      <c r="D86">
        <v>0</v>
      </c>
      <c r="E86" t="s">
        <v>27</v>
      </c>
      <c r="F86" s="9">
        <v>44517</v>
      </c>
      <c r="G86" t="s">
        <v>28</v>
      </c>
      <c r="H86" t="s">
        <v>29</v>
      </c>
      <c r="I86">
        <v>17</v>
      </c>
      <c r="J86">
        <v>323.88799999999998</v>
      </c>
      <c r="K86" t="s">
        <v>243</v>
      </c>
      <c r="L86" t="s">
        <v>244</v>
      </c>
      <c r="O86">
        <v>0</v>
      </c>
      <c r="U86" t="s">
        <v>37</v>
      </c>
      <c r="V86" t="s">
        <v>33</v>
      </c>
      <c r="Z86" t="s">
        <v>35</v>
      </c>
      <c r="AA86" t="s">
        <v>249</v>
      </c>
    </row>
    <row r="87" spans="1:27" x14ac:dyDescent="0.3">
      <c r="A87">
        <v>396</v>
      </c>
      <c r="B87">
        <v>547</v>
      </c>
      <c r="D87">
        <v>0</v>
      </c>
      <c r="E87" t="s">
        <v>27</v>
      </c>
      <c r="F87" s="9">
        <v>44517</v>
      </c>
      <c r="G87" t="s">
        <v>28</v>
      </c>
      <c r="H87" t="s">
        <v>29</v>
      </c>
      <c r="I87">
        <v>17</v>
      </c>
      <c r="J87">
        <v>324.93799999999999</v>
      </c>
      <c r="K87" t="s">
        <v>250</v>
      </c>
      <c r="L87" t="s">
        <v>251</v>
      </c>
      <c r="O87">
        <v>0</v>
      </c>
      <c r="U87" t="s">
        <v>37</v>
      </c>
      <c r="V87" t="s">
        <v>33</v>
      </c>
      <c r="Z87" t="s">
        <v>35</v>
      </c>
      <c r="AA87" t="s">
        <v>252</v>
      </c>
    </row>
    <row r="88" spans="1:27" x14ac:dyDescent="0.3">
      <c r="A88">
        <v>397</v>
      </c>
      <c r="B88">
        <v>548</v>
      </c>
      <c r="D88">
        <v>0</v>
      </c>
      <c r="E88" t="s">
        <v>27</v>
      </c>
      <c r="F88" s="9">
        <v>44517</v>
      </c>
      <c r="G88" t="s">
        <v>28</v>
      </c>
      <c r="H88" t="s">
        <v>29</v>
      </c>
      <c r="I88">
        <v>17</v>
      </c>
      <c r="J88">
        <v>324.93799999999999</v>
      </c>
      <c r="K88" t="s">
        <v>250</v>
      </c>
      <c r="L88" t="s">
        <v>251</v>
      </c>
      <c r="O88">
        <v>0</v>
      </c>
      <c r="U88" t="s">
        <v>32</v>
      </c>
      <c r="V88" t="s">
        <v>38</v>
      </c>
      <c r="Z88" t="s">
        <v>35</v>
      </c>
      <c r="AA88" t="s">
        <v>253</v>
      </c>
    </row>
    <row r="89" spans="1:27" x14ac:dyDescent="0.3">
      <c r="A89">
        <v>398</v>
      </c>
      <c r="B89">
        <v>549</v>
      </c>
      <c r="D89">
        <v>0</v>
      </c>
      <c r="E89" t="s">
        <v>27</v>
      </c>
      <c r="F89" s="9">
        <v>44517</v>
      </c>
      <c r="G89" t="s">
        <v>28</v>
      </c>
      <c r="H89" t="s">
        <v>29</v>
      </c>
      <c r="I89">
        <v>17</v>
      </c>
      <c r="J89">
        <v>324.93799999999999</v>
      </c>
      <c r="K89" t="s">
        <v>250</v>
      </c>
      <c r="L89" t="s">
        <v>251</v>
      </c>
      <c r="O89">
        <v>0</v>
      </c>
      <c r="U89" t="s">
        <v>32</v>
      </c>
      <c r="V89" t="s">
        <v>62</v>
      </c>
      <c r="Z89" t="s">
        <v>35</v>
      </c>
      <c r="AA89" t="s">
        <v>254</v>
      </c>
    </row>
    <row r="90" spans="1:27" x14ac:dyDescent="0.3">
      <c r="A90">
        <v>399</v>
      </c>
      <c r="B90">
        <v>550</v>
      </c>
      <c r="D90">
        <v>0</v>
      </c>
      <c r="E90" t="s">
        <v>27</v>
      </c>
      <c r="F90" s="9">
        <v>44517</v>
      </c>
      <c r="G90" t="s">
        <v>28</v>
      </c>
      <c r="H90" t="s">
        <v>29</v>
      </c>
      <c r="I90">
        <v>17</v>
      </c>
      <c r="J90">
        <v>324.93799999999999</v>
      </c>
      <c r="K90" t="s">
        <v>250</v>
      </c>
      <c r="L90" t="s">
        <v>251</v>
      </c>
      <c r="O90">
        <v>0</v>
      </c>
      <c r="U90" t="s">
        <v>32</v>
      </c>
      <c r="V90" t="s">
        <v>33</v>
      </c>
      <c r="Z90" t="s">
        <v>35</v>
      </c>
      <c r="AA90" t="s">
        <v>255</v>
      </c>
    </row>
    <row r="91" spans="1:27" x14ac:dyDescent="0.3">
      <c r="A91">
        <v>400</v>
      </c>
      <c r="B91">
        <v>551</v>
      </c>
      <c r="D91">
        <v>0</v>
      </c>
      <c r="E91" t="s">
        <v>27</v>
      </c>
      <c r="F91" s="9">
        <v>44517</v>
      </c>
      <c r="G91" t="s">
        <v>28</v>
      </c>
      <c r="H91" t="s">
        <v>29</v>
      </c>
      <c r="I91">
        <v>17</v>
      </c>
      <c r="J91">
        <v>324.93799999999999</v>
      </c>
      <c r="K91" t="s">
        <v>250</v>
      </c>
      <c r="L91" t="s">
        <v>251</v>
      </c>
      <c r="O91">
        <v>0</v>
      </c>
      <c r="U91" t="s">
        <v>37</v>
      </c>
      <c r="V91" t="s">
        <v>33</v>
      </c>
      <c r="Z91" t="s">
        <v>35</v>
      </c>
      <c r="AA91" t="s">
        <v>256</v>
      </c>
    </row>
    <row r="92" spans="1:27" x14ac:dyDescent="0.3">
      <c r="A92">
        <v>401</v>
      </c>
      <c r="B92">
        <v>552</v>
      </c>
      <c r="D92">
        <v>0</v>
      </c>
      <c r="E92" t="s">
        <v>27</v>
      </c>
      <c r="F92" s="9">
        <v>44517</v>
      </c>
      <c r="G92" t="s">
        <v>28</v>
      </c>
      <c r="H92" t="s">
        <v>29</v>
      </c>
      <c r="I92">
        <v>17</v>
      </c>
      <c r="J92">
        <v>326.24799999999999</v>
      </c>
      <c r="K92" t="s">
        <v>257</v>
      </c>
      <c r="L92" t="s">
        <v>258</v>
      </c>
      <c r="O92">
        <v>0</v>
      </c>
      <c r="U92" t="s">
        <v>37</v>
      </c>
      <c r="V92" t="s">
        <v>33</v>
      </c>
      <c r="Z92" t="s">
        <v>35</v>
      </c>
      <c r="AA92" t="s">
        <v>259</v>
      </c>
    </row>
    <row r="93" spans="1:27" x14ac:dyDescent="0.3">
      <c r="A93">
        <v>402</v>
      </c>
      <c r="B93">
        <v>553</v>
      </c>
      <c r="D93">
        <v>0</v>
      </c>
      <c r="E93" t="s">
        <v>27</v>
      </c>
      <c r="F93" s="9">
        <v>44517</v>
      </c>
      <c r="G93" t="s">
        <v>28</v>
      </c>
      <c r="H93" t="s">
        <v>29</v>
      </c>
      <c r="I93">
        <v>17</v>
      </c>
      <c r="J93">
        <v>326.24799999999999</v>
      </c>
      <c r="K93" t="s">
        <v>257</v>
      </c>
      <c r="L93" t="s">
        <v>258</v>
      </c>
      <c r="O93">
        <v>0</v>
      </c>
      <c r="U93" t="s">
        <v>37</v>
      </c>
      <c r="V93" t="s">
        <v>33</v>
      </c>
      <c r="Z93" t="s">
        <v>35</v>
      </c>
      <c r="AA93" t="s">
        <v>260</v>
      </c>
    </row>
    <row r="94" spans="1:27" x14ac:dyDescent="0.3">
      <c r="A94">
        <v>403</v>
      </c>
      <c r="B94">
        <v>554</v>
      </c>
      <c r="D94">
        <v>0</v>
      </c>
      <c r="E94" t="s">
        <v>27</v>
      </c>
      <c r="F94" s="9">
        <v>44517</v>
      </c>
      <c r="G94" t="s">
        <v>28</v>
      </c>
      <c r="H94" t="s">
        <v>29</v>
      </c>
      <c r="I94">
        <v>17</v>
      </c>
      <c r="J94">
        <v>326.24799999999999</v>
      </c>
      <c r="K94" t="s">
        <v>257</v>
      </c>
      <c r="L94" t="s">
        <v>258</v>
      </c>
      <c r="O94">
        <v>0</v>
      </c>
      <c r="U94" t="s">
        <v>37</v>
      </c>
      <c r="V94" t="s">
        <v>33</v>
      </c>
      <c r="Z94" t="s">
        <v>35</v>
      </c>
      <c r="AA94" t="s">
        <v>261</v>
      </c>
    </row>
    <row r="95" spans="1:27" x14ac:dyDescent="0.3">
      <c r="A95">
        <v>404</v>
      </c>
      <c r="B95">
        <v>555</v>
      </c>
      <c r="D95">
        <v>0</v>
      </c>
      <c r="E95" t="s">
        <v>27</v>
      </c>
      <c r="F95" s="9">
        <v>44517</v>
      </c>
      <c r="G95" t="s">
        <v>28</v>
      </c>
      <c r="H95" t="s">
        <v>29</v>
      </c>
      <c r="I95">
        <v>17</v>
      </c>
      <c r="J95">
        <v>326.24799999999999</v>
      </c>
      <c r="K95" t="s">
        <v>257</v>
      </c>
      <c r="L95" t="s">
        <v>258</v>
      </c>
      <c r="O95">
        <v>0</v>
      </c>
      <c r="U95" t="s">
        <v>32</v>
      </c>
      <c r="V95" t="s">
        <v>62</v>
      </c>
      <c r="Z95" t="s">
        <v>35</v>
      </c>
      <c r="AA95" t="s">
        <v>262</v>
      </c>
    </row>
    <row r="96" spans="1:27" x14ac:dyDescent="0.3">
      <c r="A96">
        <v>405</v>
      </c>
      <c r="B96">
        <v>556</v>
      </c>
      <c r="D96">
        <v>0</v>
      </c>
      <c r="E96" t="s">
        <v>27</v>
      </c>
      <c r="F96" s="9">
        <v>44517</v>
      </c>
      <c r="G96" t="s">
        <v>28</v>
      </c>
      <c r="H96" t="s">
        <v>29</v>
      </c>
      <c r="I96">
        <v>17</v>
      </c>
      <c r="J96">
        <v>326.24799999999999</v>
      </c>
      <c r="K96" t="s">
        <v>257</v>
      </c>
      <c r="L96" t="s">
        <v>258</v>
      </c>
      <c r="O96">
        <v>0</v>
      </c>
      <c r="U96" t="s">
        <v>32</v>
      </c>
      <c r="V96" t="s">
        <v>33</v>
      </c>
      <c r="Z96" t="s">
        <v>35</v>
      </c>
      <c r="AA96" t="s">
        <v>263</v>
      </c>
    </row>
    <row r="97" spans="1:27" x14ac:dyDescent="0.3">
      <c r="A97">
        <v>406</v>
      </c>
      <c r="B97">
        <v>557</v>
      </c>
      <c r="D97">
        <v>0</v>
      </c>
      <c r="E97" t="s">
        <v>27</v>
      </c>
      <c r="F97" s="9">
        <v>44517</v>
      </c>
      <c r="G97" t="s">
        <v>28</v>
      </c>
      <c r="H97" t="s">
        <v>29</v>
      </c>
      <c r="I97">
        <v>17</v>
      </c>
      <c r="J97">
        <v>327.42700000000002</v>
      </c>
      <c r="K97" t="s">
        <v>264</v>
      </c>
      <c r="L97" t="s">
        <v>265</v>
      </c>
      <c r="O97">
        <v>0</v>
      </c>
      <c r="U97" t="s">
        <v>37</v>
      </c>
      <c r="V97" t="s">
        <v>33</v>
      </c>
      <c r="Z97" t="s">
        <v>35</v>
      </c>
      <c r="AA97" t="s">
        <v>266</v>
      </c>
    </row>
    <row r="98" spans="1:27" x14ac:dyDescent="0.3">
      <c r="A98">
        <v>249617</v>
      </c>
      <c r="B98">
        <v>558</v>
      </c>
      <c r="D98">
        <v>0</v>
      </c>
      <c r="E98" t="s">
        <v>118</v>
      </c>
      <c r="F98" s="9">
        <v>45329</v>
      </c>
      <c r="G98" t="s">
        <v>267</v>
      </c>
      <c r="H98" t="s">
        <v>109</v>
      </c>
      <c r="I98">
        <v>17</v>
      </c>
      <c r="J98">
        <v>327.34899999999999</v>
      </c>
      <c r="K98" t="s">
        <v>264</v>
      </c>
      <c r="L98" t="s">
        <v>265</v>
      </c>
      <c r="P98">
        <v>-28.268971669999999</v>
      </c>
      <c r="R98">
        <v>-50.602686669999997</v>
      </c>
      <c r="T98" t="s">
        <v>268</v>
      </c>
      <c r="U98" t="s">
        <v>49</v>
      </c>
      <c r="V98" t="s">
        <v>33</v>
      </c>
      <c r="Z98" t="s">
        <v>35</v>
      </c>
    </row>
    <row r="99" spans="1:27" x14ac:dyDescent="0.3">
      <c r="A99">
        <v>408</v>
      </c>
      <c r="B99">
        <v>559</v>
      </c>
      <c r="D99">
        <v>0</v>
      </c>
      <c r="E99" t="s">
        <v>27</v>
      </c>
      <c r="F99" s="9">
        <v>44517</v>
      </c>
      <c r="G99" t="s">
        <v>28</v>
      </c>
      <c r="H99" t="s">
        <v>29</v>
      </c>
      <c r="I99">
        <v>17</v>
      </c>
      <c r="J99">
        <v>327.42700000000002</v>
      </c>
      <c r="K99" t="s">
        <v>264</v>
      </c>
      <c r="L99" t="s">
        <v>265</v>
      </c>
      <c r="O99">
        <v>0</v>
      </c>
      <c r="U99" t="s">
        <v>32</v>
      </c>
      <c r="V99" t="s">
        <v>62</v>
      </c>
      <c r="Z99" t="s">
        <v>35</v>
      </c>
      <c r="AA99" t="s">
        <v>269</v>
      </c>
    </row>
    <row r="100" spans="1:27" x14ac:dyDescent="0.3">
      <c r="A100">
        <v>409</v>
      </c>
      <c r="B100">
        <v>560</v>
      </c>
      <c r="D100">
        <v>0</v>
      </c>
      <c r="E100" t="s">
        <v>27</v>
      </c>
      <c r="F100" s="9">
        <v>44517</v>
      </c>
      <c r="G100" t="s">
        <v>28</v>
      </c>
      <c r="H100" t="s">
        <v>29</v>
      </c>
      <c r="I100">
        <v>17</v>
      </c>
      <c r="J100">
        <v>327.42700000000002</v>
      </c>
      <c r="K100" t="s">
        <v>264</v>
      </c>
      <c r="L100" t="s">
        <v>265</v>
      </c>
      <c r="O100">
        <v>0</v>
      </c>
      <c r="U100" t="s">
        <v>37</v>
      </c>
      <c r="V100" t="s">
        <v>33</v>
      </c>
      <c r="Z100" t="s">
        <v>35</v>
      </c>
      <c r="AA100" t="s">
        <v>270</v>
      </c>
    </row>
    <row r="101" spans="1:27" x14ac:dyDescent="0.3">
      <c r="A101">
        <v>410</v>
      </c>
      <c r="B101">
        <v>561</v>
      </c>
      <c r="D101">
        <v>0</v>
      </c>
      <c r="E101" t="s">
        <v>27</v>
      </c>
      <c r="F101" s="9">
        <v>44517</v>
      </c>
      <c r="G101" t="s">
        <v>28</v>
      </c>
      <c r="H101" t="s">
        <v>29</v>
      </c>
      <c r="I101">
        <v>17</v>
      </c>
      <c r="J101">
        <v>327.42700000000002</v>
      </c>
      <c r="K101" t="s">
        <v>264</v>
      </c>
      <c r="L101" t="s">
        <v>265</v>
      </c>
      <c r="O101">
        <v>0</v>
      </c>
      <c r="U101" t="s">
        <v>32</v>
      </c>
      <c r="V101" t="s">
        <v>33</v>
      </c>
      <c r="Z101" t="s">
        <v>35</v>
      </c>
      <c r="AA101" t="s">
        <v>271</v>
      </c>
    </row>
    <row r="102" spans="1:27" x14ac:dyDescent="0.3">
      <c r="A102">
        <v>411</v>
      </c>
      <c r="B102">
        <v>562</v>
      </c>
      <c r="D102">
        <v>0</v>
      </c>
      <c r="E102" t="s">
        <v>27</v>
      </c>
      <c r="F102" s="9">
        <v>44523</v>
      </c>
      <c r="G102" t="s">
        <v>28</v>
      </c>
      <c r="H102" t="s">
        <v>29</v>
      </c>
      <c r="I102">
        <v>17</v>
      </c>
      <c r="J102">
        <v>328.73700000000002</v>
      </c>
      <c r="K102" t="s">
        <v>272</v>
      </c>
      <c r="L102" t="s">
        <v>273</v>
      </c>
      <c r="O102">
        <v>0</v>
      </c>
      <c r="U102" t="s">
        <v>37</v>
      </c>
      <c r="V102" t="s">
        <v>33</v>
      </c>
      <c r="Z102" t="s">
        <v>35</v>
      </c>
      <c r="AA102" t="s">
        <v>274</v>
      </c>
    </row>
    <row r="103" spans="1:27" x14ac:dyDescent="0.3">
      <c r="A103">
        <v>412</v>
      </c>
      <c r="B103">
        <v>563</v>
      </c>
      <c r="D103">
        <v>0</v>
      </c>
      <c r="E103" t="s">
        <v>27</v>
      </c>
      <c r="F103" s="9">
        <v>44523</v>
      </c>
      <c r="G103" t="s">
        <v>28</v>
      </c>
      <c r="H103" t="s">
        <v>29</v>
      </c>
      <c r="I103">
        <v>17</v>
      </c>
      <c r="J103">
        <v>328.73700000000002</v>
      </c>
      <c r="K103" t="s">
        <v>272</v>
      </c>
      <c r="L103" t="s">
        <v>273</v>
      </c>
      <c r="O103">
        <v>0</v>
      </c>
      <c r="U103" t="s">
        <v>37</v>
      </c>
      <c r="V103" t="s">
        <v>62</v>
      </c>
      <c r="Z103" t="s">
        <v>35</v>
      </c>
      <c r="AA103" t="s">
        <v>275</v>
      </c>
    </row>
    <row r="104" spans="1:27" x14ac:dyDescent="0.3">
      <c r="A104">
        <v>413</v>
      </c>
      <c r="B104">
        <v>564</v>
      </c>
      <c r="D104">
        <v>0</v>
      </c>
      <c r="E104" t="s">
        <v>27</v>
      </c>
      <c r="F104" s="9">
        <v>44523</v>
      </c>
      <c r="G104" t="s">
        <v>28</v>
      </c>
      <c r="H104" t="s">
        <v>29</v>
      </c>
      <c r="I104">
        <v>17</v>
      </c>
      <c r="J104">
        <v>328.73700000000002</v>
      </c>
      <c r="K104" t="s">
        <v>272</v>
      </c>
      <c r="L104" t="s">
        <v>273</v>
      </c>
      <c r="O104">
        <v>0</v>
      </c>
      <c r="U104" t="s">
        <v>49</v>
      </c>
      <c r="V104" t="s">
        <v>38</v>
      </c>
      <c r="Z104" t="s">
        <v>35</v>
      </c>
      <c r="AA104" t="s">
        <v>276</v>
      </c>
    </row>
    <row r="105" spans="1:27" x14ac:dyDescent="0.3">
      <c r="A105">
        <v>414</v>
      </c>
      <c r="B105">
        <v>565</v>
      </c>
      <c r="D105">
        <v>0</v>
      </c>
      <c r="E105" t="s">
        <v>27</v>
      </c>
      <c r="F105" s="9">
        <v>44523</v>
      </c>
      <c r="G105" t="s">
        <v>28</v>
      </c>
      <c r="H105" t="s">
        <v>29</v>
      </c>
      <c r="I105">
        <v>17</v>
      </c>
      <c r="J105">
        <v>328.73700000000002</v>
      </c>
      <c r="K105" t="s">
        <v>272</v>
      </c>
      <c r="L105" t="s">
        <v>273</v>
      </c>
      <c r="O105">
        <v>0</v>
      </c>
      <c r="U105" t="s">
        <v>37</v>
      </c>
      <c r="V105" t="s">
        <v>38</v>
      </c>
      <c r="Z105" t="s">
        <v>35</v>
      </c>
      <c r="AA105" t="s">
        <v>277</v>
      </c>
    </row>
    <row r="106" spans="1:27" x14ac:dyDescent="0.3">
      <c r="A106">
        <v>415</v>
      </c>
      <c r="B106">
        <v>566</v>
      </c>
      <c r="D106">
        <v>0</v>
      </c>
      <c r="E106" t="s">
        <v>27</v>
      </c>
      <c r="F106" s="9">
        <v>44523</v>
      </c>
      <c r="G106" t="s">
        <v>28</v>
      </c>
      <c r="H106" t="s">
        <v>29</v>
      </c>
      <c r="I106">
        <v>17</v>
      </c>
      <c r="J106">
        <v>328.73700000000002</v>
      </c>
      <c r="K106" t="s">
        <v>272</v>
      </c>
      <c r="L106" t="s">
        <v>273</v>
      </c>
      <c r="O106">
        <v>0</v>
      </c>
      <c r="U106" t="s">
        <v>37</v>
      </c>
      <c r="V106" t="s">
        <v>33</v>
      </c>
      <c r="Z106" t="s">
        <v>35</v>
      </c>
      <c r="AA106" t="s">
        <v>278</v>
      </c>
    </row>
    <row r="107" spans="1:27" x14ac:dyDescent="0.3">
      <c r="A107">
        <v>416</v>
      </c>
      <c r="B107">
        <v>567</v>
      </c>
      <c r="D107">
        <v>0</v>
      </c>
      <c r="E107" t="s">
        <v>27</v>
      </c>
      <c r="F107" s="9">
        <v>44523</v>
      </c>
      <c r="G107" t="s">
        <v>28</v>
      </c>
      <c r="H107" t="s">
        <v>29</v>
      </c>
      <c r="I107">
        <v>17</v>
      </c>
      <c r="J107">
        <v>329.84300000000002</v>
      </c>
      <c r="K107" t="s">
        <v>279</v>
      </c>
      <c r="L107" t="s">
        <v>280</v>
      </c>
      <c r="O107">
        <v>0</v>
      </c>
      <c r="U107" t="s">
        <v>37</v>
      </c>
      <c r="V107" t="s">
        <v>38</v>
      </c>
      <c r="Z107" t="s">
        <v>35</v>
      </c>
      <c r="AA107" t="s">
        <v>281</v>
      </c>
    </row>
    <row r="108" spans="1:27" x14ac:dyDescent="0.3">
      <c r="A108">
        <v>417</v>
      </c>
      <c r="B108">
        <v>568</v>
      </c>
      <c r="D108">
        <v>0</v>
      </c>
      <c r="E108" t="s">
        <v>27</v>
      </c>
      <c r="F108" s="9">
        <v>44523</v>
      </c>
      <c r="G108" t="s">
        <v>28</v>
      </c>
      <c r="H108" t="s">
        <v>29</v>
      </c>
      <c r="I108">
        <v>17</v>
      </c>
      <c r="J108">
        <v>329.84300000000002</v>
      </c>
      <c r="K108" t="s">
        <v>279</v>
      </c>
      <c r="L108" t="s">
        <v>280</v>
      </c>
      <c r="O108">
        <v>0</v>
      </c>
      <c r="U108" t="s">
        <v>32</v>
      </c>
      <c r="V108" t="s">
        <v>38</v>
      </c>
      <c r="Z108" t="s">
        <v>35</v>
      </c>
      <c r="AA108" t="s">
        <v>282</v>
      </c>
    </row>
    <row r="109" spans="1:27" x14ac:dyDescent="0.3">
      <c r="A109">
        <v>418</v>
      </c>
      <c r="B109">
        <v>569</v>
      </c>
      <c r="D109">
        <v>0</v>
      </c>
      <c r="E109" t="s">
        <v>27</v>
      </c>
      <c r="F109" s="9">
        <v>44523</v>
      </c>
      <c r="G109" t="s">
        <v>28</v>
      </c>
      <c r="H109" t="s">
        <v>29</v>
      </c>
      <c r="I109">
        <v>17</v>
      </c>
      <c r="J109">
        <v>331.22899999999998</v>
      </c>
      <c r="K109" t="s">
        <v>283</v>
      </c>
      <c r="L109" t="s">
        <v>284</v>
      </c>
      <c r="O109">
        <v>0</v>
      </c>
      <c r="U109" t="s">
        <v>49</v>
      </c>
      <c r="V109" t="s">
        <v>38</v>
      </c>
      <c r="Z109" t="s">
        <v>35</v>
      </c>
      <c r="AA109" t="s">
        <v>285</v>
      </c>
    </row>
    <row r="110" spans="1:27" x14ac:dyDescent="0.3">
      <c r="A110">
        <v>419</v>
      </c>
      <c r="B110">
        <v>570</v>
      </c>
      <c r="D110">
        <v>0</v>
      </c>
      <c r="E110" t="s">
        <v>27</v>
      </c>
      <c r="F110" s="9">
        <v>44523</v>
      </c>
      <c r="G110" t="s">
        <v>28</v>
      </c>
      <c r="H110" t="s">
        <v>29</v>
      </c>
      <c r="I110">
        <v>17</v>
      </c>
      <c r="J110">
        <v>331.22899999999998</v>
      </c>
      <c r="K110" t="s">
        <v>283</v>
      </c>
      <c r="L110" t="s">
        <v>284</v>
      </c>
      <c r="O110">
        <v>0</v>
      </c>
      <c r="U110" t="s">
        <v>94</v>
      </c>
      <c r="V110" t="s">
        <v>33</v>
      </c>
      <c r="Z110" t="s">
        <v>35</v>
      </c>
      <c r="AA110" t="s">
        <v>286</v>
      </c>
    </row>
    <row r="111" spans="1:27" x14ac:dyDescent="0.3">
      <c r="A111">
        <v>420</v>
      </c>
      <c r="B111">
        <v>571</v>
      </c>
      <c r="D111">
        <v>0</v>
      </c>
      <c r="E111" t="s">
        <v>27</v>
      </c>
      <c r="F111" s="9">
        <v>44523</v>
      </c>
      <c r="G111" t="s">
        <v>28</v>
      </c>
      <c r="H111" t="s">
        <v>29</v>
      </c>
      <c r="I111">
        <v>17</v>
      </c>
      <c r="J111">
        <v>331.22899999999998</v>
      </c>
      <c r="K111" t="s">
        <v>283</v>
      </c>
      <c r="L111" t="s">
        <v>284</v>
      </c>
      <c r="O111">
        <v>0</v>
      </c>
      <c r="U111" t="s">
        <v>32</v>
      </c>
      <c r="V111" t="s">
        <v>38</v>
      </c>
      <c r="Z111" t="s">
        <v>35</v>
      </c>
      <c r="AA111" t="s">
        <v>287</v>
      </c>
    </row>
    <row r="112" spans="1:27" x14ac:dyDescent="0.3">
      <c r="A112">
        <v>421</v>
      </c>
      <c r="B112">
        <v>572</v>
      </c>
      <c r="D112">
        <v>0</v>
      </c>
      <c r="E112" t="s">
        <v>27</v>
      </c>
      <c r="F112" s="9">
        <v>44523</v>
      </c>
      <c r="G112" t="s">
        <v>28</v>
      </c>
      <c r="H112" t="s">
        <v>29</v>
      </c>
      <c r="I112">
        <v>17</v>
      </c>
      <c r="J112">
        <v>331.22899999999998</v>
      </c>
      <c r="K112" t="s">
        <v>283</v>
      </c>
      <c r="L112" t="s">
        <v>284</v>
      </c>
      <c r="O112">
        <v>0</v>
      </c>
      <c r="U112" t="s">
        <v>32</v>
      </c>
      <c r="V112" t="s">
        <v>38</v>
      </c>
      <c r="Z112" t="s">
        <v>35</v>
      </c>
      <c r="AA112" t="s">
        <v>288</v>
      </c>
    </row>
    <row r="113" spans="1:27" x14ac:dyDescent="0.3">
      <c r="A113">
        <v>422</v>
      </c>
      <c r="B113">
        <v>573</v>
      </c>
      <c r="D113">
        <v>0</v>
      </c>
      <c r="E113" t="s">
        <v>27</v>
      </c>
      <c r="F113" s="9">
        <v>44523</v>
      </c>
      <c r="G113" t="s">
        <v>28</v>
      </c>
      <c r="H113" t="s">
        <v>29</v>
      </c>
      <c r="I113">
        <v>17</v>
      </c>
      <c r="J113">
        <v>331.22899999999998</v>
      </c>
      <c r="K113" t="s">
        <v>283</v>
      </c>
      <c r="L113" t="s">
        <v>284</v>
      </c>
      <c r="O113">
        <v>0</v>
      </c>
      <c r="U113" t="s">
        <v>37</v>
      </c>
      <c r="V113" t="s">
        <v>33</v>
      </c>
      <c r="Z113" t="s">
        <v>35</v>
      </c>
      <c r="AA113" t="s">
        <v>289</v>
      </c>
    </row>
    <row r="114" spans="1:27" x14ac:dyDescent="0.3">
      <c r="A114">
        <v>423</v>
      </c>
      <c r="B114">
        <v>574</v>
      </c>
      <c r="D114">
        <v>0</v>
      </c>
      <c r="E114" t="s">
        <v>27</v>
      </c>
      <c r="F114" s="9">
        <v>44523</v>
      </c>
      <c r="G114" t="s">
        <v>28</v>
      </c>
      <c r="H114" t="s">
        <v>29</v>
      </c>
      <c r="I114">
        <v>17</v>
      </c>
      <c r="J114">
        <v>331.22899999999998</v>
      </c>
      <c r="K114" t="s">
        <v>283</v>
      </c>
      <c r="L114" t="s">
        <v>284</v>
      </c>
      <c r="O114">
        <v>0</v>
      </c>
      <c r="U114" t="s">
        <v>37</v>
      </c>
      <c r="V114" t="s">
        <v>38</v>
      </c>
      <c r="Z114" t="s">
        <v>35</v>
      </c>
      <c r="AA114" t="s">
        <v>290</v>
      </c>
    </row>
    <row r="115" spans="1:27" x14ac:dyDescent="0.3">
      <c r="A115">
        <v>424</v>
      </c>
      <c r="B115">
        <v>575</v>
      </c>
      <c r="D115">
        <v>0</v>
      </c>
      <c r="E115" t="s">
        <v>27</v>
      </c>
      <c r="F115" s="9">
        <v>44523</v>
      </c>
      <c r="G115" t="s">
        <v>28</v>
      </c>
      <c r="H115" t="s">
        <v>29</v>
      </c>
      <c r="I115">
        <v>17</v>
      </c>
      <c r="J115">
        <v>332.24799999999999</v>
      </c>
      <c r="K115" t="s">
        <v>291</v>
      </c>
      <c r="L115" t="s">
        <v>292</v>
      </c>
      <c r="O115">
        <v>0</v>
      </c>
      <c r="U115" t="s">
        <v>293</v>
      </c>
      <c r="V115" t="s">
        <v>38</v>
      </c>
      <c r="Z115" t="s">
        <v>35</v>
      </c>
      <c r="AA115" t="s">
        <v>294</v>
      </c>
    </row>
    <row r="116" spans="1:27" x14ac:dyDescent="0.3">
      <c r="A116">
        <v>425</v>
      </c>
      <c r="B116">
        <v>577</v>
      </c>
      <c r="D116">
        <v>0</v>
      </c>
      <c r="E116" t="s">
        <v>27</v>
      </c>
      <c r="F116" s="9">
        <v>44523</v>
      </c>
      <c r="G116" t="s">
        <v>28</v>
      </c>
      <c r="H116" t="s">
        <v>29</v>
      </c>
      <c r="I116">
        <v>17</v>
      </c>
      <c r="J116">
        <v>332.24799999999999</v>
      </c>
      <c r="K116" t="s">
        <v>291</v>
      </c>
      <c r="L116" t="s">
        <v>292</v>
      </c>
      <c r="O116">
        <v>0</v>
      </c>
      <c r="U116" t="s">
        <v>37</v>
      </c>
      <c r="V116" t="s">
        <v>38</v>
      </c>
      <c r="Z116" t="s">
        <v>35</v>
      </c>
      <c r="AA116" t="s">
        <v>295</v>
      </c>
    </row>
    <row r="117" spans="1:27" x14ac:dyDescent="0.3">
      <c r="A117">
        <v>426</v>
      </c>
      <c r="B117">
        <v>579</v>
      </c>
      <c r="D117">
        <v>0</v>
      </c>
      <c r="E117" t="s">
        <v>27</v>
      </c>
      <c r="F117" s="9">
        <v>44523</v>
      </c>
      <c r="G117" t="s">
        <v>28</v>
      </c>
      <c r="H117" t="s">
        <v>29</v>
      </c>
      <c r="I117">
        <v>17</v>
      </c>
      <c r="J117">
        <v>332.24799999999999</v>
      </c>
      <c r="K117" t="s">
        <v>291</v>
      </c>
      <c r="L117" t="s">
        <v>292</v>
      </c>
      <c r="O117">
        <v>0</v>
      </c>
      <c r="U117" t="s">
        <v>37</v>
      </c>
      <c r="V117" t="s">
        <v>38</v>
      </c>
      <c r="Z117" t="s">
        <v>35</v>
      </c>
      <c r="AA117" t="s">
        <v>296</v>
      </c>
    </row>
    <row r="118" spans="1:27" x14ac:dyDescent="0.3">
      <c r="A118">
        <v>427</v>
      </c>
      <c r="B118">
        <v>580</v>
      </c>
      <c r="D118">
        <v>0</v>
      </c>
      <c r="E118" t="s">
        <v>27</v>
      </c>
      <c r="F118" s="9">
        <v>44523</v>
      </c>
      <c r="G118" t="s">
        <v>28</v>
      </c>
      <c r="H118" t="s">
        <v>29</v>
      </c>
      <c r="I118">
        <v>17</v>
      </c>
      <c r="J118">
        <v>332.24799999999999</v>
      </c>
      <c r="K118" t="s">
        <v>291</v>
      </c>
      <c r="L118" t="s">
        <v>292</v>
      </c>
      <c r="O118">
        <v>0</v>
      </c>
      <c r="U118" t="s">
        <v>32</v>
      </c>
      <c r="V118" t="s">
        <v>38</v>
      </c>
      <c r="Z118" t="s">
        <v>35</v>
      </c>
      <c r="AA118" t="s">
        <v>297</v>
      </c>
    </row>
    <row r="119" spans="1:27" x14ac:dyDescent="0.3">
      <c r="A119">
        <v>428</v>
      </c>
      <c r="B119">
        <v>581</v>
      </c>
      <c r="D119">
        <v>0</v>
      </c>
      <c r="E119" t="s">
        <v>27</v>
      </c>
      <c r="F119" s="9">
        <v>44523</v>
      </c>
      <c r="G119" t="s">
        <v>28</v>
      </c>
      <c r="H119" t="s">
        <v>29</v>
      </c>
      <c r="I119">
        <v>17</v>
      </c>
      <c r="J119">
        <v>332.80799999999999</v>
      </c>
      <c r="K119" t="s">
        <v>298</v>
      </c>
      <c r="L119" t="s">
        <v>299</v>
      </c>
      <c r="O119">
        <v>0</v>
      </c>
      <c r="U119" t="s">
        <v>37</v>
      </c>
      <c r="V119" t="s">
        <v>38</v>
      </c>
      <c r="Z119" t="s">
        <v>35</v>
      </c>
      <c r="AA119" t="s">
        <v>300</v>
      </c>
    </row>
    <row r="120" spans="1:27" x14ac:dyDescent="0.3">
      <c r="A120">
        <v>429</v>
      </c>
      <c r="B120">
        <v>582</v>
      </c>
      <c r="D120">
        <v>0</v>
      </c>
      <c r="E120" t="s">
        <v>27</v>
      </c>
      <c r="F120" s="9">
        <v>44523</v>
      </c>
      <c r="G120" t="s">
        <v>28</v>
      </c>
      <c r="H120" t="s">
        <v>29</v>
      </c>
      <c r="I120">
        <v>17</v>
      </c>
      <c r="J120">
        <v>332.80799999999999</v>
      </c>
      <c r="K120" t="s">
        <v>298</v>
      </c>
      <c r="L120" t="s">
        <v>299</v>
      </c>
      <c r="O120">
        <v>0</v>
      </c>
      <c r="U120" t="s">
        <v>94</v>
      </c>
      <c r="V120" t="s">
        <v>33</v>
      </c>
      <c r="Z120" t="s">
        <v>35</v>
      </c>
      <c r="AA120" t="s">
        <v>301</v>
      </c>
    </row>
    <row r="121" spans="1:27" x14ac:dyDescent="0.3">
      <c r="A121">
        <v>430</v>
      </c>
      <c r="B121">
        <v>583</v>
      </c>
      <c r="D121">
        <v>0</v>
      </c>
      <c r="E121" t="s">
        <v>27</v>
      </c>
      <c r="F121" s="9">
        <v>44523</v>
      </c>
      <c r="G121" t="s">
        <v>28</v>
      </c>
      <c r="H121" t="s">
        <v>29</v>
      </c>
      <c r="I121">
        <v>17</v>
      </c>
      <c r="J121">
        <v>332.80799999999999</v>
      </c>
      <c r="K121" t="s">
        <v>298</v>
      </c>
      <c r="L121" t="s">
        <v>299</v>
      </c>
      <c r="O121">
        <v>0</v>
      </c>
      <c r="U121" t="s">
        <v>32</v>
      </c>
      <c r="V121" t="s">
        <v>33</v>
      </c>
      <c r="Z121" t="s">
        <v>35</v>
      </c>
      <c r="AA121" t="s">
        <v>302</v>
      </c>
    </row>
    <row r="122" spans="1:27" x14ac:dyDescent="0.3">
      <c r="A122">
        <v>431</v>
      </c>
      <c r="B122">
        <v>584</v>
      </c>
      <c r="D122">
        <v>0</v>
      </c>
      <c r="E122" t="s">
        <v>27</v>
      </c>
      <c r="F122" s="9">
        <v>44523</v>
      </c>
      <c r="G122" t="s">
        <v>28</v>
      </c>
      <c r="H122" t="s">
        <v>29</v>
      </c>
      <c r="I122">
        <v>17</v>
      </c>
      <c r="J122">
        <v>332.80799999999999</v>
      </c>
      <c r="K122" t="s">
        <v>298</v>
      </c>
      <c r="L122" t="s">
        <v>299</v>
      </c>
      <c r="O122">
        <v>0</v>
      </c>
      <c r="U122" t="s">
        <v>32</v>
      </c>
      <c r="V122" t="s">
        <v>38</v>
      </c>
      <c r="Z122" t="s">
        <v>35</v>
      </c>
      <c r="AA122" t="s">
        <v>303</v>
      </c>
    </row>
    <row r="123" spans="1:27" x14ac:dyDescent="0.3">
      <c r="A123">
        <v>432</v>
      </c>
      <c r="B123">
        <v>585</v>
      </c>
      <c r="D123">
        <v>0</v>
      </c>
      <c r="E123" t="s">
        <v>27</v>
      </c>
      <c r="F123" s="9">
        <v>44523</v>
      </c>
      <c r="G123" t="s">
        <v>28</v>
      </c>
      <c r="H123" t="s">
        <v>29</v>
      </c>
      <c r="I123">
        <v>17</v>
      </c>
      <c r="J123">
        <v>332.80799999999999</v>
      </c>
      <c r="K123" t="s">
        <v>298</v>
      </c>
      <c r="L123" t="s">
        <v>299</v>
      </c>
      <c r="O123">
        <v>0</v>
      </c>
      <c r="U123" t="s">
        <v>37</v>
      </c>
      <c r="V123" t="s">
        <v>38</v>
      </c>
      <c r="Z123" t="s">
        <v>35</v>
      </c>
      <c r="AA123" t="s">
        <v>304</v>
      </c>
    </row>
    <row r="124" spans="1:27" x14ac:dyDescent="0.3">
      <c r="A124">
        <v>433</v>
      </c>
      <c r="B124">
        <v>586</v>
      </c>
      <c r="D124">
        <v>0</v>
      </c>
      <c r="E124" t="s">
        <v>27</v>
      </c>
      <c r="F124" s="9">
        <v>44523</v>
      </c>
      <c r="G124" t="s">
        <v>28</v>
      </c>
      <c r="H124" t="s">
        <v>29</v>
      </c>
      <c r="I124">
        <v>17</v>
      </c>
      <c r="J124">
        <v>333.14299999999997</v>
      </c>
      <c r="K124" t="s">
        <v>305</v>
      </c>
      <c r="L124" t="s">
        <v>306</v>
      </c>
      <c r="O124">
        <v>0</v>
      </c>
      <c r="U124" t="s">
        <v>37</v>
      </c>
      <c r="V124" t="s">
        <v>38</v>
      </c>
      <c r="Z124" t="s">
        <v>35</v>
      </c>
      <c r="AA124" t="s">
        <v>307</v>
      </c>
    </row>
    <row r="125" spans="1:27" x14ac:dyDescent="0.3">
      <c r="A125">
        <v>434</v>
      </c>
      <c r="B125">
        <v>587</v>
      </c>
      <c r="D125">
        <v>0</v>
      </c>
      <c r="E125" t="s">
        <v>27</v>
      </c>
      <c r="F125" s="9">
        <v>44523</v>
      </c>
      <c r="G125" t="s">
        <v>28</v>
      </c>
      <c r="H125" t="s">
        <v>29</v>
      </c>
      <c r="I125">
        <v>17</v>
      </c>
      <c r="J125">
        <v>333.14299999999997</v>
      </c>
      <c r="K125" t="s">
        <v>305</v>
      </c>
      <c r="L125" t="s">
        <v>306</v>
      </c>
      <c r="O125">
        <v>0</v>
      </c>
      <c r="U125" t="s">
        <v>293</v>
      </c>
      <c r="V125" t="s">
        <v>38</v>
      </c>
      <c r="Z125" t="s">
        <v>35</v>
      </c>
      <c r="AA125" t="s">
        <v>308</v>
      </c>
    </row>
    <row r="126" spans="1:27" x14ac:dyDescent="0.3">
      <c r="A126">
        <v>435</v>
      </c>
      <c r="B126">
        <v>588</v>
      </c>
      <c r="D126">
        <v>0</v>
      </c>
      <c r="E126" t="s">
        <v>27</v>
      </c>
      <c r="F126" s="9">
        <v>44523</v>
      </c>
      <c r="G126" t="s">
        <v>28</v>
      </c>
      <c r="H126" t="s">
        <v>29</v>
      </c>
      <c r="I126">
        <v>17</v>
      </c>
      <c r="J126">
        <v>333.14299999999997</v>
      </c>
      <c r="K126" t="s">
        <v>305</v>
      </c>
      <c r="L126" t="s">
        <v>306</v>
      </c>
      <c r="O126">
        <v>0</v>
      </c>
      <c r="U126" t="s">
        <v>144</v>
      </c>
      <c r="V126" t="s">
        <v>38</v>
      </c>
      <c r="Z126" t="s">
        <v>35</v>
      </c>
      <c r="AA126" t="s">
        <v>309</v>
      </c>
    </row>
    <row r="127" spans="1:27" x14ac:dyDescent="0.3">
      <c r="A127">
        <v>436</v>
      </c>
      <c r="B127">
        <v>589</v>
      </c>
      <c r="D127">
        <v>0</v>
      </c>
      <c r="E127" t="s">
        <v>27</v>
      </c>
      <c r="F127" s="9">
        <v>44523</v>
      </c>
      <c r="G127" t="s">
        <v>28</v>
      </c>
      <c r="H127" t="s">
        <v>29</v>
      </c>
      <c r="I127">
        <v>17</v>
      </c>
      <c r="J127">
        <v>333.14299999999997</v>
      </c>
      <c r="K127" t="s">
        <v>305</v>
      </c>
      <c r="L127" t="s">
        <v>306</v>
      </c>
      <c r="O127">
        <v>0</v>
      </c>
      <c r="U127" t="s">
        <v>37</v>
      </c>
      <c r="V127" t="s">
        <v>38</v>
      </c>
      <c r="Z127" t="s">
        <v>35</v>
      </c>
      <c r="AA127" t="s">
        <v>310</v>
      </c>
    </row>
    <row r="128" spans="1:27" x14ac:dyDescent="0.3">
      <c r="A128">
        <v>437</v>
      </c>
      <c r="B128">
        <v>590</v>
      </c>
      <c r="D128">
        <v>0</v>
      </c>
      <c r="E128" t="s">
        <v>27</v>
      </c>
      <c r="F128" s="9">
        <v>44523</v>
      </c>
      <c r="G128" t="s">
        <v>28</v>
      </c>
      <c r="H128" t="s">
        <v>29</v>
      </c>
      <c r="I128">
        <v>17</v>
      </c>
      <c r="J128">
        <v>333.14299999999997</v>
      </c>
      <c r="K128" t="s">
        <v>305</v>
      </c>
      <c r="L128" t="s">
        <v>306</v>
      </c>
      <c r="O128">
        <v>0</v>
      </c>
      <c r="U128" t="s">
        <v>37</v>
      </c>
      <c r="V128" t="s">
        <v>38</v>
      </c>
      <c r="Z128" t="s">
        <v>35</v>
      </c>
      <c r="AA128" t="s">
        <v>311</v>
      </c>
    </row>
    <row r="129" spans="1:27" x14ac:dyDescent="0.3">
      <c r="A129">
        <v>438</v>
      </c>
      <c r="B129">
        <v>591</v>
      </c>
      <c r="D129">
        <v>0</v>
      </c>
      <c r="E129" t="s">
        <v>27</v>
      </c>
      <c r="F129" s="9">
        <v>44523</v>
      </c>
      <c r="G129" t="s">
        <v>28</v>
      </c>
      <c r="H129" t="s">
        <v>29</v>
      </c>
      <c r="I129">
        <v>17</v>
      </c>
      <c r="J129">
        <v>333.14299999999997</v>
      </c>
      <c r="K129" t="s">
        <v>305</v>
      </c>
      <c r="L129" t="s">
        <v>306</v>
      </c>
      <c r="O129">
        <v>0</v>
      </c>
      <c r="U129" t="s">
        <v>144</v>
      </c>
      <c r="V129" t="s">
        <v>38</v>
      </c>
      <c r="Z129" t="s">
        <v>35</v>
      </c>
      <c r="AA129" t="s">
        <v>312</v>
      </c>
    </row>
    <row r="130" spans="1:27" x14ac:dyDescent="0.3">
      <c r="A130">
        <v>439</v>
      </c>
      <c r="B130">
        <v>592</v>
      </c>
      <c r="D130">
        <v>0</v>
      </c>
      <c r="E130" t="s">
        <v>27</v>
      </c>
      <c r="F130" s="9">
        <v>44523</v>
      </c>
      <c r="G130" t="s">
        <v>28</v>
      </c>
      <c r="H130" t="s">
        <v>29</v>
      </c>
      <c r="I130">
        <v>17</v>
      </c>
      <c r="J130">
        <v>333.14299999999997</v>
      </c>
      <c r="K130" t="s">
        <v>305</v>
      </c>
      <c r="L130" t="s">
        <v>306</v>
      </c>
      <c r="O130">
        <v>0</v>
      </c>
      <c r="U130" t="s">
        <v>144</v>
      </c>
      <c r="V130" t="s">
        <v>38</v>
      </c>
      <c r="Z130" t="s">
        <v>35</v>
      </c>
      <c r="AA130" t="s">
        <v>313</v>
      </c>
    </row>
    <row r="131" spans="1:27" x14ac:dyDescent="0.3">
      <c r="A131">
        <v>440</v>
      </c>
      <c r="B131">
        <v>593</v>
      </c>
      <c r="D131">
        <v>0</v>
      </c>
      <c r="E131" t="s">
        <v>27</v>
      </c>
      <c r="F131" s="9">
        <v>44523</v>
      </c>
      <c r="G131" t="s">
        <v>28</v>
      </c>
      <c r="H131" t="s">
        <v>29</v>
      </c>
      <c r="I131">
        <v>17</v>
      </c>
      <c r="J131">
        <v>333.14299999999997</v>
      </c>
      <c r="K131" t="s">
        <v>305</v>
      </c>
      <c r="L131" t="s">
        <v>306</v>
      </c>
      <c r="O131">
        <v>0</v>
      </c>
      <c r="U131" t="s">
        <v>144</v>
      </c>
      <c r="V131" t="s">
        <v>38</v>
      </c>
      <c r="Z131" t="s">
        <v>35</v>
      </c>
      <c r="AA131" t="s">
        <v>314</v>
      </c>
    </row>
    <row r="132" spans="1:27" x14ac:dyDescent="0.3">
      <c r="A132">
        <v>444</v>
      </c>
      <c r="B132">
        <v>407</v>
      </c>
      <c r="D132">
        <v>0</v>
      </c>
      <c r="E132" t="s">
        <v>27</v>
      </c>
      <c r="F132" s="9">
        <v>44524</v>
      </c>
      <c r="G132" t="s">
        <v>28</v>
      </c>
      <c r="H132" t="s">
        <v>29</v>
      </c>
      <c r="I132">
        <v>24</v>
      </c>
      <c r="J132">
        <v>164.959</v>
      </c>
      <c r="K132" t="s">
        <v>315</v>
      </c>
      <c r="L132" t="s">
        <v>316</v>
      </c>
      <c r="M132">
        <v>164.69499999999999</v>
      </c>
      <c r="N132">
        <v>164.696</v>
      </c>
      <c r="O132">
        <v>1</v>
      </c>
      <c r="P132">
        <v>-29.995027780000001</v>
      </c>
      <c r="R132">
        <v>-52.487194440000003</v>
      </c>
      <c r="T132" t="s">
        <v>317</v>
      </c>
      <c r="U132" t="s">
        <v>37</v>
      </c>
      <c r="V132" t="s">
        <v>38</v>
      </c>
      <c r="X132" t="s">
        <v>318</v>
      </c>
      <c r="Z132" t="s">
        <v>319</v>
      </c>
      <c r="AA132" t="s">
        <v>320</v>
      </c>
    </row>
    <row r="133" spans="1:27" x14ac:dyDescent="0.3">
      <c r="A133">
        <v>445</v>
      </c>
      <c r="B133">
        <v>408</v>
      </c>
      <c r="D133">
        <v>0</v>
      </c>
      <c r="E133" t="s">
        <v>27</v>
      </c>
      <c r="F133" s="9">
        <v>44524</v>
      </c>
      <c r="G133" t="s">
        <v>28</v>
      </c>
      <c r="H133" t="s">
        <v>29</v>
      </c>
      <c r="I133">
        <v>24</v>
      </c>
      <c r="J133">
        <v>164.959</v>
      </c>
      <c r="K133" t="s">
        <v>315</v>
      </c>
      <c r="L133" t="s">
        <v>316</v>
      </c>
      <c r="M133">
        <v>164.68</v>
      </c>
      <c r="N133">
        <v>164.684</v>
      </c>
      <c r="O133">
        <v>1</v>
      </c>
      <c r="P133">
        <v>-29.995027780000001</v>
      </c>
      <c r="R133">
        <v>-52.487194440000003</v>
      </c>
      <c r="T133" t="s">
        <v>321</v>
      </c>
      <c r="U133" t="s">
        <v>49</v>
      </c>
      <c r="V133" t="s">
        <v>33</v>
      </c>
      <c r="X133" t="s">
        <v>322</v>
      </c>
      <c r="Z133" t="s">
        <v>319</v>
      </c>
      <c r="AA133" t="s">
        <v>323</v>
      </c>
    </row>
    <row r="134" spans="1:27" x14ac:dyDescent="0.3">
      <c r="A134">
        <v>446</v>
      </c>
      <c r="B134">
        <v>409</v>
      </c>
      <c r="D134">
        <v>0</v>
      </c>
      <c r="E134" t="s">
        <v>27</v>
      </c>
      <c r="F134" s="9">
        <v>44524</v>
      </c>
      <c r="G134" t="s">
        <v>28</v>
      </c>
      <c r="H134" t="s">
        <v>29</v>
      </c>
      <c r="I134">
        <v>24</v>
      </c>
      <c r="J134">
        <v>164.959</v>
      </c>
      <c r="K134" t="s">
        <v>315</v>
      </c>
      <c r="L134" t="s">
        <v>316</v>
      </c>
      <c r="M134">
        <v>164.72</v>
      </c>
      <c r="N134">
        <v>164.721</v>
      </c>
      <c r="O134">
        <v>1</v>
      </c>
      <c r="P134">
        <v>-29.995027780000001</v>
      </c>
      <c r="R134">
        <v>-52.487194440000003</v>
      </c>
      <c r="T134" t="s">
        <v>324</v>
      </c>
      <c r="U134" t="s">
        <v>49</v>
      </c>
      <c r="V134" t="s">
        <v>38</v>
      </c>
      <c r="X134" t="s">
        <v>325</v>
      </c>
      <c r="Z134" t="s">
        <v>319</v>
      </c>
      <c r="AA134" t="s">
        <v>326</v>
      </c>
    </row>
    <row r="135" spans="1:27" x14ac:dyDescent="0.3">
      <c r="A135">
        <v>447</v>
      </c>
      <c r="B135">
        <v>410</v>
      </c>
      <c r="D135">
        <v>0</v>
      </c>
      <c r="E135" t="s">
        <v>27</v>
      </c>
      <c r="F135" s="9">
        <v>44524</v>
      </c>
      <c r="G135" t="s">
        <v>28</v>
      </c>
      <c r="H135" t="s">
        <v>29</v>
      </c>
      <c r="I135">
        <v>24</v>
      </c>
      <c r="J135">
        <v>164.959</v>
      </c>
      <c r="K135" t="s">
        <v>315</v>
      </c>
      <c r="L135" t="s">
        <v>316</v>
      </c>
      <c r="M135">
        <v>164.678</v>
      </c>
      <c r="N135">
        <v>165.24</v>
      </c>
      <c r="O135">
        <v>1</v>
      </c>
      <c r="P135">
        <v>-29.995027780000001</v>
      </c>
      <c r="R135">
        <v>-52.487194440000003</v>
      </c>
      <c r="T135" t="s">
        <v>324</v>
      </c>
      <c r="U135" t="s">
        <v>79</v>
      </c>
      <c r="V135" t="s">
        <v>38</v>
      </c>
      <c r="X135" t="s">
        <v>327</v>
      </c>
      <c r="Z135" t="s">
        <v>319</v>
      </c>
      <c r="AA135" t="s">
        <v>328</v>
      </c>
    </row>
    <row r="136" spans="1:27" x14ac:dyDescent="0.3">
      <c r="A136">
        <v>448</v>
      </c>
      <c r="B136">
        <v>411</v>
      </c>
      <c r="D136">
        <v>0</v>
      </c>
      <c r="E136" t="s">
        <v>27</v>
      </c>
      <c r="F136" s="9">
        <v>44524</v>
      </c>
      <c r="G136" t="s">
        <v>28</v>
      </c>
      <c r="H136" t="s">
        <v>29</v>
      </c>
      <c r="I136">
        <v>24</v>
      </c>
      <c r="J136">
        <v>164.959</v>
      </c>
      <c r="K136" t="s">
        <v>315</v>
      </c>
      <c r="L136" t="s">
        <v>316</v>
      </c>
      <c r="M136">
        <v>164.678</v>
      </c>
      <c r="N136">
        <v>165.24</v>
      </c>
      <c r="O136">
        <v>1</v>
      </c>
      <c r="P136">
        <v>-29.995027780000001</v>
      </c>
      <c r="R136">
        <v>-52.487194440000003</v>
      </c>
      <c r="T136" t="s">
        <v>321</v>
      </c>
      <c r="U136" t="s">
        <v>79</v>
      </c>
      <c r="V136" t="s">
        <v>38</v>
      </c>
      <c r="X136" t="s">
        <v>329</v>
      </c>
      <c r="Z136" t="s">
        <v>319</v>
      </c>
      <c r="AA136" t="s">
        <v>330</v>
      </c>
    </row>
    <row r="137" spans="1:27" x14ac:dyDescent="0.3">
      <c r="A137">
        <v>449</v>
      </c>
      <c r="B137">
        <v>412</v>
      </c>
      <c r="D137">
        <v>0</v>
      </c>
      <c r="E137" t="s">
        <v>27</v>
      </c>
      <c r="F137" s="9">
        <v>44524</v>
      </c>
      <c r="G137" t="s">
        <v>28</v>
      </c>
      <c r="H137" t="s">
        <v>29</v>
      </c>
      <c r="I137">
        <v>24</v>
      </c>
      <c r="J137">
        <v>164.959</v>
      </c>
      <c r="K137" t="s">
        <v>315</v>
      </c>
      <c r="L137" t="s">
        <v>316</v>
      </c>
      <c r="M137">
        <v>164.678</v>
      </c>
      <c r="N137">
        <v>165.24</v>
      </c>
      <c r="O137">
        <v>1</v>
      </c>
      <c r="P137">
        <v>-29.995027780000001</v>
      </c>
      <c r="R137">
        <v>-52.487194440000003</v>
      </c>
      <c r="T137" t="s">
        <v>324</v>
      </c>
      <c r="U137" t="s">
        <v>94</v>
      </c>
      <c r="V137" t="s">
        <v>33</v>
      </c>
      <c r="X137" t="s">
        <v>331</v>
      </c>
      <c r="Z137" t="s">
        <v>319</v>
      </c>
      <c r="AA137" t="s">
        <v>332</v>
      </c>
    </row>
    <row r="138" spans="1:27" x14ac:dyDescent="0.3">
      <c r="A138">
        <v>450</v>
      </c>
      <c r="B138">
        <v>413</v>
      </c>
      <c r="D138">
        <v>0</v>
      </c>
      <c r="E138" t="s">
        <v>27</v>
      </c>
      <c r="F138" s="9">
        <v>44524</v>
      </c>
      <c r="G138" t="s">
        <v>28</v>
      </c>
      <c r="H138" t="s">
        <v>29</v>
      </c>
      <c r="I138">
        <v>24</v>
      </c>
      <c r="J138">
        <v>164.959</v>
      </c>
      <c r="K138" t="s">
        <v>315</v>
      </c>
      <c r="L138" t="s">
        <v>316</v>
      </c>
      <c r="M138">
        <v>164.75</v>
      </c>
      <c r="N138">
        <v>164.751</v>
      </c>
      <c r="O138">
        <v>1</v>
      </c>
      <c r="P138">
        <v>-29.995027780000001</v>
      </c>
      <c r="R138">
        <v>-52.487194440000003</v>
      </c>
      <c r="T138" t="s">
        <v>324</v>
      </c>
      <c r="U138" t="s">
        <v>49</v>
      </c>
      <c r="V138" t="s">
        <v>38</v>
      </c>
      <c r="X138" t="s">
        <v>333</v>
      </c>
      <c r="Z138" t="s">
        <v>319</v>
      </c>
      <c r="AA138" t="s">
        <v>334</v>
      </c>
    </row>
    <row r="139" spans="1:27" x14ac:dyDescent="0.3">
      <c r="A139">
        <v>451</v>
      </c>
      <c r="B139">
        <v>414</v>
      </c>
      <c r="D139">
        <v>0</v>
      </c>
      <c r="E139" t="s">
        <v>27</v>
      </c>
      <c r="F139" s="9">
        <v>44524</v>
      </c>
      <c r="G139" t="s">
        <v>28</v>
      </c>
      <c r="H139" t="s">
        <v>29</v>
      </c>
      <c r="I139">
        <v>24</v>
      </c>
      <c r="J139">
        <v>164.959</v>
      </c>
      <c r="K139" t="s">
        <v>315</v>
      </c>
      <c r="L139" t="s">
        <v>316</v>
      </c>
      <c r="M139">
        <v>164.8</v>
      </c>
      <c r="N139">
        <v>164.80199999999999</v>
      </c>
      <c r="O139">
        <v>1</v>
      </c>
      <c r="P139">
        <v>-29.995027780000001</v>
      </c>
      <c r="R139">
        <v>-52.487194440000003</v>
      </c>
      <c r="T139" t="s">
        <v>324</v>
      </c>
      <c r="U139" t="s">
        <v>79</v>
      </c>
      <c r="V139" t="s">
        <v>38</v>
      </c>
      <c r="X139" t="s">
        <v>335</v>
      </c>
      <c r="Z139" t="s">
        <v>319</v>
      </c>
      <c r="AA139" t="s">
        <v>336</v>
      </c>
    </row>
    <row r="140" spans="1:27" x14ac:dyDescent="0.3">
      <c r="A140">
        <v>452</v>
      </c>
      <c r="B140">
        <v>415</v>
      </c>
      <c r="D140">
        <v>0</v>
      </c>
      <c r="E140" t="s">
        <v>27</v>
      </c>
      <c r="F140" s="9">
        <v>44524</v>
      </c>
      <c r="G140" t="s">
        <v>28</v>
      </c>
      <c r="H140" t="s">
        <v>29</v>
      </c>
      <c r="I140">
        <v>24</v>
      </c>
      <c r="J140">
        <v>164.959</v>
      </c>
      <c r="K140" t="s">
        <v>315</v>
      </c>
      <c r="L140" t="s">
        <v>316</v>
      </c>
      <c r="M140">
        <v>164.8</v>
      </c>
      <c r="N140">
        <v>164.80199999999999</v>
      </c>
      <c r="O140">
        <v>1</v>
      </c>
      <c r="P140">
        <v>-29.995027780000001</v>
      </c>
      <c r="R140">
        <v>-52.487194440000003</v>
      </c>
      <c r="T140" t="s">
        <v>321</v>
      </c>
      <c r="U140" t="s">
        <v>79</v>
      </c>
      <c r="V140" t="s">
        <v>38</v>
      </c>
      <c r="X140" t="s">
        <v>337</v>
      </c>
      <c r="Z140" t="s">
        <v>319</v>
      </c>
      <c r="AA140" t="s">
        <v>338</v>
      </c>
    </row>
    <row r="141" spans="1:27" x14ac:dyDescent="0.3">
      <c r="A141">
        <v>511</v>
      </c>
      <c r="B141">
        <v>218</v>
      </c>
      <c r="D141">
        <v>0</v>
      </c>
      <c r="E141" t="s">
        <v>118</v>
      </c>
      <c r="F141" s="9">
        <v>44530</v>
      </c>
      <c r="G141" t="s">
        <v>119</v>
      </c>
      <c r="H141" t="s">
        <v>29</v>
      </c>
      <c r="I141">
        <v>17</v>
      </c>
      <c r="J141">
        <v>106.657</v>
      </c>
      <c r="K141" t="s">
        <v>339</v>
      </c>
      <c r="L141" t="s">
        <v>340</v>
      </c>
      <c r="P141">
        <v>-29.21386111</v>
      </c>
      <c r="R141">
        <v>-51.832916670000003</v>
      </c>
      <c r="U141" t="s">
        <v>49</v>
      </c>
      <c r="V141" t="s">
        <v>62</v>
      </c>
      <c r="W141" s="10" t="s">
        <v>341</v>
      </c>
      <c r="Z141" t="s">
        <v>342</v>
      </c>
      <c r="AA141" t="s">
        <v>343</v>
      </c>
    </row>
    <row r="142" spans="1:27" x14ac:dyDescent="0.3">
      <c r="A142">
        <v>94041654</v>
      </c>
      <c r="B142">
        <v>219</v>
      </c>
      <c r="D142">
        <v>0</v>
      </c>
      <c r="E142" t="s">
        <v>118</v>
      </c>
      <c r="F142" s="9">
        <v>45475</v>
      </c>
      <c r="G142" t="s">
        <v>108</v>
      </c>
      <c r="H142" t="s">
        <v>344</v>
      </c>
      <c r="I142">
        <v>25</v>
      </c>
      <c r="J142">
        <v>332.35300000000001</v>
      </c>
      <c r="K142" t="s">
        <v>345</v>
      </c>
      <c r="L142" t="s">
        <v>346</v>
      </c>
      <c r="P142">
        <v>-29.64725</v>
      </c>
      <c r="R142">
        <v>-53.943416669999998</v>
      </c>
      <c r="T142" t="s">
        <v>347</v>
      </c>
      <c r="U142" t="s">
        <v>49</v>
      </c>
      <c r="V142" t="s">
        <v>38</v>
      </c>
      <c r="X142" t="s">
        <v>348</v>
      </c>
      <c r="Y142">
        <v>900</v>
      </c>
      <c r="Z142" t="s">
        <v>349</v>
      </c>
      <c r="AA142" t="s">
        <v>350</v>
      </c>
    </row>
    <row r="143" spans="1:27" x14ac:dyDescent="0.3">
      <c r="A143">
        <v>246071047</v>
      </c>
      <c r="B143">
        <v>220</v>
      </c>
      <c r="D143">
        <v>1</v>
      </c>
      <c r="E143" t="s">
        <v>118</v>
      </c>
      <c r="F143" s="9">
        <v>45696</v>
      </c>
      <c r="G143" t="s">
        <v>351</v>
      </c>
      <c r="H143" t="s">
        <v>109</v>
      </c>
      <c r="I143">
        <v>25</v>
      </c>
      <c r="J143">
        <v>332.35300000000001</v>
      </c>
      <c r="K143" t="s">
        <v>345</v>
      </c>
      <c r="L143" t="s">
        <v>346</v>
      </c>
      <c r="P143">
        <v>-29.64725</v>
      </c>
      <c r="R143">
        <v>-53.943416669999998</v>
      </c>
      <c r="T143" t="s">
        <v>347</v>
      </c>
      <c r="U143" t="s">
        <v>37</v>
      </c>
      <c r="V143" t="s">
        <v>38</v>
      </c>
      <c r="X143" t="s">
        <v>352</v>
      </c>
      <c r="Y143">
        <v>900</v>
      </c>
      <c r="Z143" t="s">
        <v>349</v>
      </c>
      <c r="AA143" t="s">
        <v>353</v>
      </c>
    </row>
    <row r="144" spans="1:27" x14ac:dyDescent="0.3">
      <c r="A144">
        <v>1</v>
      </c>
      <c r="B144">
        <v>416</v>
      </c>
      <c r="D144">
        <v>0</v>
      </c>
      <c r="E144" t="s">
        <v>27</v>
      </c>
      <c r="F144" s="9">
        <v>44435</v>
      </c>
      <c r="G144" t="s">
        <v>28</v>
      </c>
      <c r="H144" t="s">
        <v>29</v>
      </c>
      <c r="I144">
        <v>17</v>
      </c>
      <c r="J144">
        <v>103.68600000000001</v>
      </c>
      <c r="K144" t="s">
        <v>354</v>
      </c>
      <c r="L144" t="s">
        <v>355</v>
      </c>
      <c r="O144">
        <v>0</v>
      </c>
      <c r="U144" t="s">
        <v>37</v>
      </c>
      <c r="V144" t="s">
        <v>33</v>
      </c>
      <c r="X144" t="s">
        <v>356</v>
      </c>
      <c r="Z144" t="s">
        <v>342</v>
      </c>
      <c r="AA144" t="s">
        <v>357</v>
      </c>
    </row>
    <row r="145" spans="1:27" x14ac:dyDescent="0.3">
      <c r="A145">
        <v>2</v>
      </c>
      <c r="B145">
        <v>417</v>
      </c>
      <c r="D145">
        <v>0</v>
      </c>
      <c r="E145" t="s">
        <v>27</v>
      </c>
      <c r="F145" s="9">
        <v>44435</v>
      </c>
      <c r="G145" t="s">
        <v>28</v>
      </c>
      <c r="H145" t="s">
        <v>29</v>
      </c>
      <c r="I145">
        <v>17</v>
      </c>
      <c r="J145">
        <v>103.68600000000001</v>
      </c>
      <c r="K145" t="s">
        <v>354</v>
      </c>
      <c r="L145" t="s">
        <v>355</v>
      </c>
      <c r="O145">
        <v>0</v>
      </c>
      <c r="U145" t="s">
        <v>37</v>
      </c>
      <c r="V145" t="s">
        <v>33</v>
      </c>
      <c r="X145" t="s">
        <v>358</v>
      </c>
      <c r="Z145" t="s">
        <v>342</v>
      </c>
      <c r="AA145" t="s">
        <v>359</v>
      </c>
    </row>
    <row r="146" spans="1:27" x14ac:dyDescent="0.3">
      <c r="A146">
        <v>3</v>
      </c>
      <c r="B146">
        <v>418</v>
      </c>
      <c r="D146">
        <v>0</v>
      </c>
      <c r="E146" t="s">
        <v>27</v>
      </c>
      <c r="F146" s="9">
        <v>44435</v>
      </c>
      <c r="G146" t="s">
        <v>28</v>
      </c>
      <c r="H146" t="s">
        <v>29</v>
      </c>
      <c r="I146">
        <v>17</v>
      </c>
      <c r="J146">
        <v>103.68600000000001</v>
      </c>
      <c r="K146" t="s">
        <v>354</v>
      </c>
      <c r="L146" t="s">
        <v>355</v>
      </c>
      <c r="O146">
        <v>0</v>
      </c>
      <c r="U146" t="s">
        <v>94</v>
      </c>
      <c r="V146" t="s">
        <v>33</v>
      </c>
      <c r="X146" t="s">
        <v>360</v>
      </c>
      <c r="Z146" t="s">
        <v>342</v>
      </c>
      <c r="AA146" t="s">
        <v>361</v>
      </c>
    </row>
    <row r="147" spans="1:27" x14ac:dyDescent="0.3">
      <c r="A147">
        <v>4</v>
      </c>
      <c r="B147">
        <v>419</v>
      </c>
      <c r="D147">
        <v>0</v>
      </c>
      <c r="E147" t="s">
        <v>27</v>
      </c>
      <c r="F147" s="9">
        <v>44435</v>
      </c>
      <c r="G147" t="s">
        <v>28</v>
      </c>
      <c r="H147" t="s">
        <v>29</v>
      </c>
      <c r="I147">
        <v>17</v>
      </c>
      <c r="J147">
        <v>106.657</v>
      </c>
      <c r="K147" t="s">
        <v>362</v>
      </c>
      <c r="L147" t="s">
        <v>340</v>
      </c>
      <c r="O147">
        <v>0</v>
      </c>
      <c r="U147" t="s">
        <v>37</v>
      </c>
      <c r="V147" t="s">
        <v>33</v>
      </c>
      <c r="X147" t="s">
        <v>363</v>
      </c>
      <c r="Z147" t="s">
        <v>342</v>
      </c>
      <c r="AA147" t="s">
        <v>364</v>
      </c>
    </row>
    <row r="148" spans="1:27" x14ac:dyDescent="0.3">
      <c r="A148">
        <v>5</v>
      </c>
      <c r="B148">
        <v>420</v>
      </c>
      <c r="D148">
        <v>0</v>
      </c>
      <c r="E148" t="s">
        <v>27</v>
      </c>
      <c r="F148" s="9">
        <v>44435</v>
      </c>
      <c r="G148" t="s">
        <v>28</v>
      </c>
      <c r="H148" t="s">
        <v>29</v>
      </c>
      <c r="I148">
        <v>17</v>
      </c>
      <c r="J148">
        <v>106.657</v>
      </c>
      <c r="K148" t="s">
        <v>362</v>
      </c>
      <c r="L148" t="s">
        <v>340</v>
      </c>
      <c r="O148">
        <v>0</v>
      </c>
      <c r="U148" t="s">
        <v>79</v>
      </c>
      <c r="V148" t="s">
        <v>38</v>
      </c>
      <c r="W148" s="10" t="s">
        <v>365</v>
      </c>
      <c r="Z148" t="s">
        <v>342</v>
      </c>
      <c r="AA148" t="s">
        <v>366</v>
      </c>
    </row>
    <row r="149" spans="1:27" x14ac:dyDescent="0.3">
      <c r="A149">
        <v>6</v>
      </c>
      <c r="B149">
        <v>421</v>
      </c>
      <c r="D149">
        <v>0</v>
      </c>
      <c r="E149" t="s">
        <v>27</v>
      </c>
      <c r="F149" s="9">
        <v>44435</v>
      </c>
      <c r="G149" t="s">
        <v>28</v>
      </c>
      <c r="H149" t="s">
        <v>29</v>
      </c>
      <c r="I149">
        <v>17</v>
      </c>
      <c r="J149">
        <v>106.657</v>
      </c>
      <c r="K149" t="s">
        <v>362</v>
      </c>
      <c r="L149" t="s">
        <v>340</v>
      </c>
      <c r="O149">
        <v>0</v>
      </c>
      <c r="U149" t="s">
        <v>37</v>
      </c>
      <c r="V149" t="s">
        <v>33</v>
      </c>
      <c r="X149" t="s">
        <v>367</v>
      </c>
      <c r="Z149" t="s">
        <v>342</v>
      </c>
      <c r="AA149" t="s">
        <v>368</v>
      </c>
    </row>
    <row r="150" spans="1:27" x14ac:dyDescent="0.3">
      <c r="A150">
        <v>7</v>
      </c>
      <c r="B150">
        <v>422</v>
      </c>
      <c r="D150">
        <v>0</v>
      </c>
      <c r="E150" t="s">
        <v>27</v>
      </c>
      <c r="F150" s="9">
        <v>44435</v>
      </c>
      <c r="G150" t="s">
        <v>28</v>
      </c>
      <c r="H150" t="s">
        <v>29</v>
      </c>
      <c r="I150">
        <v>17</v>
      </c>
      <c r="J150">
        <v>106.657</v>
      </c>
      <c r="K150" t="s">
        <v>362</v>
      </c>
      <c r="L150" t="s">
        <v>340</v>
      </c>
      <c r="O150">
        <v>0</v>
      </c>
      <c r="U150" t="s">
        <v>37</v>
      </c>
      <c r="V150" t="s">
        <v>33</v>
      </c>
      <c r="X150" t="s">
        <v>369</v>
      </c>
      <c r="Z150" t="s">
        <v>342</v>
      </c>
      <c r="AA150" t="s">
        <v>370</v>
      </c>
    </row>
    <row r="151" spans="1:27" x14ac:dyDescent="0.3">
      <c r="A151">
        <v>8</v>
      </c>
      <c r="B151">
        <v>423</v>
      </c>
      <c r="D151">
        <v>0</v>
      </c>
      <c r="E151" t="s">
        <v>27</v>
      </c>
      <c r="F151" s="9">
        <v>44435</v>
      </c>
      <c r="G151" t="s">
        <v>28</v>
      </c>
      <c r="H151" t="s">
        <v>29</v>
      </c>
      <c r="I151">
        <v>17</v>
      </c>
      <c r="J151">
        <v>108.35599999999999</v>
      </c>
      <c r="K151" t="s">
        <v>371</v>
      </c>
      <c r="L151" t="s">
        <v>372</v>
      </c>
      <c r="O151">
        <v>0</v>
      </c>
      <c r="U151" t="s">
        <v>113</v>
      </c>
      <c r="V151" t="s">
        <v>38</v>
      </c>
      <c r="W151" s="10" t="s">
        <v>373</v>
      </c>
      <c r="Z151" t="s">
        <v>342</v>
      </c>
      <c r="AA151" t="s">
        <v>374</v>
      </c>
    </row>
    <row r="152" spans="1:27" x14ac:dyDescent="0.3">
      <c r="A152">
        <v>9</v>
      </c>
      <c r="B152">
        <v>424</v>
      </c>
      <c r="D152">
        <v>0</v>
      </c>
      <c r="E152" t="s">
        <v>27</v>
      </c>
      <c r="F152" s="9">
        <v>44435</v>
      </c>
      <c r="G152" t="s">
        <v>28</v>
      </c>
      <c r="H152" t="s">
        <v>29</v>
      </c>
      <c r="I152">
        <v>17</v>
      </c>
      <c r="J152">
        <v>108.35599999999999</v>
      </c>
      <c r="K152" t="s">
        <v>371</v>
      </c>
      <c r="L152" t="s">
        <v>372</v>
      </c>
      <c r="O152">
        <v>0</v>
      </c>
      <c r="U152" t="s">
        <v>49</v>
      </c>
      <c r="V152" t="s">
        <v>33</v>
      </c>
      <c r="X152" t="s">
        <v>375</v>
      </c>
      <c r="Z152" t="s">
        <v>342</v>
      </c>
      <c r="AA152" t="s">
        <v>376</v>
      </c>
    </row>
    <row r="153" spans="1:27" x14ac:dyDescent="0.3">
      <c r="A153">
        <v>10</v>
      </c>
      <c r="B153">
        <v>425</v>
      </c>
      <c r="D153">
        <v>0</v>
      </c>
      <c r="E153" t="s">
        <v>27</v>
      </c>
      <c r="F153" s="9">
        <v>44435</v>
      </c>
      <c r="G153" t="s">
        <v>28</v>
      </c>
      <c r="H153" t="s">
        <v>29</v>
      </c>
      <c r="I153">
        <v>17</v>
      </c>
      <c r="J153">
        <v>108.35599999999999</v>
      </c>
      <c r="K153" t="s">
        <v>371</v>
      </c>
      <c r="L153" t="s">
        <v>372</v>
      </c>
      <c r="O153">
        <v>0</v>
      </c>
      <c r="U153" t="s">
        <v>37</v>
      </c>
      <c r="V153" t="s">
        <v>62</v>
      </c>
      <c r="X153" t="s">
        <v>377</v>
      </c>
      <c r="Z153" t="s">
        <v>342</v>
      </c>
      <c r="AA153" t="s">
        <v>378</v>
      </c>
    </row>
    <row r="154" spans="1:27" x14ac:dyDescent="0.3">
      <c r="A154">
        <v>11</v>
      </c>
      <c r="B154">
        <v>426</v>
      </c>
      <c r="D154">
        <v>0</v>
      </c>
      <c r="E154" t="s">
        <v>27</v>
      </c>
      <c r="F154" s="9">
        <v>44436</v>
      </c>
      <c r="G154" t="s">
        <v>28</v>
      </c>
      <c r="H154" t="s">
        <v>29</v>
      </c>
      <c r="I154">
        <v>17</v>
      </c>
      <c r="J154">
        <v>111.75700000000001</v>
      </c>
      <c r="K154" t="s">
        <v>379</v>
      </c>
      <c r="L154" t="s">
        <v>380</v>
      </c>
      <c r="O154">
        <v>0</v>
      </c>
      <c r="U154" t="s">
        <v>37</v>
      </c>
      <c r="V154" t="s">
        <v>38</v>
      </c>
      <c r="X154" t="s">
        <v>381</v>
      </c>
      <c r="Z154" t="s">
        <v>342</v>
      </c>
      <c r="AA154" t="s">
        <v>382</v>
      </c>
    </row>
    <row r="155" spans="1:27" x14ac:dyDescent="0.3">
      <c r="A155">
        <v>12</v>
      </c>
      <c r="B155">
        <v>427</v>
      </c>
      <c r="D155">
        <v>0</v>
      </c>
      <c r="E155" t="s">
        <v>27</v>
      </c>
      <c r="F155" s="9">
        <v>44436</v>
      </c>
      <c r="G155" t="s">
        <v>28</v>
      </c>
      <c r="H155" t="s">
        <v>29</v>
      </c>
      <c r="I155">
        <v>17</v>
      </c>
      <c r="J155">
        <v>111.75700000000001</v>
      </c>
      <c r="K155" t="s">
        <v>379</v>
      </c>
      <c r="L155" t="s">
        <v>380</v>
      </c>
      <c r="O155">
        <v>0</v>
      </c>
      <c r="U155" t="s">
        <v>32</v>
      </c>
      <c r="V155" t="s">
        <v>33</v>
      </c>
      <c r="X155" t="s">
        <v>383</v>
      </c>
      <c r="Z155" t="s">
        <v>342</v>
      </c>
      <c r="AA155" t="s">
        <v>384</v>
      </c>
    </row>
    <row r="156" spans="1:27" x14ac:dyDescent="0.3">
      <c r="A156">
        <v>13</v>
      </c>
      <c r="B156">
        <v>428</v>
      </c>
      <c r="D156">
        <v>0</v>
      </c>
      <c r="E156" t="s">
        <v>27</v>
      </c>
      <c r="F156" s="9">
        <v>44440</v>
      </c>
      <c r="G156" t="s">
        <v>28</v>
      </c>
      <c r="H156" t="s">
        <v>29</v>
      </c>
      <c r="I156">
        <v>17</v>
      </c>
      <c r="J156">
        <v>122.5</v>
      </c>
      <c r="K156" t="s">
        <v>385</v>
      </c>
      <c r="L156" t="s">
        <v>386</v>
      </c>
      <c r="O156">
        <v>0</v>
      </c>
      <c r="U156" t="s">
        <v>37</v>
      </c>
      <c r="V156" t="s">
        <v>62</v>
      </c>
      <c r="X156" t="s">
        <v>387</v>
      </c>
      <c r="Z156" t="s">
        <v>342</v>
      </c>
      <c r="AA156" t="s">
        <v>388</v>
      </c>
    </row>
    <row r="157" spans="1:27" x14ac:dyDescent="0.3">
      <c r="A157">
        <v>14</v>
      </c>
      <c r="B157">
        <v>429</v>
      </c>
      <c r="D157">
        <v>0</v>
      </c>
      <c r="E157" t="s">
        <v>27</v>
      </c>
      <c r="F157" s="9">
        <v>44440</v>
      </c>
      <c r="G157" t="s">
        <v>28</v>
      </c>
      <c r="H157" t="s">
        <v>29</v>
      </c>
      <c r="I157">
        <v>17</v>
      </c>
      <c r="J157">
        <v>122.5</v>
      </c>
      <c r="K157" t="s">
        <v>385</v>
      </c>
      <c r="L157" t="s">
        <v>386</v>
      </c>
      <c r="O157">
        <v>0</v>
      </c>
      <c r="U157" t="s">
        <v>32</v>
      </c>
      <c r="V157" t="s">
        <v>38</v>
      </c>
      <c r="X157" t="s">
        <v>389</v>
      </c>
      <c r="Z157" t="s">
        <v>342</v>
      </c>
      <c r="AA157" t="s">
        <v>390</v>
      </c>
    </row>
    <row r="158" spans="1:27" x14ac:dyDescent="0.3">
      <c r="A158">
        <v>15</v>
      </c>
      <c r="B158">
        <v>430</v>
      </c>
      <c r="D158">
        <v>0</v>
      </c>
      <c r="E158" t="s">
        <v>27</v>
      </c>
      <c r="F158" s="9">
        <v>44440</v>
      </c>
      <c r="G158" t="s">
        <v>28</v>
      </c>
      <c r="H158" t="s">
        <v>29</v>
      </c>
      <c r="I158">
        <v>17</v>
      </c>
      <c r="J158">
        <v>122.5</v>
      </c>
      <c r="K158" t="s">
        <v>385</v>
      </c>
      <c r="L158" t="s">
        <v>386</v>
      </c>
      <c r="O158">
        <v>0</v>
      </c>
      <c r="U158" t="s">
        <v>113</v>
      </c>
      <c r="V158" t="s">
        <v>38</v>
      </c>
      <c r="W158" s="10" t="s">
        <v>391</v>
      </c>
      <c r="Z158" t="s">
        <v>342</v>
      </c>
      <c r="AA158" t="s">
        <v>392</v>
      </c>
    </row>
    <row r="159" spans="1:27" x14ac:dyDescent="0.3">
      <c r="A159">
        <v>16</v>
      </c>
      <c r="B159">
        <v>431</v>
      </c>
      <c r="D159">
        <v>0</v>
      </c>
      <c r="E159" t="s">
        <v>27</v>
      </c>
      <c r="F159" s="9">
        <v>44440</v>
      </c>
      <c r="G159" t="s">
        <v>28</v>
      </c>
      <c r="H159" t="s">
        <v>29</v>
      </c>
      <c r="I159">
        <v>17</v>
      </c>
      <c r="J159">
        <v>122.5</v>
      </c>
      <c r="K159" t="s">
        <v>385</v>
      </c>
      <c r="L159" t="s">
        <v>386</v>
      </c>
      <c r="O159">
        <v>0</v>
      </c>
      <c r="U159" t="s">
        <v>49</v>
      </c>
      <c r="V159" t="s">
        <v>62</v>
      </c>
      <c r="X159" t="s">
        <v>393</v>
      </c>
      <c r="Z159" t="s">
        <v>342</v>
      </c>
      <c r="AA159" t="s">
        <v>394</v>
      </c>
    </row>
    <row r="160" spans="1:27" x14ac:dyDescent="0.3">
      <c r="A160">
        <v>17</v>
      </c>
      <c r="B160">
        <v>432</v>
      </c>
      <c r="D160">
        <v>0</v>
      </c>
      <c r="E160" t="s">
        <v>27</v>
      </c>
      <c r="F160" s="9">
        <v>44440</v>
      </c>
      <c r="G160" t="s">
        <v>28</v>
      </c>
      <c r="H160" t="s">
        <v>29</v>
      </c>
      <c r="I160">
        <v>17</v>
      </c>
      <c r="J160">
        <v>122.5</v>
      </c>
      <c r="K160" t="s">
        <v>385</v>
      </c>
      <c r="L160" t="s">
        <v>386</v>
      </c>
      <c r="O160">
        <v>0</v>
      </c>
      <c r="U160" t="s">
        <v>32</v>
      </c>
      <c r="V160" t="s">
        <v>62</v>
      </c>
      <c r="X160" t="s">
        <v>395</v>
      </c>
      <c r="Z160" t="s">
        <v>342</v>
      </c>
      <c r="AA160" t="s">
        <v>396</v>
      </c>
    </row>
    <row r="161" spans="1:27" x14ac:dyDescent="0.3">
      <c r="A161">
        <v>18</v>
      </c>
      <c r="B161">
        <v>433</v>
      </c>
      <c r="D161">
        <v>0</v>
      </c>
      <c r="E161" t="s">
        <v>27</v>
      </c>
      <c r="F161" s="9">
        <v>44440</v>
      </c>
      <c r="G161" t="s">
        <v>28</v>
      </c>
      <c r="H161" t="s">
        <v>29</v>
      </c>
      <c r="I161">
        <v>17</v>
      </c>
      <c r="J161">
        <v>122.5</v>
      </c>
      <c r="K161" t="s">
        <v>385</v>
      </c>
      <c r="L161" t="s">
        <v>386</v>
      </c>
      <c r="O161">
        <v>0</v>
      </c>
      <c r="U161" t="s">
        <v>32</v>
      </c>
      <c r="V161" t="s">
        <v>38</v>
      </c>
      <c r="X161" t="s">
        <v>397</v>
      </c>
      <c r="Z161" t="s">
        <v>342</v>
      </c>
      <c r="AA161" t="s">
        <v>398</v>
      </c>
    </row>
    <row r="162" spans="1:27" x14ac:dyDescent="0.3">
      <c r="A162">
        <v>29</v>
      </c>
      <c r="B162">
        <v>444</v>
      </c>
      <c r="D162">
        <v>0</v>
      </c>
      <c r="E162" t="s">
        <v>27</v>
      </c>
      <c r="F162" s="9">
        <v>44452</v>
      </c>
      <c r="G162" t="s">
        <v>28</v>
      </c>
      <c r="H162" t="s">
        <v>29</v>
      </c>
      <c r="I162">
        <v>17</v>
      </c>
      <c r="J162">
        <v>142.70699999999999</v>
      </c>
      <c r="K162" t="s">
        <v>399</v>
      </c>
      <c r="L162" t="s">
        <v>400</v>
      </c>
      <c r="O162">
        <v>0</v>
      </c>
      <c r="U162" t="s">
        <v>293</v>
      </c>
      <c r="V162" t="s">
        <v>38</v>
      </c>
      <c r="W162" s="10" t="s">
        <v>401</v>
      </c>
      <c r="Z162" t="s">
        <v>342</v>
      </c>
      <c r="AA162" t="s">
        <v>402</v>
      </c>
    </row>
    <row r="163" spans="1:27" x14ac:dyDescent="0.3">
      <c r="A163">
        <v>30</v>
      </c>
      <c r="B163">
        <v>445</v>
      </c>
      <c r="D163">
        <v>0</v>
      </c>
      <c r="E163" t="s">
        <v>27</v>
      </c>
      <c r="F163" s="9">
        <v>44452</v>
      </c>
      <c r="G163" t="s">
        <v>28</v>
      </c>
      <c r="H163" t="s">
        <v>29</v>
      </c>
      <c r="I163">
        <v>17</v>
      </c>
      <c r="J163">
        <v>142.70699999999999</v>
      </c>
      <c r="K163" t="s">
        <v>399</v>
      </c>
      <c r="L163" t="s">
        <v>400</v>
      </c>
      <c r="O163">
        <v>0</v>
      </c>
      <c r="U163" t="s">
        <v>37</v>
      </c>
      <c r="V163" t="s">
        <v>33</v>
      </c>
      <c r="X163" t="s">
        <v>403</v>
      </c>
      <c r="Z163" t="s">
        <v>342</v>
      </c>
      <c r="AA163" t="s">
        <v>404</v>
      </c>
    </row>
    <row r="164" spans="1:27" x14ac:dyDescent="0.3">
      <c r="A164">
        <v>31</v>
      </c>
      <c r="B164">
        <v>446</v>
      </c>
      <c r="D164">
        <v>0</v>
      </c>
      <c r="E164" t="s">
        <v>27</v>
      </c>
      <c r="F164" s="9">
        <v>44452</v>
      </c>
      <c r="G164" t="s">
        <v>28</v>
      </c>
      <c r="H164" t="s">
        <v>29</v>
      </c>
      <c r="I164">
        <v>17</v>
      </c>
      <c r="J164">
        <v>142.70699999999999</v>
      </c>
      <c r="K164" t="s">
        <v>399</v>
      </c>
      <c r="L164" t="s">
        <v>400</v>
      </c>
      <c r="O164">
        <v>0</v>
      </c>
      <c r="U164" t="s">
        <v>293</v>
      </c>
      <c r="V164" t="s">
        <v>38</v>
      </c>
      <c r="W164" s="10" t="s">
        <v>405</v>
      </c>
      <c r="Z164" t="s">
        <v>342</v>
      </c>
      <c r="AA164" t="s">
        <v>406</v>
      </c>
    </row>
    <row r="165" spans="1:27" x14ac:dyDescent="0.3">
      <c r="A165">
        <v>32</v>
      </c>
      <c r="B165">
        <v>447</v>
      </c>
      <c r="D165">
        <v>0</v>
      </c>
      <c r="E165" t="s">
        <v>27</v>
      </c>
      <c r="F165" s="9">
        <v>44452</v>
      </c>
      <c r="G165" t="s">
        <v>28</v>
      </c>
      <c r="H165" t="s">
        <v>29</v>
      </c>
      <c r="I165">
        <v>17</v>
      </c>
      <c r="J165">
        <v>142.70699999999999</v>
      </c>
      <c r="K165" t="s">
        <v>399</v>
      </c>
      <c r="L165" t="s">
        <v>400</v>
      </c>
      <c r="O165">
        <v>0</v>
      </c>
      <c r="U165" t="s">
        <v>79</v>
      </c>
      <c r="V165" t="s">
        <v>38</v>
      </c>
      <c r="W165" s="10" t="s">
        <v>407</v>
      </c>
      <c r="Z165" t="s">
        <v>342</v>
      </c>
      <c r="AA165" t="s">
        <v>408</v>
      </c>
    </row>
    <row r="166" spans="1:27" x14ac:dyDescent="0.3">
      <c r="A166">
        <v>33</v>
      </c>
      <c r="B166">
        <v>448</v>
      </c>
      <c r="D166">
        <v>0</v>
      </c>
      <c r="E166" t="s">
        <v>27</v>
      </c>
      <c r="F166" s="9">
        <v>44452</v>
      </c>
      <c r="G166" t="s">
        <v>28</v>
      </c>
      <c r="H166" t="s">
        <v>29</v>
      </c>
      <c r="I166">
        <v>17</v>
      </c>
      <c r="J166">
        <v>142.70699999999999</v>
      </c>
      <c r="K166" t="s">
        <v>399</v>
      </c>
      <c r="L166" t="s">
        <v>400</v>
      </c>
      <c r="O166">
        <v>0</v>
      </c>
      <c r="U166" t="s">
        <v>32</v>
      </c>
      <c r="V166" t="s">
        <v>38</v>
      </c>
      <c r="X166" t="s">
        <v>409</v>
      </c>
      <c r="Z166" t="s">
        <v>342</v>
      </c>
      <c r="AA166" t="s">
        <v>410</v>
      </c>
    </row>
    <row r="167" spans="1:27" x14ac:dyDescent="0.3">
      <c r="A167">
        <v>34</v>
      </c>
      <c r="B167">
        <v>449</v>
      </c>
      <c r="D167">
        <v>0</v>
      </c>
      <c r="E167" t="s">
        <v>27</v>
      </c>
      <c r="F167" s="9">
        <v>44452</v>
      </c>
      <c r="G167" t="s">
        <v>28</v>
      </c>
      <c r="H167" t="s">
        <v>29</v>
      </c>
      <c r="I167">
        <v>17</v>
      </c>
      <c r="J167">
        <v>142.70699999999999</v>
      </c>
      <c r="K167" t="s">
        <v>399</v>
      </c>
      <c r="L167" t="s">
        <v>400</v>
      </c>
      <c r="O167">
        <v>0</v>
      </c>
      <c r="U167" t="s">
        <v>32</v>
      </c>
      <c r="V167" t="s">
        <v>38</v>
      </c>
      <c r="X167" t="s">
        <v>411</v>
      </c>
      <c r="Z167" t="s">
        <v>342</v>
      </c>
      <c r="AA167" t="s">
        <v>412</v>
      </c>
    </row>
    <row r="168" spans="1:27" x14ac:dyDescent="0.3">
      <c r="A168">
        <v>35</v>
      </c>
      <c r="B168">
        <v>450</v>
      </c>
      <c r="D168">
        <v>0</v>
      </c>
      <c r="E168" t="s">
        <v>27</v>
      </c>
      <c r="F168" s="9">
        <v>44452</v>
      </c>
      <c r="G168" t="s">
        <v>28</v>
      </c>
      <c r="H168" t="s">
        <v>29</v>
      </c>
      <c r="I168">
        <v>17</v>
      </c>
      <c r="J168">
        <v>142.70699999999999</v>
      </c>
      <c r="K168" t="s">
        <v>399</v>
      </c>
      <c r="L168" t="s">
        <v>400</v>
      </c>
      <c r="O168">
        <v>0</v>
      </c>
      <c r="U168" t="s">
        <v>37</v>
      </c>
      <c r="V168" t="s">
        <v>38</v>
      </c>
      <c r="X168" t="s">
        <v>413</v>
      </c>
      <c r="Z168" t="s">
        <v>342</v>
      </c>
      <c r="AA168" t="s">
        <v>414</v>
      </c>
    </row>
    <row r="169" spans="1:27" x14ac:dyDescent="0.3">
      <c r="A169">
        <v>36</v>
      </c>
      <c r="B169">
        <v>451</v>
      </c>
      <c r="D169">
        <v>0</v>
      </c>
      <c r="E169" t="s">
        <v>27</v>
      </c>
      <c r="F169" s="9">
        <v>44452</v>
      </c>
      <c r="G169" t="s">
        <v>28</v>
      </c>
      <c r="H169" t="s">
        <v>29</v>
      </c>
      <c r="I169">
        <v>17</v>
      </c>
      <c r="J169">
        <v>142.70699999999999</v>
      </c>
      <c r="K169" t="s">
        <v>399</v>
      </c>
      <c r="L169" t="s">
        <v>400</v>
      </c>
      <c r="O169">
        <v>0</v>
      </c>
      <c r="U169" t="s">
        <v>79</v>
      </c>
      <c r="V169" t="s">
        <v>38</v>
      </c>
      <c r="W169" s="10" t="s">
        <v>415</v>
      </c>
      <c r="Z169" t="s">
        <v>342</v>
      </c>
      <c r="AA169" t="s">
        <v>416</v>
      </c>
    </row>
    <row r="170" spans="1:27" x14ac:dyDescent="0.3">
      <c r="A170">
        <v>37</v>
      </c>
      <c r="B170">
        <v>452</v>
      </c>
      <c r="D170">
        <v>0</v>
      </c>
      <c r="E170" t="s">
        <v>27</v>
      </c>
      <c r="F170" s="9">
        <v>44453</v>
      </c>
      <c r="G170" t="s">
        <v>28</v>
      </c>
      <c r="H170" t="s">
        <v>29</v>
      </c>
      <c r="I170">
        <v>17</v>
      </c>
      <c r="J170">
        <v>149.59200000000001</v>
      </c>
      <c r="K170" t="s">
        <v>417</v>
      </c>
      <c r="L170" t="s">
        <v>418</v>
      </c>
      <c r="O170">
        <v>0</v>
      </c>
      <c r="U170" t="s">
        <v>49</v>
      </c>
      <c r="V170" t="s">
        <v>33</v>
      </c>
      <c r="X170" t="s">
        <v>419</v>
      </c>
      <c r="Z170" t="s">
        <v>342</v>
      </c>
      <c r="AA170" t="s">
        <v>420</v>
      </c>
    </row>
    <row r="171" spans="1:27" x14ac:dyDescent="0.3">
      <c r="A171">
        <v>38</v>
      </c>
      <c r="B171">
        <v>453</v>
      </c>
      <c r="D171">
        <v>0</v>
      </c>
      <c r="E171" t="s">
        <v>27</v>
      </c>
      <c r="F171" s="9">
        <v>44453</v>
      </c>
      <c r="G171" t="s">
        <v>28</v>
      </c>
      <c r="H171" t="s">
        <v>29</v>
      </c>
      <c r="I171">
        <v>17</v>
      </c>
      <c r="J171">
        <v>149.59200000000001</v>
      </c>
      <c r="K171" t="s">
        <v>417</v>
      </c>
      <c r="L171" t="s">
        <v>418</v>
      </c>
      <c r="O171">
        <v>0</v>
      </c>
      <c r="U171" t="s">
        <v>37</v>
      </c>
      <c r="V171" t="s">
        <v>33</v>
      </c>
      <c r="X171" t="s">
        <v>421</v>
      </c>
      <c r="Z171" t="s">
        <v>342</v>
      </c>
      <c r="AA171" t="s">
        <v>422</v>
      </c>
    </row>
    <row r="172" spans="1:27" x14ac:dyDescent="0.3">
      <c r="A172">
        <v>39</v>
      </c>
      <c r="B172">
        <v>454</v>
      </c>
      <c r="D172">
        <v>0</v>
      </c>
      <c r="E172" t="s">
        <v>27</v>
      </c>
      <c r="F172" s="9">
        <v>44455</v>
      </c>
      <c r="G172" t="s">
        <v>28</v>
      </c>
      <c r="H172" t="s">
        <v>29</v>
      </c>
      <c r="I172">
        <v>17</v>
      </c>
      <c r="J172">
        <v>157.161</v>
      </c>
      <c r="K172" t="s">
        <v>423</v>
      </c>
      <c r="L172" t="s">
        <v>424</v>
      </c>
      <c r="O172">
        <v>0</v>
      </c>
      <c r="U172" t="s">
        <v>37</v>
      </c>
      <c r="V172" t="s">
        <v>62</v>
      </c>
      <c r="X172" t="s">
        <v>425</v>
      </c>
      <c r="Z172" t="s">
        <v>342</v>
      </c>
      <c r="AA172" t="s">
        <v>426</v>
      </c>
    </row>
    <row r="173" spans="1:27" x14ac:dyDescent="0.3">
      <c r="A173">
        <v>40</v>
      </c>
      <c r="B173">
        <v>455</v>
      </c>
      <c r="D173">
        <v>0</v>
      </c>
      <c r="E173" t="s">
        <v>27</v>
      </c>
      <c r="F173" s="9">
        <v>44455</v>
      </c>
      <c r="G173" t="s">
        <v>28</v>
      </c>
      <c r="H173" t="s">
        <v>29</v>
      </c>
      <c r="I173">
        <v>17</v>
      </c>
      <c r="J173">
        <v>157.161</v>
      </c>
      <c r="K173" t="s">
        <v>423</v>
      </c>
      <c r="L173" t="s">
        <v>424</v>
      </c>
      <c r="O173">
        <v>0</v>
      </c>
      <c r="U173" t="s">
        <v>293</v>
      </c>
      <c r="V173" t="s">
        <v>38</v>
      </c>
      <c r="W173" s="10" t="s">
        <v>427</v>
      </c>
      <c r="Z173" t="s">
        <v>342</v>
      </c>
      <c r="AA173" t="s">
        <v>428</v>
      </c>
    </row>
    <row r="174" spans="1:27" x14ac:dyDescent="0.3">
      <c r="A174">
        <v>41</v>
      </c>
      <c r="B174">
        <v>456</v>
      </c>
      <c r="D174">
        <v>0</v>
      </c>
      <c r="E174" t="s">
        <v>27</v>
      </c>
      <c r="F174" s="9">
        <v>44463</v>
      </c>
      <c r="G174" t="s">
        <v>28</v>
      </c>
      <c r="H174" t="s">
        <v>29</v>
      </c>
      <c r="I174">
        <v>17</v>
      </c>
      <c r="J174">
        <v>169.83099999999999</v>
      </c>
      <c r="K174" t="s">
        <v>429</v>
      </c>
      <c r="L174" t="s">
        <v>430</v>
      </c>
      <c r="O174">
        <v>0</v>
      </c>
      <c r="U174" t="s">
        <v>37</v>
      </c>
      <c r="V174" t="s">
        <v>38</v>
      </c>
      <c r="X174" t="s">
        <v>431</v>
      </c>
      <c r="Z174" t="s">
        <v>342</v>
      </c>
      <c r="AA174" t="s">
        <v>432</v>
      </c>
    </row>
    <row r="175" spans="1:27" x14ac:dyDescent="0.3">
      <c r="A175">
        <v>42</v>
      </c>
      <c r="B175">
        <v>457</v>
      </c>
      <c r="D175">
        <v>0</v>
      </c>
      <c r="E175" t="s">
        <v>27</v>
      </c>
      <c r="F175" s="9">
        <v>44463</v>
      </c>
      <c r="G175" t="s">
        <v>28</v>
      </c>
      <c r="H175" t="s">
        <v>29</v>
      </c>
      <c r="I175">
        <v>17</v>
      </c>
      <c r="J175">
        <v>169.83099999999999</v>
      </c>
      <c r="K175" t="s">
        <v>429</v>
      </c>
      <c r="L175" t="s">
        <v>430</v>
      </c>
      <c r="O175">
        <v>0</v>
      </c>
      <c r="U175" t="s">
        <v>49</v>
      </c>
      <c r="V175" t="s">
        <v>33</v>
      </c>
      <c r="X175" t="s">
        <v>433</v>
      </c>
      <c r="Z175" t="s">
        <v>342</v>
      </c>
      <c r="AA175" t="s">
        <v>434</v>
      </c>
    </row>
    <row r="176" spans="1:27" x14ac:dyDescent="0.3">
      <c r="A176">
        <v>43</v>
      </c>
      <c r="B176">
        <v>458</v>
      </c>
      <c r="D176">
        <v>0</v>
      </c>
      <c r="E176" t="s">
        <v>27</v>
      </c>
      <c r="F176" s="9">
        <v>44463</v>
      </c>
      <c r="G176" t="s">
        <v>28</v>
      </c>
      <c r="H176" t="s">
        <v>29</v>
      </c>
      <c r="I176">
        <v>17</v>
      </c>
      <c r="J176">
        <v>171.53899999999999</v>
      </c>
      <c r="K176" t="s">
        <v>435</v>
      </c>
      <c r="L176" t="s">
        <v>436</v>
      </c>
      <c r="O176">
        <v>0</v>
      </c>
      <c r="U176" t="s">
        <v>37</v>
      </c>
      <c r="V176" t="s">
        <v>38</v>
      </c>
      <c r="X176" t="s">
        <v>437</v>
      </c>
      <c r="Z176" t="s">
        <v>342</v>
      </c>
      <c r="AA176" t="s">
        <v>438</v>
      </c>
    </row>
    <row r="177" spans="1:27" x14ac:dyDescent="0.3">
      <c r="A177">
        <v>44</v>
      </c>
      <c r="B177">
        <v>459</v>
      </c>
      <c r="D177">
        <v>0</v>
      </c>
      <c r="E177" t="s">
        <v>27</v>
      </c>
      <c r="F177" s="9">
        <v>44463</v>
      </c>
      <c r="G177" t="s">
        <v>28</v>
      </c>
      <c r="H177" t="s">
        <v>29</v>
      </c>
      <c r="I177">
        <v>17</v>
      </c>
      <c r="J177">
        <v>171.53899999999999</v>
      </c>
      <c r="K177" t="s">
        <v>435</v>
      </c>
      <c r="L177" t="s">
        <v>436</v>
      </c>
      <c r="O177">
        <v>0</v>
      </c>
      <c r="U177" t="s">
        <v>37</v>
      </c>
      <c r="V177" t="s">
        <v>38</v>
      </c>
      <c r="X177" t="s">
        <v>439</v>
      </c>
      <c r="Z177" t="s">
        <v>342</v>
      </c>
      <c r="AA177" t="s">
        <v>440</v>
      </c>
    </row>
    <row r="178" spans="1:27" x14ac:dyDescent="0.3">
      <c r="A178">
        <v>1401</v>
      </c>
      <c r="B178">
        <v>460</v>
      </c>
      <c r="D178">
        <v>0</v>
      </c>
      <c r="E178" t="s">
        <v>27</v>
      </c>
      <c r="F178" s="9">
        <v>45159</v>
      </c>
      <c r="G178" t="s">
        <v>441</v>
      </c>
      <c r="H178" t="s">
        <v>442</v>
      </c>
      <c r="I178">
        <v>17</v>
      </c>
      <c r="J178">
        <v>174.624</v>
      </c>
      <c r="K178" t="s">
        <v>443</v>
      </c>
      <c r="L178" t="s">
        <v>444</v>
      </c>
      <c r="U178" t="s">
        <v>79</v>
      </c>
      <c r="V178" t="s">
        <v>33</v>
      </c>
      <c r="Z178" t="s">
        <v>342</v>
      </c>
      <c r="AA178" t="s">
        <v>445</v>
      </c>
    </row>
    <row r="179" spans="1:27" x14ac:dyDescent="0.3">
      <c r="A179">
        <v>46</v>
      </c>
      <c r="B179">
        <v>461</v>
      </c>
      <c r="D179">
        <v>0</v>
      </c>
      <c r="E179" t="s">
        <v>27</v>
      </c>
      <c r="F179" s="9">
        <v>44466</v>
      </c>
      <c r="G179" t="s">
        <v>28</v>
      </c>
      <c r="H179" t="s">
        <v>29</v>
      </c>
      <c r="I179">
        <v>17</v>
      </c>
      <c r="J179">
        <v>176.33699999999999</v>
      </c>
      <c r="K179" t="s">
        <v>446</v>
      </c>
      <c r="L179" t="s">
        <v>447</v>
      </c>
      <c r="O179">
        <v>0</v>
      </c>
      <c r="U179" t="s">
        <v>94</v>
      </c>
      <c r="V179" t="s">
        <v>62</v>
      </c>
      <c r="X179" t="s">
        <v>448</v>
      </c>
      <c r="Z179" t="s">
        <v>342</v>
      </c>
      <c r="AA179" t="s">
        <v>449</v>
      </c>
    </row>
    <row r="180" spans="1:27" x14ac:dyDescent="0.3">
      <c r="A180">
        <v>47</v>
      </c>
      <c r="B180">
        <v>462</v>
      </c>
      <c r="D180">
        <v>0</v>
      </c>
      <c r="E180" t="s">
        <v>27</v>
      </c>
      <c r="F180" s="9">
        <v>44466</v>
      </c>
      <c r="G180" t="s">
        <v>28</v>
      </c>
      <c r="H180" t="s">
        <v>29</v>
      </c>
      <c r="I180">
        <v>17</v>
      </c>
      <c r="J180">
        <v>176.33699999999999</v>
      </c>
      <c r="K180" t="s">
        <v>446</v>
      </c>
      <c r="L180" t="s">
        <v>447</v>
      </c>
      <c r="O180">
        <v>0</v>
      </c>
      <c r="U180" t="s">
        <v>49</v>
      </c>
      <c r="V180" t="s">
        <v>38</v>
      </c>
      <c r="X180" t="s">
        <v>450</v>
      </c>
      <c r="Z180" t="s">
        <v>342</v>
      </c>
      <c r="AA180" t="s">
        <v>451</v>
      </c>
    </row>
    <row r="181" spans="1:27" x14ac:dyDescent="0.3">
      <c r="A181">
        <v>48</v>
      </c>
      <c r="B181">
        <v>463</v>
      </c>
      <c r="D181">
        <v>0</v>
      </c>
      <c r="E181" t="s">
        <v>27</v>
      </c>
      <c r="F181" s="9">
        <v>44466</v>
      </c>
      <c r="G181" t="s">
        <v>28</v>
      </c>
      <c r="H181" t="s">
        <v>29</v>
      </c>
      <c r="I181">
        <v>17</v>
      </c>
      <c r="J181">
        <v>199.56299999999999</v>
      </c>
      <c r="K181" t="s">
        <v>452</v>
      </c>
      <c r="L181" t="s">
        <v>453</v>
      </c>
      <c r="O181">
        <v>0</v>
      </c>
      <c r="U181" t="s">
        <v>49</v>
      </c>
      <c r="V181" t="s">
        <v>38</v>
      </c>
      <c r="X181" t="s">
        <v>454</v>
      </c>
      <c r="Z181" t="s">
        <v>342</v>
      </c>
      <c r="AA181" t="s">
        <v>455</v>
      </c>
    </row>
    <row r="182" spans="1:27" x14ac:dyDescent="0.3">
      <c r="A182">
        <v>49</v>
      </c>
      <c r="B182">
        <v>464</v>
      </c>
      <c r="D182">
        <v>0</v>
      </c>
      <c r="E182" t="s">
        <v>27</v>
      </c>
      <c r="F182" s="9">
        <v>44466</v>
      </c>
      <c r="G182" t="s">
        <v>28</v>
      </c>
      <c r="H182" t="s">
        <v>29</v>
      </c>
      <c r="I182">
        <v>17</v>
      </c>
      <c r="J182">
        <v>199.56299999999999</v>
      </c>
      <c r="K182" t="s">
        <v>452</v>
      </c>
      <c r="L182" t="s">
        <v>453</v>
      </c>
      <c r="O182">
        <v>0</v>
      </c>
      <c r="U182" t="s">
        <v>32</v>
      </c>
      <c r="V182" t="s">
        <v>33</v>
      </c>
      <c r="X182" t="s">
        <v>456</v>
      </c>
      <c r="Z182" t="s">
        <v>342</v>
      </c>
      <c r="AA182" t="s">
        <v>457</v>
      </c>
    </row>
    <row r="183" spans="1:27" x14ac:dyDescent="0.3">
      <c r="A183">
        <v>50</v>
      </c>
      <c r="B183">
        <v>465</v>
      </c>
      <c r="D183">
        <v>0</v>
      </c>
      <c r="E183" t="s">
        <v>27</v>
      </c>
      <c r="F183" s="9">
        <v>44466</v>
      </c>
      <c r="G183" t="s">
        <v>28</v>
      </c>
      <c r="H183" t="s">
        <v>29</v>
      </c>
      <c r="I183">
        <v>17</v>
      </c>
      <c r="J183">
        <v>199.56299999999999</v>
      </c>
      <c r="K183" t="s">
        <v>452</v>
      </c>
      <c r="L183" t="s">
        <v>453</v>
      </c>
      <c r="O183">
        <v>0</v>
      </c>
      <c r="U183" t="s">
        <v>113</v>
      </c>
      <c r="V183" t="s">
        <v>38</v>
      </c>
      <c r="W183" s="10" t="s">
        <v>458</v>
      </c>
      <c r="Z183" t="s">
        <v>342</v>
      </c>
      <c r="AA183" t="s">
        <v>459</v>
      </c>
    </row>
    <row r="184" spans="1:27" x14ac:dyDescent="0.3">
      <c r="A184">
        <v>51</v>
      </c>
      <c r="B184">
        <v>466</v>
      </c>
      <c r="D184">
        <v>0</v>
      </c>
      <c r="E184" t="s">
        <v>27</v>
      </c>
      <c r="F184" s="9">
        <v>44467</v>
      </c>
      <c r="G184" t="s">
        <v>28</v>
      </c>
      <c r="H184" t="s">
        <v>29</v>
      </c>
      <c r="I184">
        <v>17</v>
      </c>
      <c r="J184">
        <v>207.73099999999999</v>
      </c>
      <c r="K184" t="s">
        <v>460</v>
      </c>
      <c r="L184" t="s">
        <v>461</v>
      </c>
      <c r="O184">
        <v>0</v>
      </c>
      <c r="U184" t="s">
        <v>49</v>
      </c>
      <c r="V184" t="s">
        <v>38</v>
      </c>
      <c r="X184" t="s">
        <v>462</v>
      </c>
      <c r="Z184" t="s">
        <v>342</v>
      </c>
      <c r="AA184" t="s">
        <v>463</v>
      </c>
    </row>
    <row r="185" spans="1:27" x14ac:dyDescent="0.3">
      <c r="A185">
        <v>52</v>
      </c>
      <c r="B185">
        <v>467</v>
      </c>
      <c r="D185">
        <v>0</v>
      </c>
      <c r="E185" t="s">
        <v>27</v>
      </c>
      <c r="F185" s="9">
        <v>44467</v>
      </c>
      <c r="G185" t="s">
        <v>28</v>
      </c>
      <c r="H185" t="s">
        <v>29</v>
      </c>
      <c r="I185">
        <v>17</v>
      </c>
      <c r="J185">
        <v>207.73099999999999</v>
      </c>
      <c r="K185" t="s">
        <v>460</v>
      </c>
      <c r="L185" t="s">
        <v>461</v>
      </c>
      <c r="O185">
        <v>0</v>
      </c>
      <c r="U185" t="s">
        <v>37</v>
      </c>
      <c r="V185" t="s">
        <v>38</v>
      </c>
      <c r="X185" t="s">
        <v>464</v>
      </c>
      <c r="Z185" t="s">
        <v>342</v>
      </c>
      <c r="AA185" t="s">
        <v>465</v>
      </c>
    </row>
    <row r="186" spans="1:27" x14ac:dyDescent="0.3">
      <c r="A186">
        <v>53</v>
      </c>
      <c r="B186">
        <v>468</v>
      </c>
      <c r="D186">
        <v>0</v>
      </c>
      <c r="E186" t="s">
        <v>27</v>
      </c>
      <c r="F186" s="9">
        <v>44467</v>
      </c>
      <c r="G186" t="s">
        <v>28</v>
      </c>
      <c r="H186" t="s">
        <v>29</v>
      </c>
      <c r="I186">
        <v>17</v>
      </c>
      <c r="J186">
        <v>207.73099999999999</v>
      </c>
      <c r="K186" t="s">
        <v>460</v>
      </c>
      <c r="L186" t="s">
        <v>461</v>
      </c>
      <c r="O186">
        <v>0</v>
      </c>
      <c r="U186" t="s">
        <v>293</v>
      </c>
      <c r="V186" t="s">
        <v>38</v>
      </c>
      <c r="W186" s="10" t="s">
        <v>466</v>
      </c>
      <c r="Z186" t="s">
        <v>342</v>
      </c>
      <c r="AA186" t="s">
        <v>467</v>
      </c>
    </row>
    <row r="187" spans="1:27" x14ac:dyDescent="0.3">
      <c r="A187">
        <v>54</v>
      </c>
      <c r="B187">
        <v>469</v>
      </c>
      <c r="D187">
        <v>0</v>
      </c>
      <c r="E187" t="s">
        <v>27</v>
      </c>
      <c r="F187" s="9">
        <v>44467</v>
      </c>
      <c r="G187" t="s">
        <v>28</v>
      </c>
      <c r="H187" t="s">
        <v>29</v>
      </c>
      <c r="I187">
        <v>17</v>
      </c>
      <c r="J187">
        <v>207.73099999999999</v>
      </c>
      <c r="K187" t="s">
        <v>460</v>
      </c>
      <c r="L187" t="s">
        <v>461</v>
      </c>
      <c r="O187">
        <v>0</v>
      </c>
      <c r="U187" t="s">
        <v>79</v>
      </c>
      <c r="V187" t="s">
        <v>38</v>
      </c>
      <c r="W187" s="10" t="s">
        <v>468</v>
      </c>
      <c r="Z187" t="s">
        <v>342</v>
      </c>
      <c r="AA187" t="s">
        <v>469</v>
      </c>
    </row>
    <row r="188" spans="1:27" x14ac:dyDescent="0.3">
      <c r="A188">
        <v>55</v>
      </c>
      <c r="B188">
        <v>470</v>
      </c>
      <c r="D188">
        <v>0</v>
      </c>
      <c r="E188" t="s">
        <v>27</v>
      </c>
      <c r="F188" s="9">
        <v>44467</v>
      </c>
      <c r="G188" t="s">
        <v>28</v>
      </c>
      <c r="H188" t="s">
        <v>29</v>
      </c>
      <c r="I188">
        <v>17</v>
      </c>
      <c r="J188">
        <v>207.73099999999999</v>
      </c>
      <c r="K188" t="s">
        <v>460</v>
      </c>
      <c r="L188" t="s">
        <v>461</v>
      </c>
      <c r="O188">
        <v>0</v>
      </c>
      <c r="U188" t="s">
        <v>32</v>
      </c>
      <c r="V188" t="s">
        <v>33</v>
      </c>
      <c r="X188" t="s">
        <v>470</v>
      </c>
      <c r="Z188" t="s">
        <v>342</v>
      </c>
      <c r="AA188" t="s">
        <v>471</v>
      </c>
    </row>
    <row r="189" spans="1:27" x14ac:dyDescent="0.3">
      <c r="A189">
        <v>56</v>
      </c>
      <c r="B189">
        <v>471</v>
      </c>
      <c r="D189">
        <v>0</v>
      </c>
      <c r="E189" t="s">
        <v>27</v>
      </c>
      <c r="F189" s="9">
        <v>44467</v>
      </c>
      <c r="G189" t="s">
        <v>28</v>
      </c>
      <c r="H189" t="s">
        <v>29</v>
      </c>
      <c r="I189">
        <v>17</v>
      </c>
      <c r="J189">
        <v>207.73099999999999</v>
      </c>
      <c r="K189" t="s">
        <v>460</v>
      </c>
      <c r="L189" t="s">
        <v>461</v>
      </c>
      <c r="O189">
        <v>0</v>
      </c>
      <c r="U189" t="s">
        <v>32</v>
      </c>
      <c r="V189" t="s">
        <v>33</v>
      </c>
      <c r="X189" t="s">
        <v>472</v>
      </c>
      <c r="Z189" t="s">
        <v>342</v>
      </c>
      <c r="AA189" t="s">
        <v>473</v>
      </c>
    </row>
    <row r="190" spans="1:27" x14ac:dyDescent="0.3">
      <c r="A190">
        <v>57</v>
      </c>
      <c r="B190">
        <v>485</v>
      </c>
      <c r="D190">
        <v>0</v>
      </c>
      <c r="E190" t="s">
        <v>27</v>
      </c>
      <c r="F190" s="9">
        <v>44467</v>
      </c>
      <c r="G190" t="s">
        <v>28</v>
      </c>
      <c r="H190" t="s">
        <v>29</v>
      </c>
      <c r="I190">
        <v>17</v>
      </c>
      <c r="J190">
        <v>231.815</v>
      </c>
      <c r="K190" t="s">
        <v>474</v>
      </c>
      <c r="L190" t="s">
        <v>475</v>
      </c>
      <c r="O190">
        <v>0</v>
      </c>
      <c r="U190" t="s">
        <v>94</v>
      </c>
      <c r="V190" t="s">
        <v>38</v>
      </c>
      <c r="X190" t="s">
        <v>476</v>
      </c>
      <c r="Z190" t="s">
        <v>162</v>
      </c>
      <c r="AA190" t="s">
        <v>477</v>
      </c>
    </row>
    <row r="191" spans="1:27" x14ac:dyDescent="0.3">
      <c r="A191">
        <v>58</v>
      </c>
      <c r="B191">
        <v>486</v>
      </c>
      <c r="D191">
        <v>0</v>
      </c>
      <c r="E191" t="s">
        <v>27</v>
      </c>
      <c r="F191" s="9">
        <v>44467</v>
      </c>
      <c r="G191" t="s">
        <v>28</v>
      </c>
      <c r="H191" t="s">
        <v>29</v>
      </c>
      <c r="I191">
        <v>17</v>
      </c>
      <c r="J191">
        <v>231.815</v>
      </c>
      <c r="K191" t="s">
        <v>474</v>
      </c>
      <c r="L191" t="s">
        <v>475</v>
      </c>
      <c r="O191">
        <v>0</v>
      </c>
      <c r="U191" t="s">
        <v>94</v>
      </c>
      <c r="V191" t="s">
        <v>38</v>
      </c>
      <c r="X191" t="s">
        <v>478</v>
      </c>
      <c r="Z191" t="s">
        <v>162</v>
      </c>
      <c r="AA191" t="s">
        <v>479</v>
      </c>
    </row>
    <row r="192" spans="1:27" x14ac:dyDescent="0.3">
      <c r="A192">
        <v>59</v>
      </c>
      <c r="B192">
        <v>487</v>
      </c>
      <c r="D192">
        <v>0</v>
      </c>
      <c r="E192" t="s">
        <v>27</v>
      </c>
      <c r="F192" s="9">
        <v>44467</v>
      </c>
      <c r="G192" t="s">
        <v>28</v>
      </c>
      <c r="H192" t="s">
        <v>29</v>
      </c>
      <c r="I192">
        <v>17</v>
      </c>
      <c r="J192">
        <v>231.815</v>
      </c>
      <c r="K192" t="s">
        <v>474</v>
      </c>
      <c r="L192" t="s">
        <v>475</v>
      </c>
      <c r="O192">
        <v>0</v>
      </c>
      <c r="U192" t="s">
        <v>37</v>
      </c>
      <c r="V192" t="s">
        <v>33</v>
      </c>
      <c r="X192" t="s">
        <v>480</v>
      </c>
      <c r="Z192" t="s">
        <v>162</v>
      </c>
      <c r="AA192" t="s">
        <v>481</v>
      </c>
    </row>
    <row r="193" spans="1:27" x14ac:dyDescent="0.3">
      <c r="A193">
        <v>60</v>
      </c>
      <c r="B193">
        <v>488</v>
      </c>
      <c r="D193">
        <v>0</v>
      </c>
      <c r="E193" t="s">
        <v>27</v>
      </c>
      <c r="F193" s="9">
        <v>44467</v>
      </c>
      <c r="G193" t="s">
        <v>28</v>
      </c>
      <c r="H193" t="s">
        <v>29</v>
      </c>
      <c r="I193">
        <v>17</v>
      </c>
      <c r="J193">
        <v>231.815</v>
      </c>
      <c r="K193" t="s">
        <v>474</v>
      </c>
      <c r="L193" t="s">
        <v>475</v>
      </c>
      <c r="O193">
        <v>0</v>
      </c>
      <c r="U193" t="s">
        <v>37</v>
      </c>
      <c r="V193" t="s">
        <v>38</v>
      </c>
      <c r="X193" t="s">
        <v>482</v>
      </c>
      <c r="Z193" t="s">
        <v>162</v>
      </c>
      <c r="AA193" t="s">
        <v>483</v>
      </c>
    </row>
    <row r="194" spans="1:27" x14ac:dyDescent="0.3">
      <c r="A194">
        <v>61</v>
      </c>
      <c r="B194">
        <v>489</v>
      </c>
      <c r="D194">
        <v>0</v>
      </c>
      <c r="E194" t="s">
        <v>27</v>
      </c>
      <c r="F194" s="9">
        <v>44467</v>
      </c>
      <c r="G194" t="s">
        <v>28</v>
      </c>
      <c r="H194" t="s">
        <v>29</v>
      </c>
      <c r="I194">
        <v>17</v>
      </c>
      <c r="J194">
        <v>231.815</v>
      </c>
      <c r="K194" t="s">
        <v>474</v>
      </c>
      <c r="L194" t="s">
        <v>475</v>
      </c>
      <c r="O194">
        <v>0</v>
      </c>
      <c r="U194" t="s">
        <v>49</v>
      </c>
      <c r="V194" t="s">
        <v>62</v>
      </c>
      <c r="X194" t="s">
        <v>484</v>
      </c>
      <c r="Z194" t="s">
        <v>162</v>
      </c>
      <c r="AA194" t="s">
        <v>485</v>
      </c>
    </row>
    <row r="195" spans="1:27" x14ac:dyDescent="0.3">
      <c r="A195">
        <v>62</v>
      </c>
      <c r="B195">
        <v>490</v>
      </c>
      <c r="D195">
        <v>0</v>
      </c>
      <c r="E195" t="s">
        <v>27</v>
      </c>
      <c r="F195" s="9">
        <v>44467</v>
      </c>
      <c r="G195" t="s">
        <v>28</v>
      </c>
      <c r="H195" t="s">
        <v>29</v>
      </c>
      <c r="I195">
        <v>17</v>
      </c>
      <c r="J195">
        <v>231.815</v>
      </c>
      <c r="K195" t="s">
        <v>474</v>
      </c>
      <c r="L195" t="s">
        <v>475</v>
      </c>
      <c r="O195">
        <v>0</v>
      </c>
      <c r="U195" t="s">
        <v>37</v>
      </c>
      <c r="V195" t="s">
        <v>38</v>
      </c>
      <c r="X195" t="s">
        <v>486</v>
      </c>
      <c r="Z195" t="s">
        <v>162</v>
      </c>
      <c r="AA195" t="s">
        <v>487</v>
      </c>
    </row>
    <row r="196" spans="1:27" x14ac:dyDescent="0.3">
      <c r="A196">
        <v>63</v>
      </c>
      <c r="B196">
        <v>491</v>
      </c>
      <c r="D196">
        <v>0</v>
      </c>
      <c r="E196" t="s">
        <v>27</v>
      </c>
      <c r="F196" s="9">
        <v>44468</v>
      </c>
      <c r="G196" t="s">
        <v>28</v>
      </c>
      <c r="H196" t="s">
        <v>29</v>
      </c>
      <c r="I196">
        <v>17</v>
      </c>
      <c r="J196">
        <v>236.678</v>
      </c>
      <c r="K196" t="s">
        <v>488</v>
      </c>
      <c r="L196" t="s">
        <v>489</v>
      </c>
      <c r="O196">
        <v>0</v>
      </c>
      <c r="U196" t="s">
        <v>37</v>
      </c>
      <c r="V196" t="s">
        <v>38</v>
      </c>
      <c r="X196" t="s">
        <v>490</v>
      </c>
      <c r="Z196" t="s">
        <v>162</v>
      </c>
      <c r="AA196" t="s">
        <v>491</v>
      </c>
    </row>
    <row r="197" spans="1:27" x14ac:dyDescent="0.3">
      <c r="A197">
        <v>19</v>
      </c>
      <c r="B197">
        <v>434</v>
      </c>
      <c r="D197">
        <v>0</v>
      </c>
      <c r="E197" t="s">
        <v>27</v>
      </c>
      <c r="F197" s="9">
        <v>44448</v>
      </c>
      <c r="G197" t="s">
        <v>28</v>
      </c>
      <c r="H197" t="s">
        <v>29</v>
      </c>
      <c r="I197">
        <v>17</v>
      </c>
      <c r="J197">
        <v>126.789</v>
      </c>
      <c r="K197" t="s">
        <v>492</v>
      </c>
      <c r="L197" t="s">
        <v>493</v>
      </c>
      <c r="O197">
        <v>0</v>
      </c>
      <c r="U197" t="s">
        <v>113</v>
      </c>
      <c r="V197" t="s">
        <v>38</v>
      </c>
      <c r="W197" s="10" t="s">
        <v>494</v>
      </c>
      <c r="Z197" t="s">
        <v>342</v>
      </c>
      <c r="AA197" t="s">
        <v>495</v>
      </c>
    </row>
    <row r="198" spans="1:27" x14ac:dyDescent="0.3">
      <c r="A198">
        <v>20</v>
      </c>
      <c r="B198">
        <v>435</v>
      </c>
      <c r="D198">
        <v>0</v>
      </c>
      <c r="E198" t="s">
        <v>27</v>
      </c>
      <c r="F198" s="9">
        <v>44448</v>
      </c>
      <c r="G198" t="s">
        <v>28</v>
      </c>
      <c r="H198" t="s">
        <v>29</v>
      </c>
      <c r="I198">
        <v>17</v>
      </c>
      <c r="J198">
        <v>126.789</v>
      </c>
      <c r="K198" t="s">
        <v>492</v>
      </c>
      <c r="L198" t="s">
        <v>493</v>
      </c>
      <c r="O198">
        <v>0</v>
      </c>
      <c r="U198" t="s">
        <v>37</v>
      </c>
      <c r="V198" t="s">
        <v>38</v>
      </c>
      <c r="X198" t="s">
        <v>496</v>
      </c>
      <c r="Z198" t="s">
        <v>342</v>
      </c>
      <c r="AA198" t="s">
        <v>497</v>
      </c>
    </row>
    <row r="199" spans="1:27" x14ac:dyDescent="0.3">
      <c r="A199">
        <v>21</v>
      </c>
      <c r="B199">
        <v>436</v>
      </c>
      <c r="D199">
        <v>0</v>
      </c>
      <c r="E199" t="s">
        <v>27</v>
      </c>
      <c r="F199" s="9">
        <v>44448</v>
      </c>
      <c r="G199" t="s">
        <v>28</v>
      </c>
      <c r="H199" t="s">
        <v>29</v>
      </c>
      <c r="I199">
        <v>17</v>
      </c>
      <c r="J199">
        <v>126.789</v>
      </c>
      <c r="K199" t="s">
        <v>492</v>
      </c>
      <c r="L199" t="s">
        <v>493</v>
      </c>
      <c r="O199">
        <v>0</v>
      </c>
      <c r="U199" t="s">
        <v>37</v>
      </c>
      <c r="V199" t="s">
        <v>38</v>
      </c>
      <c r="X199" t="s">
        <v>498</v>
      </c>
      <c r="Z199" t="s">
        <v>342</v>
      </c>
      <c r="AA199" t="s">
        <v>499</v>
      </c>
    </row>
    <row r="200" spans="1:27" x14ac:dyDescent="0.3">
      <c r="A200">
        <v>22</v>
      </c>
      <c r="B200">
        <v>437</v>
      </c>
      <c r="D200">
        <v>0</v>
      </c>
      <c r="E200" t="s">
        <v>27</v>
      </c>
      <c r="F200" s="9">
        <v>44448</v>
      </c>
      <c r="G200" t="s">
        <v>28</v>
      </c>
      <c r="H200" t="s">
        <v>29</v>
      </c>
      <c r="I200">
        <v>17</v>
      </c>
      <c r="J200">
        <v>128.887</v>
      </c>
      <c r="K200" t="s">
        <v>500</v>
      </c>
      <c r="L200" t="s">
        <v>501</v>
      </c>
      <c r="O200">
        <v>0</v>
      </c>
      <c r="U200" t="s">
        <v>49</v>
      </c>
      <c r="V200" t="s">
        <v>38</v>
      </c>
      <c r="X200" t="s">
        <v>502</v>
      </c>
      <c r="Z200" t="s">
        <v>342</v>
      </c>
      <c r="AA200" t="s">
        <v>503</v>
      </c>
    </row>
    <row r="201" spans="1:27" x14ac:dyDescent="0.3">
      <c r="A201">
        <v>23</v>
      </c>
      <c r="B201">
        <v>438</v>
      </c>
      <c r="D201">
        <v>0</v>
      </c>
      <c r="E201" t="s">
        <v>27</v>
      </c>
      <c r="F201" s="9">
        <v>44448</v>
      </c>
      <c r="G201" t="s">
        <v>28</v>
      </c>
      <c r="H201" t="s">
        <v>29</v>
      </c>
      <c r="I201">
        <v>17</v>
      </c>
      <c r="J201">
        <v>128.887</v>
      </c>
      <c r="K201" t="s">
        <v>500</v>
      </c>
      <c r="L201" t="s">
        <v>501</v>
      </c>
      <c r="O201">
        <v>0</v>
      </c>
      <c r="U201" t="s">
        <v>37</v>
      </c>
      <c r="V201" t="s">
        <v>62</v>
      </c>
      <c r="X201" t="s">
        <v>504</v>
      </c>
      <c r="Z201" t="s">
        <v>342</v>
      </c>
      <c r="AA201" t="s">
        <v>505</v>
      </c>
    </row>
    <row r="202" spans="1:27" x14ac:dyDescent="0.3">
      <c r="A202">
        <v>24</v>
      </c>
      <c r="B202">
        <v>439</v>
      </c>
      <c r="D202">
        <v>0</v>
      </c>
      <c r="E202" t="s">
        <v>27</v>
      </c>
      <c r="F202" s="9">
        <v>44448</v>
      </c>
      <c r="G202" t="s">
        <v>28</v>
      </c>
      <c r="H202" t="s">
        <v>29</v>
      </c>
      <c r="I202">
        <v>17</v>
      </c>
      <c r="J202">
        <v>128.887</v>
      </c>
      <c r="K202" t="s">
        <v>500</v>
      </c>
      <c r="L202" t="s">
        <v>501</v>
      </c>
      <c r="O202">
        <v>0</v>
      </c>
      <c r="U202" t="s">
        <v>94</v>
      </c>
      <c r="V202" t="s">
        <v>38</v>
      </c>
      <c r="X202" t="s">
        <v>506</v>
      </c>
      <c r="Z202" t="s">
        <v>342</v>
      </c>
      <c r="AA202" t="s">
        <v>507</v>
      </c>
    </row>
    <row r="203" spans="1:27" x14ac:dyDescent="0.3">
      <c r="A203">
        <v>25</v>
      </c>
      <c r="B203">
        <v>440</v>
      </c>
      <c r="D203">
        <v>0</v>
      </c>
      <c r="E203" t="s">
        <v>27</v>
      </c>
      <c r="F203" s="9">
        <v>44448</v>
      </c>
      <c r="G203" t="s">
        <v>28</v>
      </c>
      <c r="H203" t="s">
        <v>29</v>
      </c>
      <c r="I203">
        <v>17</v>
      </c>
      <c r="J203">
        <v>128.887</v>
      </c>
      <c r="K203" t="s">
        <v>500</v>
      </c>
      <c r="L203" t="s">
        <v>501</v>
      </c>
      <c r="O203">
        <v>0</v>
      </c>
      <c r="U203" t="s">
        <v>94</v>
      </c>
      <c r="V203" t="s">
        <v>33</v>
      </c>
      <c r="X203" t="s">
        <v>508</v>
      </c>
      <c r="Z203" t="s">
        <v>342</v>
      </c>
      <c r="AA203" t="s">
        <v>509</v>
      </c>
    </row>
    <row r="204" spans="1:27" x14ac:dyDescent="0.3">
      <c r="A204">
        <v>26</v>
      </c>
      <c r="B204">
        <v>441</v>
      </c>
      <c r="D204">
        <v>0</v>
      </c>
      <c r="E204" t="s">
        <v>27</v>
      </c>
      <c r="F204" s="9">
        <v>44448</v>
      </c>
      <c r="G204" t="s">
        <v>28</v>
      </c>
      <c r="H204" t="s">
        <v>29</v>
      </c>
      <c r="I204">
        <v>17</v>
      </c>
      <c r="J204">
        <v>128.887</v>
      </c>
      <c r="K204" t="s">
        <v>500</v>
      </c>
      <c r="L204" t="s">
        <v>501</v>
      </c>
      <c r="O204">
        <v>0</v>
      </c>
      <c r="U204" t="s">
        <v>32</v>
      </c>
      <c r="V204" t="s">
        <v>62</v>
      </c>
      <c r="X204" t="s">
        <v>510</v>
      </c>
      <c r="Z204" t="s">
        <v>342</v>
      </c>
      <c r="AA204" t="s">
        <v>511</v>
      </c>
    </row>
    <row r="205" spans="1:27" x14ac:dyDescent="0.3">
      <c r="A205">
        <v>27</v>
      </c>
      <c r="B205">
        <v>442</v>
      </c>
      <c r="D205">
        <v>0</v>
      </c>
      <c r="E205" t="s">
        <v>27</v>
      </c>
      <c r="F205" s="9">
        <v>44448</v>
      </c>
      <c r="G205" t="s">
        <v>28</v>
      </c>
      <c r="H205" t="s">
        <v>29</v>
      </c>
      <c r="I205">
        <v>17</v>
      </c>
      <c r="J205">
        <v>128.887</v>
      </c>
      <c r="K205" t="s">
        <v>500</v>
      </c>
      <c r="L205" t="s">
        <v>501</v>
      </c>
      <c r="O205">
        <v>0</v>
      </c>
      <c r="U205" t="s">
        <v>293</v>
      </c>
      <c r="V205" t="s">
        <v>38</v>
      </c>
      <c r="W205" s="10" t="s">
        <v>512</v>
      </c>
      <c r="Z205" t="s">
        <v>342</v>
      </c>
      <c r="AA205" t="s">
        <v>513</v>
      </c>
    </row>
    <row r="206" spans="1:27" x14ac:dyDescent="0.3">
      <c r="A206">
        <v>28</v>
      </c>
      <c r="B206">
        <v>443</v>
      </c>
      <c r="D206">
        <v>0</v>
      </c>
      <c r="E206" t="s">
        <v>27</v>
      </c>
      <c r="F206" s="9">
        <v>44448</v>
      </c>
      <c r="G206" t="s">
        <v>28</v>
      </c>
      <c r="H206" t="s">
        <v>29</v>
      </c>
      <c r="I206">
        <v>17</v>
      </c>
      <c r="J206">
        <v>128.887</v>
      </c>
      <c r="K206" t="s">
        <v>500</v>
      </c>
      <c r="L206" t="s">
        <v>501</v>
      </c>
      <c r="O206">
        <v>0</v>
      </c>
      <c r="U206" t="s">
        <v>293</v>
      </c>
      <c r="V206" t="s">
        <v>38</v>
      </c>
      <c r="W206" s="10" t="s">
        <v>514</v>
      </c>
      <c r="Z206" t="s">
        <v>342</v>
      </c>
      <c r="AA206" t="s">
        <v>515</v>
      </c>
    </row>
    <row r="207" spans="1:27" x14ac:dyDescent="0.3">
      <c r="A207">
        <v>932</v>
      </c>
      <c r="B207">
        <v>831</v>
      </c>
      <c r="D207">
        <v>0</v>
      </c>
      <c r="E207" t="s">
        <v>107</v>
      </c>
      <c r="F207" s="9">
        <v>44850</v>
      </c>
      <c r="G207" t="s">
        <v>351</v>
      </c>
      <c r="H207" t="s">
        <v>29</v>
      </c>
      <c r="I207">
        <v>14</v>
      </c>
      <c r="J207">
        <v>125.8</v>
      </c>
      <c r="K207" t="s">
        <v>516</v>
      </c>
      <c r="L207" t="s">
        <v>517</v>
      </c>
      <c r="O207">
        <v>50</v>
      </c>
      <c r="T207" t="s">
        <v>347</v>
      </c>
      <c r="U207" t="s">
        <v>293</v>
      </c>
      <c r="V207" t="s">
        <v>38</v>
      </c>
      <c r="W207" s="10" t="s">
        <v>518</v>
      </c>
      <c r="X207" t="s">
        <v>519</v>
      </c>
      <c r="Z207" t="s">
        <v>520</v>
      </c>
      <c r="AA207" t="s">
        <v>521</v>
      </c>
    </row>
    <row r="208" spans="1:27" x14ac:dyDescent="0.3">
      <c r="A208">
        <v>933</v>
      </c>
      <c r="B208">
        <v>832</v>
      </c>
      <c r="D208">
        <v>0</v>
      </c>
      <c r="E208" t="s">
        <v>107</v>
      </c>
      <c r="F208" s="9">
        <v>44851</v>
      </c>
      <c r="G208" t="s">
        <v>351</v>
      </c>
      <c r="H208" t="s">
        <v>29</v>
      </c>
      <c r="I208">
        <v>14</v>
      </c>
      <c r="J208">
        <v>118.917</v>
      </c>
      <c r="K208" t="s">
        <v>522</v>
      </c>
      <c r="L208" t="s">
        <v>523</v>
      </c>
      <c r="O208">
        <v>70</v>
      </c>
      <c r="T208" t="s">
        <v>347</v>
      </c>
      <c r="U208" t="s">
        <v>293</v>
      </c>
      <c r="V208" t="s">
        <v>38</v>
      </c>
      <c r="W208" s="10" t="s">
        <v>524</v>
      </c>
      <c r="X208" t="s">
        <v>525</v>
      </c>
      <c r="Z208" t="s">
        <v>520</v>
      </c>
      <c r="AA208" t="s">
        <v>526</v>
      </c>
    </row>
    <row r="209" spans="1:27" x14ac:dyDescent="0.3">
      <c r="A209">
        <v>934</v>
      </c>
      <c r="B209">
        <v>828</v>
      </c>
      <c r="D209">
        <v>0</v>
      </c>
      <c r="E209" t="s">
        <v>107</v>
      </c>
      <c r="F209" s="9">
        <v>44851</v>
      </c>
      <c r="G209" t="s">
        <v>351</v>
      </c>
      <c r="H209" t="s">
        <v>29</v>
      </c>
      <c r="I209">
        <v>14</v>
      </c>
      <c r="J209">
        <v>120.99299999999999</v>
      </c>
      <c r="K209" t="s">
        <v>527</v>
      </c>
      <c r="L209" t="s">
        <v>528</v>
      </c>
      <c r="O209">
        <v>80</v>
      </c>
      <c r="T209" t="s">
        <v>347</v>
      </c>
      <c r="U209" t="s">
        <v>293</v>
      </c>
      <c r="V209" t="s">
        <v>38</v>
      </c>
      <c r="W209" s="10" t="s">
        <v>524</v>
      </c>
      <c r="X209" t="s">
        <v>529</v>
      </c>
      <c r="Z209" t="s">
        <v>520</v>
      </c>
      <c r="AA209" t="s">
        <v>530</v>
      </c>
    </row>
    <row r="210" spans="1:27" x14ac:dyDescent="0.3">
      <c r="A210">
        <v>935</v>
      </c>
      <c r="B210">
        <v>829</v>
      </c>
      <c r="D210">
        <v>0</v>
      </c>
      <c r="E210" t="s">
        <v>107</v>
      </c>
      <c r="F210" s="9">
        <v>44851</v>
      </c>
      <c r="G210" t="s">
        <v>351</v>
      </c>
      <c r="H210" t="s">
        <v>29</v>
      </c>
      <c r="I210">
        <v>14</v>
      </c>
      <c r="J210">
        <v>122.28</v>
      </c>
      <c r="K210" t="s">
        <v>531</v>
      </c>
      <c r="L210" t="s">
        <v>532</v>
      </c>
      <c r="O210">
        <v>60</v>
      </c>
      <c r="T210" t="s">
        <v>347</v>
      </c>
      <c r="U210" t="s">
        <v>293</v>
      </c>
      <c r="V210" t="s">
        <v>38</v>
      </c>
      <c r="W210" s="10" t="s">
        <v>524</v>
      </c>
      <c r="X210" t="s">
        <v>533</v>
      </c>
      <c r="Z210" t="s">
        <v>520</v>
      </c>
      <c r="AA210" t="s">
        <v>534</v>
      </c>
    </row>
    <row r="211" spans="1:27" x14ac:dyDescent="0.3">
      <c r="A211">
        <v>936</v>
      </c>
      <c r="B211">
        <v>830</v>
      </c>
      <c r="D211">
        <v>0</v>
      </c>
      <c r="E211" t="s">
        <v>107</v>
      </c>
      <c r="F211" s="9">
        <v>44851</v>
      </c>
      <c r="G211" t="s">
        <v>351</v>
      </c>
      <c r="H211" t="s">
        <v>29</v>
      </c>
      <c r="I211">
        <v>14</v>
      </c>
      <c r="J211">
        <v>122.28</v>
      </c>
      <c r="K211" t="s">
        <v>531</v>
      </c>
      <c r="L211" t="s">
        <v>532</v>
      </c>
      <c r="O211">
        <v>1</v>
      </c>
      <c r="T211" t="s">
        <v>317</v>
      </c>
      <c r="U211" t="s">
        <v>49</v>
      </c>
      <c r="V211" t="s">
        <v>38</v>
      </c>
      <c r="X211" t="s">
        <v>535</v>
      </c>
      <c r="Z211" t="s">
        <v>520</v>
      </c>
      <c r="AA211" t="s">
        <v>536</v>
      </c>
    </row>
    <row r="212" spans="1:27" x14ac:dyDescent="0.3">
      <c r="A212">
        <v>1128</v>
      </c>
      <c r="B212">
        <v>843</v>
      </c>
      <c r="D212">
        <v>0</v>
      </c>
      <c r="E212" t="s">
        <v>107</v>
      </c>
      <c r="F212" s="9">
        <v>44902</v>
      </c>
      <c r="G212" t="s">
        <v>537</v>
      </c>
      <c r="H212" t="s">
        <v>442</v>
      </c>
      <c r="I212">
        <v>14</v>
      </c>
      <c r="J212">
        <v>107.852</v>
      </c>
      <c r="K212" t="s">
        <v>538</v>
      </c>
      <c r="L212" t="s">
        <v>539</v>
      </c>
      <c r="T212" t="s">
        <v>347</v>
      </c>
      <c r="U212" t="s">
        <v>293</v>
      </c>
      <c r="V212" t="s">
        <v>33</v>
      </c>
      <c r="X212" t="s">
        <v>540</v>
      </c>
      <c r="Z212" t="s">
        <v>520</v>
      </c>
      <c r="AA212" t="s">
        <v>541</v>
      </c>
    </row>
    <row r="213" spans="1:27" x14ac:dyDescent="0.3">
      <c r="A213">
        <v>1072</v>
      </c>
      <c r="B213">
        <v>870</v>
      </c>
      <c r="D213">
        <v>0</v>
      </c>
      <c r="E213" t="s">
        <v>107</v>
      </c>
      <c r="F213" s="9">
        <v>44876</v>
      </c>
      <c r="G213" t="s">
        <v>351</v>
      </c>
      <c r="H213" t="s">
        <v>29</v>
      </c>
      <c r="I213">
        <v>17</v>
      </c>
      <c r="J213">
        <v>121.539</v>
      </c>
      <c r="K213" t="s">
        <v>385</v>
      </c>
      <c r="L213" t="s">
        <v>386</v>
      </c>
      <c r="O213">
        <v>1</v>
      </c>
      <c r="T213" t="s">
        <v>317</v>
      </c>
      <c r="U213" t="s">
        <v>37</v>
      </c>
      <c r="V213" t="s">
        <v>33</v>
      </c>
      <c r="W213" s="10" t="s">
        <v>542</v>
      </c>
      <c r="X213" t="s">
        <v>543</v>
      </c>
      <c r="Z213" t="s">
        <v>342</v>
      </c>
      <c r="AA213" t="s">
        <v>544</v>
      </c>
    </row>
    <row r="214" spans="1:27" x14ac:dyDescent="0.3">
      <c r="A214">
        <v>1073</v>
      </c>
      <c r="B214">
        <v>871</v>
      </c>
      <c r="D214">
        <v>0</v>
      </c>
      <c r="E214" t="s">
        <v>107</v>
      </c>
      <c r="F214" s="9">
        <v>44876</v>
      </c>
      <c r="G214" t="s">
        <v>351</v>
      </c>
      <c r="H214" t="s">
        <v>29</v>
      </c>
      <c r="I214">
        <v>17</v>
      </c>
      <c r="J214">
        <v>121.54</v>
      </c>
      <c r="K214" t="s">
        <v>385</v>
      </c>
      <c r="L214" t="s">
        <v>386</v>
      </c>
      <c r="O214">
        <v>2000</v>
      </c>
      <c r="T214" t="s">
        <v>347</v>
      </c>
      <c r="U214" t="s">
        <v>79</v>
      </c>
      <c r="V214" t="s">
        <v>38</v>
      </c>
      <c r="W214" s="10" t="s">
        <v>524</v>
      </c>
      <c r="X214" t="s">
        <v>545</v>
      </c>
      <c r="Z214" t="s">
        <v>342</v>
      </c>
      <c r="AA214" t="s">
        <v>546</v>
      </c>
    </row>
    <row r="215" spans="1:27" x14ac:dyDescent="0.3">
      <c r="A215">
        <v>1074</v>
      </c>
      <c r="B215">
        <v>872</v>
      </c>
      <c r="D215">
        <v>0</v>
      </c>
      <c r="E215" t="s">
        <v>107</v>
      </c>
      <c r="F215" s="9">
        <v>44876</v>
      </c>
      <c r="G215" t="s">
        <v>351</v>
      </c>
      <c r="H215" t="s">
        <v>29</v>
      </c>
      <c r="I215">
        <v>17</v>
      </c>
      <c r="J215">
        <v>121.68</v>
      </c>
      <c r="K215" t="s">
        <v>385</v>
      </c>
      <c r="L215" t="s">
        <v>386</v>
      </c>
      <c r="O215">
        <v>3</v>
      </c>
      <c r="T215" t="s">
        <v>347</v>
      </c>
      <c r="U215" t="s">
        <v>32</v>
      </c>
      <c r="V215" t="s">
        <v>38</v>
      </c>
      <c r="W215" s="10" t="s">
        <v>547</v>
      </c>
      <c r="X215" t="s">
        <v>548</v>
      </c>
      <c r="Z215" t="s">
        <v>342</v>
      </c>
      <c r="AA215" t="s">
        <v>549</v>
      </c>
    </row>
    <row r="216" spans="1:27" x14ac:dyDescent="0.3">
      <c r="A216">
        <v>1075</v>
      </c>
      <c r="B216">
        <v>873</v>
      </c>
      <c r="D216">
        <v>0</v>
      </c>
      <c r="E216" t="s">
        <v>107</v>
      </c>
      <c r="F216" s="9">
        <v>44876</v>
      </c>
      <c r="G216" t="s">
        <v>351</v>
      </c>
      <c r="H216" t="s">
        <v>29</v>
      </c>
      <c r="I216">
        <v>17</v>
      </c>
      <c r="J216">
        <v>126.96299999999999</v>
      </c>
      <c r="K216" t="s">
        <v>492</v>
      </c>
      <c r="L216" t="s">
        <v>493</v>
      </c>
      <c r="O216">
        <v>350</v>
      </c>
      <c r="T216" t="s">
        <v>347</v>
      </c>
      <c r="U216" t="s">
        <v>293</v>
      </c>
      <c r="V216" t="s">
        <v>38</v>
      </c>
      <c r="W216" s="10" t="s">
        <v>524</v>
      </c>
      <c r="X216" t="s">
        <v>550</v>
      </c>
      <c r="Z216" t="s">
        <v>342</v>
      </c>
      <c r="AA216" t="s">
        <v>551</v>
      </c>
    </row>
    <row r="217" spans="1:27" x14ac:dyDescent="0.3">
      <c r="A217">
        <v>1076</v>
      </c>
      <c r="B217">
        <v>874</v>
      </c>
      <c r="D217">
        <v>0</v>
      </c>
      <c r="E217" t="s">
        <v>107</v>
      </c>
      <c r="F217" s="9">
        <v>44878</v>
      </c>
      <c r="G217" t="s">
        <v>351</v>
      </c>
      <c r="H217" t="s">
        <v>29</v>
      </c>
      <c r="I217">
        <v>17</v>
      </c>
      <c r="J217">
        <v>149.262</v>
      </c>
      <c r="K217" t="s">
        <v>417</v>
      </c>
      <c r="L217" t="s">
        <v>418</v>
      </c>
      <c r="O217">
        <v>700</v>
      </c>
      <c r="T217" t="s">
        <v>347</v>
      </c>
      <c r="U217" t="s">
        <v>293</v>
      </c>
      <c r="V217" t="s">
        <v>38</v>
      </c>
      <c r="W217" s="10" t="s">
        <v>524</v>
      </c>
      <c r="X217" t="s">
        <v>552</v>
      </c>
      <c r="Z217" t="s">
        <v>342</v>
      </c>
      <c r="AA217" t="s">
        <v>553</v>
      </c>
    </row>
    <row r="218" spans="1:27" x14ac:dyDescent="0.3">
      <c r="A218">
        <v>1077</v>
      </c>
      <c r="B218">
        <v>876</v>
      </c>
      <c r="D218">
        <v>0</v>
      </c>
      <c r="E218" t="s">
        <v>107</v>
      </c>
      <c r="F218" s="9">
        <v>44879</v>
      </c>
      <c r="G218" t="s">
        <v>351</v>
      </c>
      <c r="H218" t="s">
        <v>29</v>
      </c>
      <c r="I218">
        <v>17</v>
      </c>
      <c r="J218">
        <v>156.428</v>
      </c>
      <c r="K218" t="s">
        <v>423</v>
      </c>
      <c r="L218" t="s">
        <v>554</v>
      </c>
      <c r="O218">
        <v>250</v>
      </c>
      <c r="T218" t="s">
        <v>347</v>
      </c>
      <c r="U218" t="s">
        <v>293</v>
      </c>
      <c r="V218" t="s">
        <v>38</v>
      </c>
      <c r="W218" s="10" t="s">
        <v>524</v>
      </c>
      <c r="X218" t="s">
        <v>555</v>
      </c>
      <c r="Z218" t="s">
        <v>342</v>
      </c>
      <c r="AA218" t="s">
        <v>556</v>
      </c>
    </row>
    <row r="219" spans="1:27" x14ac:dyDescent="0.3">
      <c r="A219">
        <v>1078</v>
      </c>
      <c r="B219">
        <v>875</v>
      </c>
      <c r="D219">
        <v>0</v>
      </c>
      <c r="E219" t="s">
        <v>107</v>
      </c>
      <c r="F219" s="9">
        <v>44879</v>
      </c>
      <c r="G219" t="s">
        <v>351</v>
      </c>
      <c r="H219" t="s">
        <v>29</v>
      </c>
      <c r="I219">
        <v>17</v>
      </c>
      <c r="J219">
        <v>157.86699999999999</v>
      </c>
      <c r="K219" t="s">
        <v>423</v>
      </c>
      <c r="L219" t="s">
        <v>424</v>
      </c>
      <c r="O219">
        <v>1300</v>
      </c>
      <c r="T219" t="s">
        <v>347</v>
      </c>
      <c r="U219" t="s">
        <v>293</v>
      </c>
      <c r="V219" t="s">
        <v>38</v>
      </c>
      <c r="W219" s="10" t="s">
        <v>557</v>
      </c>
      <c r="X219" t="s">
        <v>558</v>
      </c>
      <c r="Z219" t="s">
        <v>342</v>
      </c>
      <c r="AA219" t="s">
        <v>559</v>
      </c>
    </row>
    <row r="220" spans="1:27" x14ac:dyDescent="0.3">
      <c r="A220">
        <v>1079</v>
      </c>
      <c r="B220">
        <v>877</v>
      </c>
      <c r="D220">
        <v>0</v>
      </c>
      <c r="E220" t="s">
        <v>107</v>
      </c>
      <c r="F220" s="9">
        <v>44880</v>
      </c>
      <c r="G220" t="s">
        <v>351</v>
      </c>
      <c r="H220" t="s">
        <v>29</v>
      </c>
      <c r="I220">
        <v>17</v>
      </c>
      <c r="J220">
        <v>176.691</v>
      </c>
      <c r="K220" t="s">
        <v>446</v>
      </c>
      <c r="L220" t="s">
        <v>447</v>
      </c>
      <c r="O220">
        <v>700</v>
      </c>
      <c r="T220" t="s">
        <v>268</v>
      </c>
      <c r="U220" t="s">
        <v>293</v>
      </c>
      <c r="V220" t="s">
        <v>38</v>
      </c>
      <c r="W220" s="10" t="s">
        <v>524</v>
      </c>
      <c r="X220" t="s">
        <v>560</v>
      </c>
      <c r="Z220" t="s">
        <v>342</v>
      </c>
      <c r="AA220" t="s">
        <v>561</v>
      </c>
    </row>
    <row r="221" spans="1:27" x14ac:dyDescent="0.3">
      <c r="A221">
        <v>1080</v>
      </c>
      <c r="B221">
        <v>878</v>
      </c>
      <c r="D221">
        <v>0</v>
      </c>
      <c r="E221" t="s">
        <v>107</v>
      </c>
      <c r="F221" s="9">
        <v>44880</v>
      </c>
      <c r="G221" t="s">
        <v>351</v>
      </c>
      <c r="H221" t="s">
        <v>29</v>
      </c>
      <c r="I221">
        <v>17</v>
      </c>
      <c r="J221">
        <v>176.691</v>
      </c>
      <c r="K221" t="s">
        <v>446</v>
      </c>
      <c r="L221" t="s">
        <v>447</v>
      </c>
      <c r="O221">
        <v>700</v>
      </c>
      <c r="T221" t="s">
        <v>347</v>
      </c>
      <c r="U221" t="s">
        <v>293</v>
      </c>
      <c r="V221" t="s">
        <v>38</v>
      </c>
      <c r="W221" s="10" t="s">
        <v>524</v>
      </c>
      <c r="X221" t="s">
        <v>562</v>
      </c>
      <c r="Z221" t="s">
        <v>342</v>
      </c>
      <c r="AA221" t="s">
        <v>563</v>
      </c>
    </row>
    <row r="222" spans="1:27" x14ac:dyDescent="0.3">
      <c r="A222">
        <v>1105</v>
      </c>
      <c r="B222">
        <v>881</v>
      </c>
      <c r="D222">
        <v>0</v>
      </c>
      <c r="E222" t="s">
        <v>107</v>
      </c>
      <c r="F222" s="9">
        <v>44881</v>
      </c>
      <c r="G222" t="s">
        <v>351</v>
      </c>
      <c r="H222" t="s">
        <v>29</v>
      </c>
      <c r="I222">
        <v>17</v>
      </c>
      <c r="J222">
        <v>169.77500000000001</v>
      </c>
      <c r="K222" t="s">
        <v>429</v>
      </c>
      <c r="L222" t="s">
        <v>430</v>
      </c>
      <c r="O222">
        <v>100</v>
      </c>
      <c r="T222" t="s">
        <v>347</v>
      </c>
      <c r="U222" t="s">
        <v>293</v>
      </c>
      <c r="V222" t="s">
        <v>38</v>
      </c>
      <c r="W222" s="10" t="s">
        <v>564</v>
      </c>
      <c r="X222" t="s">
        <v>565</v>
      </c>
      <c r="Z222" t="s">
        <v>342</v>
      </c>
    </row>
    <row r="223" spans="1:27" x14ac:dyDescent="0.3">
      <c r="A223">
        <v>1106</v>
      </c>
      <c r="B223">
        <v>883</v>
      </c>
      <c r="D223">
        <v>0</v>
      </c>
      <c r="E223" t="s">
        <v>107</v>
      </c>
      <c r="F223" s="9">
        <v>44881</v>
      </c>
      <c r="G223" t="s">
        <v>351</v>
      </c>
      <c r="H223" t="s">
        <v>29</v>
      </c>
      <c r="I223">
        <v>17</v>
      </c>
      <c r="J223">
        <v>171.267</v>
      </c>
      <c r="K223" t="s">
        <v>435</v>
      </c>
      <c r="L223" t="s">
        <v>436</v>
      </c>
      <c r="O223">
        <v>10</v>
      </c>
      <c r="T223" t="s">
        <v>112</v>
      </c>
      <c r="U223" t="s">
        <v>566</v>
      </c>
      <c r="V223" t="s">
        <v>38</v>
      </c>
      <c r="X223" t="s">
        <v>567</v>
      </c>
      <c r="Z223" t="s">
        <v>342</v>
      </c>
    </row>
    <row r="224" spans="1:27" x14ac:dyDescent="0.3">
      <c r="A224">
        <v>1107</v>
      </c>
      <c r="B224">
        <v>884</v>
      </c>
      <c r="D224">
        <v>0</v>
      </c>
      <c r="E224" t="s">
        <v>107</v>
      </c>
      <c r="F224" s="9">
        <v>44881</v>
      </c>
      <c r="G224" t="s">
        <v>351</v>
      </c>
      <c r="H224" t="s">
        <v>29</v>
      </c>
      <c r="I224">
        <v>17</v>
      </c>
      <c r="J224">
        <v>171.267</v>
      </c>
      <c r="K224" t="s">
        <v>435</v>
      </c>
      <c r="L224" t="s">
        <v>436</v>
      </c>
      <c r="O224">
        <v>550</v>
      </c>
      <c r="T224" t="s">
        <v>347</v>
      </c>
      <c r="U224" t="s">
        <v>293</v>
      </c>
      <c r="V224" t="s">
        <v>38</v>
      </c>
      <c r="W224" s="10" t="s">
        <v>564</v>
      </c>
      <c r="X224" t="s">
        <v>568</v>
      </c>
      <c r="Z224" t="s">
        <v>342</v>
      </c>
    </row>
    <row r="225" spans="1:27" x14ac:dyDescent="0.3">
      <c r="A225">
        <v>1108</v>
      </c>
      <c r="B225">
        <v>885</v>
      </c>
      <c r="D225">
        <v>0</v>
      </c>
      <c r="E225" t="s">
        <v>107</v>
      </c>
      <c r="F225" s="9">
        <v>44881</v>
      </c>
      <c r="G225" t="s">
        <v>351</v>
      </c>
      <c r="H225" t="s">
        <v>29</v>
      </c>
      <c r="I225">
        <v>17</v>
      </c>
      <c r="J225">
        <v>171.8</v>
      </c>
      <c r="K225" t="s">
        <v>435</v>
      </c>
      <c r="L225" t="s">
        <v>436</v>
      </c>
      <c r="O225">
        <v>10</v>
      </c>
      <c r="T225" t="s">
        <v>569</v>
      </c>
      <c r="U225" t="s">
        <v>566</v>
      </c>
      <c r="V225" t="s">
        <v>38</v>
      </c>
      <c r="X225" t="s">
        <v>570</v>
      </c>
      <c r="Z225" t="s">
        <v>342</v>
      </c>
    </row>
    <row r="226" spans="1:27" x14ac:dyDescent="0.3">
      <c r="A226">
        <v>1109</v>
      </c>
      <c r="B226">
        <v>879</v>
      </c>
      <c r="D226">
        <v>0</v>
      </c>
      <c r="E226" t="s">
        <v>107</v>
      </c>
      <c r="F226" s="9">
        <v>44882</v>
      </c>
      <c r="G226" t="s">
        <v>351</v>
      </c>
      <c r="H226" t="s">
        <v>29</v>
      </c>
      <c r="I226">
        <v>17</v>
      </c>
      <c r="J226">
        <v>207.56800000000001</v>
      </c>
      <c r="K226" t="s">
        <v>460</v>
      </c>
      <c r="L226" t="s">
        <v>461</v>
      </c>
      <c r="O226">
        <v>10</v>
      </c>
      <c r="T226" t="s">
        <v>317</v>
      </c>
      <c r="U226" t="s">
        <v>566</v>
      </c>
      <c r="V226" t="s">
        <v>38</v>
      </c>
      <c r="X226" t="s">
        <v>571</v>
      </c>
      <c r="Z226" t="s">
        <v>342</v>
      </c>
      <c r="AA226" t="s">
        <v>572</v>
      </c>
    </row>
    <row r="227" spans="1:27" x14ac:dyDescent="0.3">
      <c r="A227">
        <v>1110</v>
      </c>
      <c r="B227">
        <v>880</v>
      </c>
      <c r="D227">
        <v>0</v>
      </c>
      <c r="E227" t="s">
        <v>107</v>
      </c>
      <c r="F227" s="9">
        <v>44882</v>
      </c>
      <c r="G227" t="s">
        <v>351</v>
      </c>
      <c r="H227" t="s">
        <v>29</v>
      </c>
      <c r="I227">
        <v>17</v>
      </c>
      <c r="J227">
        <v>207.56800000000001</v>
      </c>
      <c r="K227" t="s">
        <v>460</v>
      </c>
      <c r="L227" t="s">
        <v>461</v>
      </c>
      <c r="O227">
        <v>350</v>
      </c>
      <c r="T227" t="s">
        <v>347</v>
      </c>
      <c r="U227" t="s">
        <v>293</v>
      </c>
      <c r="V227" t="s">
        <v>38</v>
      </c>
      <c r="W227" s="10" t="s">
        <v>524</v>
      </c>
      <c r="X227" t="s">
        <v>573</v>
      </c>
      <c r="Z227" t="s">
        <v>342</v>
      </c>
      <c r="AA227" t="s">
        <v>574</v>
      </c>
    </row>
    <row r="228" spans="1:27" x14ac:dyDescent="0.3">
      <c r="A228">
        <v>1111</v>
      </c>
      <c r="B228">
        <v>891</v>
      </c>
      <c r="D228">
        <v>0</v>
      </c>
      <c r="E228" t="s">
        <v>107</v>
      </c>
      <c r="F228" s="9">
        <v>44883</v>
      </c>
      <c r="G228" t="s">
        <v>351</v>
      </c>
      <c r="H228" t="s">
        <v>29</v>
      </c>
      <c r="I228">
        <v>17</v>
      </c>
      <c r="J228">
        <v>215.84299999999999</v>
      </c>
      <c r="K228" t="s">
        <v>159</v>
      </c>
      <c r="L228" t="s">
        <v>160</v>
      </c>
      <c r="O228">
        <v>450</v>
      </c>
      <c r="T228" t="s">
        <v>347</v>
      </c>
      <c r="U228" t="s">
        <v>293</v>
      </c>
      <c r="V228" t="s">
        <v>38</v>
      </c>
      <c r="W228" s="10" t="s">
        <v>524</v>
      </c>
      <c r="X228" t="s">
        <v>575</v>
      </c>
      <c r="Z228" t="s">
        <v>162</v>
      </c>
      <c r="AA228" t="s">
        <v>576</v>
      </c>
    </row>
    <row r="229" spans="1:27" x14ac:dyDescent="0.3">
      <c r="A229">
        <v>1112</v>
      </c>
      <c r="B229">
        <v>892</v>
      </c>
      <c r="D229">
        <v>0</v>
      </c>
      <c r="E229" t="s">
        <v>107</v>
      </c>
      <c r="F229" s="9">
        <v>44883</v>
      </c>
      <c r="G229" t="s">
        <v>351</v>
      </c>
      <c r="H229" t="s">
        <v>29</v>
      </c>
      <c r="I229">
        <v>17</v>
      </c>
      <c r="J229">
        <v>223.16200000000001</v>
      </c>
      <c r="K229" t="s">
        <v>168</v>
      </c>
      <c r="L229" t="s">
        <v>169</v>
      </c>
      <c r="O229">
        <v>10</v>
      </c>
      <c r="T229" t="s">
        <v>112</v>
      </c>
      <c r="U229" t="s">
        <v>566</v>
      </c>
      <c r="V229" t="s">
        <v>38</v>
      </c>
      <c r="X229" t="s">
        <v>577</v>
      </c>
      <c r="Z229" t="s">
        <v>162</v>
      </c>
      <c r="AA229" t="s">
        <v>578</v>
      </c>
    </row>
    <row r="230" spans="1:27" x14ac:dyDescent="0.3">
      <c r="A230">
        <v>1113</v>
      </c>
      <c r="B230">
        <v>893</v>
      </c>
      <c r="D230">
        <v>0</v>
      </c>
      <c r="E230" t="s">
        <v>107</v>
      </c>
      <c r="F230" s="9">
        <v>44883</v>
      </c>
      <c r="G230" t="s">
        <v>351</v>
      </c>
      <c r="H230" t="s">
        <v>29</v>
      </c>
      <c r="I230">
        <v>17</v>
      </c>
      <c r="J230">
        <v>223.5</v>
      </c>
      <c r="K230" t="s">
        <v>168</v>
      </c>
      <c r="L230" t="s">
        <v>169</v>
      </c>
      <c r="O230">
        <v>10</v>
      </c>
      <c r="T230" t="s">
        <v>569</v>
      </c>
      <c r="U230" t="s">
        <v>566</v>
      </c>
      <c r="V230" t="s">
        <v>38</v>
      </c>
      <c r="W230" s="10" t="s">
        <v>579</v>
      </c>
      <c r="X230" t="s">
        <v>580</v>
      </c>
      <c r="Z230" t="s">
        <v>162</v>
      </c>
      <c r="AA230" t="s">
        <v>581</v>
      </c>
    </row>
    <row r="231" spans="1:27" x14ac:dyDescent="0.3">
      <c r="A231">
        <v>1114</v>
      </c>
      <c r="B231">
        <v>894</v>
      </c>
      <c r="D231">
        <v>0</v>
      </c>
      <c r="E231" t="s">
        <v>107</v>
      </c>
      <c r="F231" s="9">
        <v>44884</v>
      </c>
      <c r="G231" t="s">
        <v>537</v>
      </c>
      <c r="H231" t="s">
        <v>29</v>
      </c>
      <c r="I231">
        <v>17</v>
      </c>
      <c r="J231">
        <v>229.245</v>
      </c>
      <c r="K231" t="s">
        <v>194</v>
      </c>
      <c r="L231" t="s">
        <v>195</v>
      </c>
      <c r="O231">
        <v>5</v>
      </c>
      <c r="T231" t="s">
        <v>317</v>
      </c>
      <c r="U231" t="s">
        <v>37</v>
      </c>
      <c r="V231" t="s">
        <v>38</v>
      </c>
      <c r="X231" t="s">
        <v>582</v>
      </c>
      <c r="Z231" t="s">
        <v>162</v>
      </c>
      <c r="AA231" t="s">
        <v>583</v>
      </c>
    </row>
    <row r="232" spans="1:27" x14ac:dyDescent="0.3">
      <c r="A232">
        <v>1115</v>
      </c>
      <c r="B232">
        <v>895</v>
      </c>
      <c r="D232">
        <v>0</v>
      </c>
      <c r="E232" t="s">
        <v>107</v>
      </c>
      <c r="F232" s="9">
        <v>44884</v>
      </c>
      <c r="G232" t="s">
        <v>537</v>
      </c>
      <c r="H232" t="s">
        <v>29</v>
      </c>
      <c r="I232">
        <v>17</v>
      </c>
      <c r="J232">
        <v>229.245</v>
      </c>
      <c r="K232" t="s">
        <v>194</v>
      </c>
      <c r="L232" t="s">
        <v>195</v>
      </c>
      <c r="O232">
        <v>5</v>
      </c>
      <c r="T232" t="s">
        <v>317</v>
      </c>
      <c r="U232" t="s">
        <v>37</v>
      </c>
      <c r="V232" t="s">
        <v>38</v>
      </c>
      <c r="X232" t="s">
        <v>584</v>
      </c>
      <c r="Z232" t="s">
        <v>162</v>
      </c>
      <c r="AA232" t="s">
        <v>585</v>
      </c>
    </row>
    <row r="233" spans="1:27" x14ac:dyDescent="0.3">
      <c r="A233">
        <v>1116</v>
      </c>
      <c r="B233">
        <v>897</v>
      </c>
      <c r="D233">
        <v>0</v>
      </c>
      <c r="E233" t="s">
        <v>107</v>
      </c>
      <c r="F233" s="9">
        <v>44884</v>
      </c>
      <c r="G233" t="s">
        <v>351</v>
      </c>
      <c r="H233" t="s">
        <v>29</v>
      </c>
      <c r="I233">
        <v>17</v>
      </c>
      <c r="J233">
        <v>231.273</v>
      </c>
      <c r="K233" t="s">
        <v>474</v>
      </c>
      <c r="L233" t="s">
        <v>475</v>
      </c>
      <c r="T233" t="s">
        <v>347</v>
      </c>
      <c r="U233" t="s">
        <v>293</v>
      </c>
      <c r="V233" t="s">
        <v>38</v>
      </c>
      <c r="W233" s="10" t="s">
        <v>564</v>
      </c>
      <c r="X233" t="s">
        <v>586</v>
      </c>
      <c r="Z233" t="s">
        <v>162</v>
      </c>
    </row>
    <row r="234" spans="1:27" x14ac:dyDescent="0.3">
      <c r="A234">
        <v>1117</v>
      </c>
      <c r="B234">
        <v>898</v>
      </c>
      <c r="D234">
        <v>0</v>
      </c>
      <c r="E234" t="s">
        <v>107</v>
      </c>
      <c r="F234" s="9">
        <v>44884</v>
      </c>
      <c r="G234" t="s">
        <v>351</v>
      </c>
      <c r="H234" t="s">
        <v>29</v>
      </c>
      <c r="I234">
        <v>17</v>
      </c>
      <c r="J234">
        <v>231.6</v>
      </c>
      <c r="K234" t="s">
        <v>474</v>
      </c>
      <c r="L234" t="s">
        <v>475</v>
      </c>
      <c r="T234" t="s">
        <v>317</v>
      </c>
      <c r="U234" t="s">
        <v>37</v>
      </c>
      <c r="V234" t="s">
        <v>38</v>
      </c>
      <c r="X234" t="s">
        <v>587</v>
      </c>
      <c r="Z234" t="s">
        <v>162</v>
      </c>
    </row>
    <row r="235" spans="1:27" x14ac:dyDescent="0.3">
      <c r="A235">
        <v>1118</v>
      </c>
      <c r="B235">
        <v>899</v>
      </c>
      <c r="D235">
        <v>0</v>
      </c>
      <c r="E235" t="s">
        <v>107</v>
      </c>
      <c r="F235" s="9">
        <v>44884</v>
      </c>
      <c r="G235" t="s">
        <v>351</v>
      </c>
      <c r="H235" t="s">
        <v>29</v>
      </c>
      <c r="I235">
        <v>17</v>
      </c>
      <c r="J235">
        <v>239.91200000000001</v>
      </c>
      <c r="K235" t="s">
        <v>174</v>
      </c>
      <c r="L235" t="s">
        <v>175</v>
      </c>
      <c r="T235" t="s">
        <v>347</v>
      </c>
      <c r="U235" t="s">
        <v>79</v>
      </c>
      <c r="V235" t="s">
        <v>38</v>
      </c>
      <c r="W235" s="10" t="s">
        <v>564</v>
      </c>
      <c r="X235" t="s">
        <v>588</v>
      </c>
      <c r="Z235" t="s">
        <v>162</v>
      </c>
    </row>
    <row r="236" spans="1:27" x14ac:dyDescent="0.3">
      <c r="A236">
        <v>1119</v>
      </c>
      <c r="B236">
        <v>896</v>
      </c>
      <c r="D236">
        <v>0</v>
      </c>
      <c r="E236" t="s">
        <v>107</v>
      </c>
      <c r="F236" s="9">
        <v>44885</v>
      </c>
      <c r="G236" t="s">
        <v>537</v>
      </c>
      <c r="H236" t="s">
        <v>29</v>
      </c>
      <c r="I236">
        <v>17</v>
      </c>
      <c r="J236">
        <v>224.7</v>
      </c>
      <c r="K236" t="s">
        <v>186</v>
      </c>
      <c r="L236" t="s">
        <v>187</v>
      </c>
      <c r="O236">
        <v>5</v>
      </c>
      <c r="T236" t="s">
        <v>112</v>
      </c>
      <c r="U236" t="s">
        <v>79</v>
      </c>
      <c r="V236" t="s">
        <v>38</v>
      </c>
      <c r="X236" t="s">
        <v>589</v>
      </c>
      <c r="Z236" t="s">
        <v>162</v>
      </c>
      <c r="AA236" t="s">
        <v>590</v>
      </c>
    </row>
    <row r="237" spans="1:27" x14ac:dyDescent="0.3">
      <c r="A237">
        <v>571</v>
      </c>
      <c r="B237">
        <v>222</v>
      </c>
      <c r="D237">
        <v>0</v>
      </c>
      <c r="E237" t="s">
        <v>118</v>
      </c>
      <c r="F237" s="9">
        <v>44580</v>
      </c>
      <c r="G237" t="s">
        <v>119</v>
      </c>
      <c r="H237" t="s">
        <v>29</v>
      </c>
      <c r="I237">
        <v>17</v>
      </c>
      <c r="J237">
        <v>121.267</v>
      </c>
      <c r="K237" t="s">
        <v>591</v>
      </c>
      <c r="L237" t="s">
        <v>386</v>
      </c>
      <c r="P237">
        <v>-29.156803329999999</v>
      </c>
      <c r="R237">
        <v>-51.731238329999996</v>
      </c>
      <c r="U237" t="s">
        <v>32</v>
      </c>
      <c r="V237" t="s">
        <v>33</v>
      </c>
      <c r="W237" s="10" t="s">
        <v>592</v>
      </c>
      <c r="Z237" t="s">
        <v>342</v>
      </c>
      <c r="AA237" t="s">
        <v>593</v>
      </c>
    </row>
    <row r="238" spans="1:27" x14ac:dyDescent="0.3">
      <c r="A238">
        <v>233603</v>
      </c>
      <c r="B238">
        <v>225</v>
      </c>
      <c r="D238">
        <v>0</v>
      </c>
      <c r="E238" t="s">
        <v>118</v>
      </c>
      <c r="F238" s="9">
        <v>45310</v>
      </c>
      <c r="G238" t="s">
        <v>594</v>
      </c>
      <c r="H238" t="s">
        <v>344</v>
      </c>
      <c r="I238">
        <v>17</v>
      </c>
      <c r="J238">
        <v>128.31899999999999</v>
      </c>
      <c r="K238" t="s">
        <v>595</v>
      </c>
      <c r="L238" t="s">
        <v>501</v>
      </c>
      <c r="P238">
        <v>-29.104120000000002</v>
      </c>
      <c r="R238">
        <v>-51.714925000000001</v>
      </c>
      <c r="T238" t="s">
        <v>347</v>
      </c>
      <c r="U238" t="s">
        <v>596</v>
      </c>
      <c r="V238" t="s">
        <v>33</v>
      </c>
      <c r="Z238" t="s">
        <v>342</v>
      </c>
    </row>
    <row r="239" spans="1:27" x14ac:dyDescent="0.3">
      <c r="A239">
        <v>573</v>
      </c>
      <c r="B239">
        <v>226</v>
      </c>
      <c r="D239">
        <v>0</v>
      </c>
      <c r="E239" t="s">
        <v>118</v>
      </c>
      <c r="F239" s="9">
        <v>44580</v>
      </c>
      <c r="G239" t="s">
        <v>119</v>
      </c>
      <c r="H239" t="s">
        <v>29</v>
      </c>
      <c r="I239">
        <v>17</v>
      </c>
      <c r="J239">
        <v>176.11699999999999</v>
      </c>
      <c r="K239" t="s">
        <v>446</v>
      </c>
      <c r="L239" t="s">
        <v>447</v>
      </c>
      <c r="P239">
        <v>-28.946241669999999</v>
      </c>
      <c r="R239">
        <v>-51.469090000000001</v>
      </c>
      <c r="U239" t="s">
        <v>32</v>
      </c>
      <c r="V239" t="s">
        <v>33</v>
      </c>
      <c r="W239" s="10" t="s">
        <v>597</v>
      </c>
      <c r="Z239" t="s">
        <v>342</v>
      </c>
      <c r="AA239" t="s">
        <v>598</v>
      </c>
    </row>
    <row r="240" spans="1:27" x14ac:dyDescent="0.3">
      <c r="A240">
        <v>1132</v>
      </c>
      <c r="B240">
        <v>919</v>
      </c>
      <c r="D240">
        <v>0</v>
      </c>
      <c r="E240" t="s">
        <v>107</v>
      </c>
      <c r="F240" s="9">
        <v>44911</v>
      </c>
      <c r="G240" t="s">
        <v>599</v>
      </c>
      <c r="H240" t="s">
        <v>29</v>
      </c>
      <c r="I240">
        <v>16</v>
      </c>
      <c r="J240">
        <v>115.703</v>
      </c>
      <c r="K240" t="s">
        <v>600</v>
      </c>
      <c r="L240" t="s">
        <v>601</v>
      </c>
      <c r="O240">
        <v>100</v>
      </c>
      <c r="T240" t="s">
        <v>268</v>
      </c>
      <c r="U240" t="s">
        <v>144</v>
      </c>
      <c r="V240" t="s">
        <v>38</v>
      </c>
      <c r="X240" t="s">
        <v>602</v>
      </c>
      <c r="Z240" t="s">
        <v>116</v>
      </c>
      <c r="AA240" t="s">
        <v>603</v>
      </c>
    </row>
    <row r="241" spans="1:27" x14ac:dyDescent="0.3">
      <c r="A241">
        <v>1133</v>
      </c>
      <c r="B241">
        <v>920</v>
      </c>
      <c r="D241">
        <v>0</v>
      </c>
      <c r="E241" t="s">
        <v>107</v>
      </c>
      <c r="F241" s="9">
        <v>44911</v>
      </c>
      <c r="G241" t="s">
        <v>599</v>
      </c>
      <c r="H241" t="s">
        <v>29</v>
      </c>
      <c r="I241">
        <v>16</v>
      </c>
      <c r="J241">
        <v>115.703</v>
      </c>
      <c r="K241" t="s">
        <v>600</v>
      </c>
      <c r="L241" t="s">
        <v>601</v>
      </c>
      <c r="O241">
        <v>100</v>
      </c>
      <c r="T241" t="s">
        <v>268</v>
      </c>
      <c r="U241" t="s">
        <v>144</v>
      </c>
      <c r="V241" t="s">
        <v>38</v>
      </c>
      <c r="X241" t="s">
        <v>602</v>
      </c>
      <c r="Z241" t="s">
        <v>116</v>
      </c>
      <c r="AA241" t="s">
        <v>604</v>
      </c>
    </row>
    <row r="242" spans="1:27" x14ac:dyDescent="0.3">
      <c r="A242">
        <v>632538</v>
      </c>
      <c r="B242">
        <v>921</v>
      </c>
      <c r="D242">
        <v>0</v>
      </c>
      <c r="E242" t="s">
        <v>107</v>
      </c>
      <c r="F242" s="9">
        <v>45412</v>
      </c>
      <c r="G242" t="s">
        <v>108</v>
      </c>
      <c r="H242" t="s">
        <v>344</v>
      </c>
      <c r="I242">
        <v>16</v>
      </c>
      <c r="J242">
        <v>126.76</v>
      </c>
      <c r="K242" t="s">
        <v>605</v>
      </c>
      <c r="L242" t="s">
        <v>606</v>
      </c>
      <c r="T242" t="s">
        <v>317</v>
      </c>
      <c r="U242" t="s">
        <v>79</v>
      </c>
      <c r="V242" t="s">
        <v>38</v>
      </c>
      <c r="X242" t="s">
        <v>607</v>
      </c>
      <c r="Z242" t="s">
        <v>116</v>
      </c>
      <c r="AA242" t="s">
        <v>608</v>
      </c>
    </row>
    <row r="243" spans="1:27" x14ac:dyDescent="0.3">
      <c r="A243">
        <v>649057</v>
      </c>
      <c r="B243">
        <v>922</v>
      </c>
      <c r="D243">
        <v>0</v>
      </c>
      <c r="E243" t="s">
        <v>107</v>
      </c>
      <c r="F243" s="9">
        <v>45412</v>
      </c>
      <c r="G243" t="s">
        <v>108</v>
      </c>
      <c r="H243" t="s">
        <v>344</v>
      </c>
      <c r="I243">
        <v>16</v>
      </c>
      <c r="J243">
        <v>126.6</v>
      </c>
      <c r="K243" t="s">
        <v>605</v>
      </c>
      <c r="L243" t="s">
        <v>606</v>
      </c>
      <c r="T243" t="s">
        <v>317</v>
      </c>
      <c r="U243" t="s">
        <v>37</v>
      </c>
      <c r="V243" t="s">
        <v>609</v>
      </c>
      <c r="X243" t="s">
        <v>607</v>
      </c>
      <c r="Z243" t="s">
        <v>116</v>
      </c>
      <c r="AA243" t="s">
        <v>610</v>
      </c>
    </row>
    <row r="244" spans="1:27" x14ac:dyDescent="0.3">
      <c r="A244">
        <v>682100</v>
      </c>
      <c r="B244">
        <v>923</v>
      </c>
      <c r="D244">
        <v>0</v>
      </c>
      <c r="E244" t="s">
        <v>107</v>
      </c>
      <c r="F244" s="9">
        <v>45412</v>
      </c>
      <c r="G244" t="s">
        <v>108</v>
      </c>
      <c r="H244" t="s">
        <v>442</v>
      </c>
      <c r="I244">
        <v>16</v>
      </c>
      <c r="J244">
        <v>133.69999999999999</v>
      </c>
      <c r="K244" t="s">
        <v>611</v>
      </c>
      <c r="L244" t="s">
        <v>612</v>
      </c>
      <c r="T244" t="s">
        <v>613</v>
      </c>
      <c r="U244" t="s">
        <v>32</v>
      </c>
      <c r="V244" t="s">
        <v>33</v>
      </c>
      <c r="W244" s="10" t="s">
        <v>614</v>
      </c>
      <c r="X244" t="s">
        <v>615</v>
      </c>
      <c r="Z244" t="s">
        <v>116</v>
      </c>
      <c r="AA244" t="s">
        <v>616</v>
      </c>
    </row>
    <row r="245" spans="1:27" x14ac:dyDescent="0.3">
      <c r="A245">
        <v>321998</v>
      </c>
      <c r="B245">
        <v>926</v>
      </c>
      <c r="D245">
        <v>0</v>
      </c>
      <c r="E245" t="s">
        <v>107</v>
      </c>
      <c r="F245" s="9">
        <v>45400</v>
      </c>
      <c r="G245" t="s">
        <v>108</v>
      </c>
      <c r="H245" t="s">
        <v>442</v>
      </c>
      <c r="I245">
        <v>16</v>
      </c>
      <c r="J245">
        <v>191.4</v>
      </c>
      <c r="K245" t="s">
        <v>110</v>
      </c>
      <c r="L245" t="s">
        <v>111</v>
      </c>
      <c r="T245" t="s">
        <v>317</v>
      </c>
      <c r="U245" t="s">
        <v>32</v>
      </c>
      <c r="V245" t="s">
        <v>33</v>
      </c>
      <c r="X245" t="s">
        <v>115</v>
      </c>
      <c r="Z245" t="s">
        <v>116</v>
      </c>
      <c r="AA245" t="s">
        <v>617</v>
      </c>
    </row>
    <row r="246" spans="1:27" x14ac:dyDescent="0.3">
      <c r="A246">
        <v>321997</v>
      </c>
      <c r="B246">
        <v>925</v>
      </c>
      <c r="D246">
        <v>0</v>
      </c>
      <c r="E246" t="s">
        <v>107</v>
      </c>
      <c r="F246" s="9">
        <v>45400</v>
      </c>
      <c r="G246" t="s">
        <v>108</v>
      </c>
      <c r="H246" t="s">
        <v>344</v>
      </c>
      <c r="I246">
        <v>16</v>
      </c>
      <c r="J246">
        <v>191.9</v>
      </c>
      <c r="K246" t="s">
        <v>110</v>
      </c>
      <c r="L246" t="s">
        <v>111</v>
      </c>
      <c r="T246" t="s">
        <v>317</v>
      </c>
      <c r="U246" t="s">
        <v>37</v>
      </c>
      <c r="V246" t="s">
        <v>38</v>
      </c>
      <c r="X246" t="s">
        <v>115</v>
      </c>
      <c r="Z246" t="s">
        <v>116</v>
      </c>
      <c r="AA246" t="s">
        <v>618</v>
      </c>
    </row>
    <row r="247" spans="1:27" x14ac:dyDescent="0.3">
      <c r="A247">
        <v>321996</v>
      </c>
      <c r="B247">
        <v>924</v>
      </c>
      <c r="D247">
        <v>0</v>
      </c>
      <c r="E247" t="s">
        <v>107</v>
      </c>
      <c r="F247" s="9">
        <v>45400</v>
      </c>
      <c r="G247" t="s">
        <v>108</v>
      </c>
      <c r="H247" t="s">
        <v>344</v>
      </c>
      <c r="I247">
        <v>16</v>
      </c>
      <c r="J247">
        <v>191.92</v>
      </c>
      <c r="K247" t="s">
        <v>110</v>
      </c>
      <c r="L247" t="s">
        <v>111</v>
      </c>
      <c r="T247" t="s">
        <v>268</v>
      </c>
      <c r="U247" t="s">
        <v>293</v>
      </c>
      <c r="V247" t="s">
        <v>38</v>
      </c>
      <c r="X247" t="s">
        <v>115</v>
      </c>
      <c r="Z247" t="s">
        <v>116</v>
      </c>
      <c r="AA247" t="s">
        <v>619</v>
      </c>
    </row>
    <row r="248" spans="1:27" x14ac:dyDescent="0.3">
      <c r="A248">
        <v>1120</v>
      </c>
      <c r="B248">
        <v>901</v>
      </c>
      <c r="D248">
        <v>0</v>
      </c>
      <c r="E248" t="s">
        <v>107</v>
      </c>
      <c r="F248" s="9">
        <v>44901</v>
      </c>
      <c r="G248" t="s">
        <v>351</v>
      </c>
      <c r="H248" t="s">
        <v>29</v>
      </c>
      <c r="I248">
        <v>17</v>
      </c>
      <c r="J248">
        <v>169.87</v>
      </c>
      <c r="K248" t="s">
        <v>429</v>
      </c>
      <c r="L248" t="s">
        <v>430</v>
      </c>
      <c r="O248">
        <v>15</v>
      </c>
      <c r="T248" t="s">
        <v>569</v>
      </c>
      <c r="U248" t="s">
        <v>566</v>
      </c>
      <c r="V248" t="s">
        <v>38</v>
      </c>
      <c r="X248" t="s">
        <v>620</v>
      </c>
      <c r="Z248" t="s">
        <v>342</v>
      </c>
      <c r="AA248" t="s">
        <v>621</v>
      </c>
    </row>
    <row r="249" spans="1:27" x14ac:dyDescent="0.3">
      <c r="A249">
        <v>1121</v>
      </c>
      <c r="B249">
        <v>904</v>
      </c>
      <c r="D249">
        <v>0</v>
      </c>
      <c r="E249" t="s">
        <v>107</v>
      </c>
      <c r="F249" s="9">
        <v>44901</v>
      </c>
      <c r="G249" t="s">
        <v>351</v>
      </c>
      <c r="H249" t="s">
        <v>29</v>
      </c>
      <c r="I249">
        <v>17</v>
      </c>
      <c r="J249">
        <v>171.8</v>
      </c>
      <c r="K249" t="s">
        <v>435</v>
      </c>
      <c r="L249" t="s">
        <v>436</v>
      </c>
      <c r="O249">
        <v>10</v>
      </c>
      <c r="T249" t="s">
        <v>569</v>
      </c>
      <c r="U249" t="s">
        <v>566</v>
      </c>
      <c r="V249" t="s">
        <v>38</v>
      </c>
      <c r="X249" t="s">
        <v>570</v>
      </c>
      <c r="Z249" t="s">
        <v>342</v>
      </c>
      <c r="AA249" t="s">
        <v>622</v>
      </c>
    </row>
    <row r="250" spans="1:27" x14ac:dyDescent="0.3">
      <c r="A250">
        <v>1122</v>
      </c>
      <c r="B250">
        <v>916</v>
      </c>
      <c r="D250">
        <v>0</v>
      </c>
      <c r="E250" t="s">
        <v>107</v>
      </c>
      <c r="F250" s="9">
        <v>44901</v>
      </c>
      <c r="G250" t="s">
        <v>537</v>
      </c>
      <c r="H250" t="s">
        <v>29</v>
      </c>
      <c r="I250">
        <v>17</v>
      </c>
      <c r="J250">
        <v>224.7</v>
      </c>
      <c r="K250" t="s">
        <v>186</v>
      </c>
      <c r="L250" t="s">
        <v>187</v>
      </c>
      <c r="O250">
        <v>5</v>
      </c>
      <c r="T250" t="s">
        <v>112</v>
      </c>
      <c r="U250" t="s">
        <v>79</v>
      </c>
      <c r="V250" t="s">
        <v>38</v>
      </c>
      <c r="X250" t="s">
        <v>589</v>
      </c>
      <c r="Z250" t="s">
        <v>162</v>
      </c>
      <c r="AA250" t="s">
        <v>623</v>
      </c>
    </row>
    <row r="251" spans="1:27" x14ac:dyDescent="0.3">
      <c r="A251">
        <v>1123</v>
      </c>
      <c r="B251">
        <v>911</v>
      </c>
      <c r="D251">
        <v>0</v>
      </c>
      <c r="E251" t="s">
        <v>107</v>
      </c>
      <c r="F251" s="9">
        <v>44901</v>
      </c>
      <c r="G251" t="s">
        <v>351</v>
      </c>
      <c r="H251" t="s">
        <v>29</v>
      </c>
      <c r="I251">
        <v>17</v>
      </c>
      <c r="J251">
        <v>307.50200000000001</v>
      </c>
      <c r="K251" t="s">
        <v>65</v>
      </c>
      <c r="L251" t="s">
        <v>66</v>
      </c>
      <c r="O251">
        <v>250</v>
      </c>
      <c r="T251" t="s">
        <v>268</v>
      </c>
      <c r="U251" t="s">
        <v>293</v>
      </c>
      <c r="V251" t="s">
        <v>38</v>
      </c>
      <c r="W251" s="10" t="s">
        <v>524</v>
      </c>
      <c r="X251" t="s">
        <v>624</v>
      </c>
      <c r="Z251" t="s">
        <v>35</v>
      </c>
      <c r="AA251" t="s">
        <v>625</v>
      </c>
    </row>
    <row r="252" spans="1:27" x14ac:dyDescent="0.3">
      <c r="A252">
        <v>1124</v>
      </c>
      <c r="B252">
        <v>912</v>
      </c>
      <c r="D252">
        <v>0</v>
      </c>
      <c r="E252" t="s">
        <v>107</v>
      </c>
      <c r="F252" s="9">
        <v>44901</v>
      </c>
      <c r="G252" t="s">
        <v>351</v>
      </c>
      <c r="H252" t="s">
        <v>29</v>
      </c>
      <c r="I252">
        <v>17</v>
      </c>
      <c r="J252">
        <v>308.3</v>
      </c>
      <c r="K252" t="s">
        <v>128</v>
      </c>
      <c r="L252" t="s">
        <v>129</v>
      </c>
      <c r="O252">
        <v>20</v>
      </c>
      <c r="T252" t="s">
        <v>347</v>
      </c>
      <c r="U252" t="s">
        <v>79</v>
      </c>
      <c r="V252" t="s">
        <v>33</v>
      </c>
      <c r="X252" t="s">
        <v>626</v>
      </c>
      <c r="Z252" t="s">
        <v>35</v>
      </c>
      <c r="AA252" t="s">
        <v>627</v>
      </c>
    </row>
    <row r="253" spans="1:27" x14ac:dyDescent="0.3">
      <c r="A253">
        <v>1125</v>
      </c>
      <c r="B253">
        <v>913</v>
      </c>
      <c r="D253">
        <v>0</v>
      </c>
      <c r="E253" t="s">
        <v>107</v>
      </c>
      <c r="F253" s="9">
        <v>44901</v>
      </c>
      <c r="G253" t="s">
        <v>351</v>
      </c>
      <c r="H253" t="s">
        <v>29</v>
      </c>
      <c r="I253">
        <v>17</v>
      </c>
      <c r="J253">
        <v>310.55599999999998</v>
      </c>
      <c r="K253" t="s">
        <v>97</v>
      </c>
      <c r="L253" t="s">
        <v>98</v>
      </c>
      <c r="O253">
        <v>380</v>
      </c>
      <c r="T253" t="s">
        <v>347</v>
      </c>
      <c r="U253" t="s">
        <v>293</v>
      </c>
      <c r="V253" t="s">
        <v>38</v>
      </c>
      <c r="X253" t="s">
        <v>628</v>
      </c>
      <c r="Z253" t="s">
        <v>35</v>
      </c>
      <c r="AA253" t="s">
        <v>629</v>
      </c>
    </row>
    <row r="254" spans="1:27" x14ac:dyDescent="0.3">
      <c r="A254">
        <v>1126</v>
      </c>
      <c r="B254">
        <v>914</v>
      </c>
      <c r="D254">
        <v>0</v>
      </c>
      <c r="E254" t="s">
        <v>107</v>
      </c>
      <c r="F254" s="9">
        <v>44901</v>
      </c>
      <c r="G254" t="s">
        <v>351</v>
      </c>
      <c r="H254" t="s">
        <v>29</v>
      </c>
      <c r="I254">
        <v>17</v>
      </c>
      <c r="J254">
        <v>312</v>
      </c>
      <c r="K254" t="s">
        <v>225</v>
      </c>
      <c r="L254" t="s">
        <v>226</v>
      </c>
      <c r="O254">
        <v>20</v>
      </c>
      <c r="T254" t="s">
        <v>317</v>
      </c>
      <c r="U254" t="s">
        <v>32</v>
      </c>
      <c r="V254" t="s">
        <v>33</v>
      </c>
      <c r="X254" t="s">
        <v>630</v>
      </c>
      <c r="Z254" t="s">
        <v>35</v>
      </c>
      <c r="AA254" t="s">
        <v>631</v>
      </c>
    </row>
    <row r="255" spans="1:27" x14ac:dyDescent="0.3">
      <c r="A255">
        <v>1127</v>
      </c>
      <c r="B255">
        <v>915</v>
      </c>
      <c r="D255">
        <v>0</v>
      </c>
      <c r="E255" t="s">
        <v>107</v>
      </c>
      <c r="F255" s="9">
        <v>44901</v>
      </c>
      <c r="G255" t="s">
        <v>351</v>
      </c>
      <c r="H255" t="s">
        <v>29</v>
      </c>
      <c r="I255">
        <v>17</v>
      </c>
      <c r="J255">
        <v>312.02999999999997</v>
      </c>
      <c r="K255" t="s">
        <v>225</v>
      </c>
      <c r="L255" t="s">
        <v>226</v>
      </c>
      <c r="O255">
        <v>35</v>
      </c>
      <c r="T255" t="s">
        <v>347</v>
      </c>
      <c r="U255" t="s">
        <v>293</v>
      </c>
      <c r="V255" t="s">
        <v>38</v>
      </c>
      <c r="W255" s="10" t="s">
        <v>524</v>
      </c>
      <c r="X255" t="s">
        <v>632</v>
      </c>
      <c r="Z255" t="s">
        <v>35</v>
      </c>
      <c r="AA255" t="s">
        <v>633</v>
      </c>
    </row>
    <row r="256" spans="1:27" x14ac:dyDescent="0.3">
      <c r="A256">
        <v>1129</v>
      </c>
      <c r="B256">
        <v>905</v>
      </c>
      <c r="D256">
        <v>0</v>
      </c>
      <c r="E256" t="s">
        <v>107</v>
      </c>
      <c r="F256" s="9">
        <v>44902</v>
      </c>
      <c r="G256" t="s">
        <v>351</v>
      </c>
      <c r="H256" t="s">
        <v>29</v>
      </c>
      <c r="I256">
        <v>17</v>
      </c>
      <c r="J256">
        <v>215.84299999999999</v>
      </c>
      <c r="K256" t="s">
        <v>159</v>
      </c>
      <c r="L256" t="s">
        <v>160</v>
      </c>
      <c r="O256">
        <v>450</v>
      </c>
      <c r="T256" t="s">
        <v>347</v>
      </c>
      <c r="U256" t="s">
        <v>293</v>
      </c>
      <c r="V256" t="s">
        <v>38</v>
      </c>
      <c r="W256" s="10" t="s">
        <v>524</v>
      </c>
      <c r="X256" t="s">
        <v>575</v>
      </c>
      <c r="Z256" t="s">
        <v>162</v>
      </c>
      <c r="AA256" t="s">
        <v>634</v>
      </c>
    </row>
    <row r="257" spans="1:27" x14ac:dyDescent="0.3">
      <c r="A257">
        <v>1130</v>
      </c>
      <c r="B257">
        <v>917</v>
      </c>
      <c r="D257">
        <v>0</v>
      </c>
      <c r="E257" t="s">
        <v>107</v>
      </c>
      <c r="F257" s="9">
        <v>44902</v>
      </c>
      <c r="G257" t="s">
        <v>537</v>
      </c>
      <c r="H257" t="s">
        <v>29</v>
      </c>
      <c r="I257">
        <v>17</v>
      </c>
      <c r="J257">
        <v>224.7</v>
      </c>
      <c r="K257" t="s">
        <v>186</v>
      </c>
      <c r="L257" t="s">
        <v>187</v>
      </c>
      <c r="O257">
        <v>5</v>
      </c>
      <c r="T257" t="s">
        <v>112</v>
      </c>
      <c r="U257" t="s">
        <v>79</v>
      </c>
      <c r="V257" t="s">
        <v>38</v>
      </c>
      <c r="X257" t="s">
        <v>589</v>
      </c>
      <c r="Z257" t="s">
        <v>162</v>
      </c>
      <c r="AA257" t="s">
        <v>635</v>
      </c>
    </row>
    <row r="258" spans="1:27" x14ac:dyDescent="0.3">
      <c r="A258">
        <v>1131</v>
      </c>
      <c r="B258">
        <v>918</v>
      </c>
      <c r="D258">
        <v>0</v>
      </c>
      <c r="E258" t="s">
        <v>107</v>
      </c>
      <c r="F258" s="9">
        <v>44902</v>
      </c>
      <c r="G258" t="s">
        <v>537</v>
      </c>
      <c r="H258" t="s">
        <v>29</v>
      </c>
      <c r="I258">
        <v>17</v>
      </c>
      <c r="J258">
        <v>224.7</v>
      </c>
      <c r="K258" t="s">
        <v>186</v>
      </c>
      <c r="L258" t="s">
        <v>187</v>
      </c>
      <c r="O258">
        <v>5</v>
      </c>
      <c r="T258" t="s">
        <v>112</v>
      </c>
      <c r="U258" t="s">
        <v>79</v>
      </c>
      <c r="V258" t="s">
        <v>38</v>
      </c>
      <c r="X258" t="s">
        <v>589</v>
      </c>
      <c r="Z258" t="s">
        <v>162</v>
      </c>
      <c r="AA258" t="s">
        <v>636</v>
      </c>
    </row>
    <row r="259" spans="1:27" x14ac:dyDescent="0.3">
      <c r="A259">
        <v>1213</v>
      </c>
      <c r="B259">
        <v>230</v>
      </c>
      <c r="D259">
        <v>0</v>
      </c>
      <c r="E259" t="s">
        <v>118</v>
      </c>
      <c r="F259" s="9">
        <v>45006</v>
      </c>
      <c r="G259" t="s">
        <v>441</v>
      </c>
      <c r="H259" t="s">
        <v>344</v>
      </c>
      <c r="I259">
        <v>17</v>
      </c>
      <c r="J259">
        <v>310.56</v>
      </c>
      <c r="K259" t="s">
        <v>637</v>
      </c>
      <c r="L259" t="s">
        <v>98</v>
      </c>
      <c r="P259">
        <v>-28.329241669999998</v>
      </c>
      <c r="R259">
        <v>-50.746788330000001</v>
      </c>
      <c r="T259" t="s">
        <v>317</v>
      </c>
      <c r="U259" t="s">
        <v>32</v>
      </c>
      <c r="V259" t="s">
        <v>33</v>
      </c>
      <c r="Z259" t="s">
        <v>35</v>
      </c>
    </row>
    <row r="260" spans="1:27" x14ac:dyDescent="0.3">
      <c r="A260">
        <v>1214</v>
      </c>
      <c r="B260">
        <v>231</v>
      </c>
      <c r="D260">
        <v>0</v>
      </c>
      <c r="E260" t="s">
        <v>118</v>
      </c>
      <c r="F260" s="9">
        <v>45006</v>
      </c>
      <c r="G260" t="s">
        <v>441</v>
      </c>
      <c r="H260" t="s">
        <v>344</v>
      </c>
      <c r="I260">
        <v>17</v>
      </c>
      <c r="J260">
        <v>311.48700000000002</v>
      </c>
      <c r="K260" t="s">
        <v>225</v>
      </c>
      <c r="L260" t="s">
        <v>226</v>
      </c>
      <c r="P260">
        <v>-28.331483330000001</v>
      </c>
      <c r="R260">
        <v>-50.738453329999999</v>
      </c>
      <c r="T260" t="s">
        <v>317</v>
      </c>
      <c r="U260" t="s">
        <v>32</v>
      </c>
      <c r="V260" t="s">
        <v>62</v>
      </c>
      <c r="Z260" t="s">
        <v>35</v>
      </c>
    </row>
    <row r="261" spans="1:27" x14ac:dyDescent="0.3">
      <c r="A261">
        <v>1216</v>
      </c>
      <c r="B261">
        <v>233</v>
      </c>
      <c r="D261">
        <v>0</v>
      </c>
      <c r="E261" t="s">
        <v>118</v>
      </c>
      <c r="F261" s="9">
        <v>45006</v>
      </c>
      <c r="G261" t="s">
        <v>441</v>
      </c>
      <c r="H261" t="s">
        <v>344</v>
      </c>
      <c r="I261">
        <v>17</v>
      </c>
      <c r="J261">
        <v>318.69299999999998</v>
      </c>
      <c r="K261" t="s">
        <v>41</v>
      </c>
      <c r="L261" t="s">
        <v>42</v>
      </c>
      <c r="P261">
        <v>-28.30799167</v>
      </c>
      <c r="R261">
        <v>-50.677138329999998</v>
      </c>
      <c r="T261" t="s">
        <v>317</v>
      </c>
      <c r="U261" t="s">
        <v>32</v>
      </c>
      <c r="V261" t="s">
        <v>33</v>
      </c>
      <c r="Z261" t="s">
        <v>35</v>
      </c>
    </row>
    <row r="262" spans="1:27" x14ac:dyDescent="0.3">
      <c r="A262">
        <v>577</v>
      </c>
      <c r="B262">
        <v>234</v>
      </c>
      <c r="C262">
        <v>7812</v>
      </c>
      <c r="D262">
        <v>0</v>
      </c>
      <c r="E262" t="s">
        <v>118</v>
      </c>
      <c r="F262" s="9">
        <v>44608</v>
      </c>
      <c r="G262" t="s">
        <v>638</v>
      </c>
      <c r="H262" t="s">
        <v>29</v>
      </c>
      <c r="I262">
        <v>17</v>
      </c>
      <c r="J262">
        <v>319.58999999999997</v>
      </c>
      <c r="K262" t="s">
        <v>639</v>
      </c>
      <c r="L262" t="s">
        <v>48</v>
      </c>
      <c r="P262">
        <v>-28.301380000000002</v>
      </c>
      <c r="R262">
        <v>-50.666616670000003</v>
      </c>
      <c r="U262" t="s">
        <v>32</v>
      </c>
      <c r="V262" t="s">
        <v>33</v>
      </c>
      <c r="Z262" t="s">
        <v>35</v>
      </c>
      <c r="AA262" t="s">
        <v>640</v>
      </c>
    </row>
    <row r="263" spans="1:27" x14ac:dyDescent="0.3">
      <c r="A263">
        <v>578</v>
      </c>
      <c r="B263">
        <v>235</v>
      </c>
      <c r="C263">
        <v>7813</v>
      </c>
      <c r="D263">
        <v>0</v>
      </c>
      <c r="E263" t="s">
        <v>118</v>
      </c>
      <c r="F263" s="9">
        <v>44608</v>
      </c>
      <c r="G263" t="s">
        <v>638</v>
      </c>
      <c r="H263" t="s">
        <v>29</v>
      </c>
      <c r="I263">
        <v>17</v>
      </c>
      <c r="J263">
        <v>319.58999999999997</v>
      </c>
      <c r="K263" t="s">
        <v>639</v>
      </c>
      <c r="L263" t="s">
        <v>48</v>
      </c>
      <c r="P263">
        <v>-28.301380000000002</v>
      </c>
      <c r="R263">
        <v>-50.666616670000003</v>
      </c>
      <c r="U263" t="s">
        <v>32</v>
      </c>
      <c r="V263" t="s">
        <v>62</v>
      </c>
      <c r="W263" s="10" t="s">
        <v>641</v>
      </c>
      <c r="Z263" t="s">
        <v>35</v>
      </c>
      <c r="AA263" t="s">
        <v>642</v>
      </c>
    </row>
    <row r="264" spans="1:27" x14ac:dyDescent="0.3">
      <c r="A264">
        <v>579</v>
      </c>
      <c r="B264">
        <v>236</v>
      </c>
      <c r="C264">
        <v>7836</v>
      </c>
      <c r="D264">
        <v>0</v>
      </c>
      <c r="E264" t="s">
        <v>118</v>
      </c>
      <c r="F264" s="9">
        <v>44608</v>
      </c>
      <c r="G264" t="s">
        <v>638</v>
      </c>
      <c r="H264" t="s">
        <v>29</v>
      </c>
      <c r="I264">
        <v>17</v>
      </c>
      <c r="J264">
        <v>324.11099999999999</v>
      </c>
      <c r="K264" t="s">
        <v>643</v>
      </c>
      <c r="L264" t="s">
        <v>244</v>
      </c>
      <c r="P264">
        <v>-28.28491</v>
      </c>
      <c r="R264">
        <v>-50.627703330000003</v>
      </c>
      <c r="U264" t="s">
        <v>32</v>
      </c>
      <c r="V264" t="s">
        <v>33</v>
      </c>
      <c r="Z264" t="s">
        <v>35</v>
      </c>
      <c r="AA264" t="s">
        <v>644</v>
      </c>
    </row>
    <row r="265" spans="1:27" x14ac:dyDescent="0.3">
      <c r="A265">
        <v>580</v>
      </c>
      <c r="B265">
        <v>237</v>
      </c>
      <c r="C265">
        <v>7843</v>
      </c>
      <c r="D265">
        <v>0</v>
      </c>
      <c r="E265" t="s">
        <v>118</v>
      </c>
      <c r="F265" s="9">
        <v>44608</v>
      </c>
      <c r="G265" t="s">
        <v>638</v>
      </c>
      <c r="H265" t="s">
        <v>29</v>
      </c>
      <c r="I265">
        <v>17</v>
      </c>
      <c r="J265">
        <v>325.10000000000002</v>
      </c>
      <c r="K265" t="s">
        <v>645</v>
      </c>
      <c r="L265" t="s">
        <v>251</v>
      </c>
      <c r="P265">
        <v>-28.278915000000001</v>
      </c>
      <c r="R265">
        <v>-50.616771669999999</v>
      </c>
      <c r="U265" t="s">
        <v>32</v>
      </c>
      <c r="V265" t="s">
        <v>33</v>
      </c>
      <c r="Z265" t="s">
        <v>35</v>
      </c>
      <c r="AA265" t="s">
        <v>646</v>
      </c>
    </row>
    <row r="266" spans="1:27" x14ac:dyDescent="0.3">
      <c r="A266">
        <v>581</v>
      </c>
      <c r="B266">
        <v>238</v>
      </c>
      <c r="C266">
        <v>7848</v>
      </c>
      <c r="D266">
        <v>0</v>
      </c>
      <c r="E266" t="s">
        <v>118</v>
      </c>
      <c r="F266" s="9">
        <v>44608</v>
      </c>
      <c r="G266" t="s">
        <v>638</v>
      </c>
      <c r="H266" t="s">
        <v>29</v>
      </c>
      <c r="I266">
        <v>17</v>
      </c>
      <c r="J266">
        <v>326.101</v>
      </c>
      <c r="K266" t="s">
        <v>645</v>
      </c>
      <c r="L266" t="s">
        <v>258</v>
      </c>
      <c r="P266">
        <v>-28.275780000000001</v>
      </c>
      <c r="R266">
        <v>-50.61091167</v>
      </c>
      <c r="U266" t="s">
        <v>49</v>
      </c>
      <c r="V266" t="s">
        <v>62</v>
      </c>
      <c r="W266" s="10" t="s">
        <v>647</v>
      </c>
      <c r="Z266" t="s">
        <v>35</v>
      </c>
      <c r="AA266" t="s">
        <v>648</v>
      </c>
    </row>
    <row r="267" spans="1:27" x14ac:dyDescent="0.3">
      <c r="A267">
        <v>582</v>
      </c>
      <c r="B267">
        <v>239</v>
      </c>
      <c r="C267">
        <v>7860</v>
      </c>
      <c r="D267">
        <v>0</v>
      </c>
      <c r="E267" t="s">
        <v>118</v>
      </c>
      <c r="F267" s="9">
        <v>44608</v>
      </c>
      <c r="G267" t="s">
        <v>638</v>
      </c>
      <c r="H267" t="s">
        <v>29</v>
      </c>
      <c r="I267">
        <v>17</v>
      </c>
      <c r="J267">
        <v>329.68700000000001</v>
      </c>
      <c r="K267" t="s">
        <v>649</v>
      </c>
      <c r="L267" t="s">
        <v>280</v>
      </c>
      <c r="P267">
        <v>-28.254521669999999</v>
      </c>
      <c r="R267">
        <v>-50.584136669999999</v>
      </c>
      <c r="U267" t="s">
        <v>32</v>
      </c>
      <c r="V267" t="s">
        <v>33</v>
      </c>
      <c r="Z267" t="s">
        <v>35</v>
      </c>
      <c r="AA267" t="s">
        <v>650</v>
      </c>
    </row>
    <row r="268" spans="1:27" x14ac:dyDescent="0.3">
      <c r="A268">
        <v>583</v>
      </c>
      <c r="B268">
        <v>240</v>
      </c>
      <c r="C268">
        <v>7863</v>
      </c>
      <c r="D268">
        <v>0</v>
      </c>
      <c r="E268" t="s">
        <v>118</v>
      </c>
      <c r="F268" s="9">
        <v>44608</v>
      </c>
      <c r="G268" t="s">
        <v>638</v>
      </c>
      <c r="H268" t="s">
        <v>29</v>
      </c>
      <c r="I268">
        <v>17</v>
      </c>
      <c r="J268">
        <v>331.21800000000002</v>
      </c>
      <c r="K268" t="s">
        <v>283</v>
      </c>
      <c r="L268" t="s">
        <v>284</v>
      </c>
      <c r="P268">
        <v>-28.250806669999999</v>
      </c>
      <c r="R268">
        <v>-50.570068329999998</v>
      </c>
      <c r="U268" t="s">
        <v>32</v>
      </c>
      <c r="V268" t="s">
        <v>62</v>
      </c>
      <c r="Z268" t="s">
        <v>35</v>
      </c>
      <c r="AA268" t="s">
        <v>651</v>
      </c>
    </row>
    <row r="269" spans="1:27" x14ac:dyDescent="0.3">
      <c r="A269">
        <v>584</v>
      </c>
      <c r="B269">
        <v>241</v>
      </c>
      <c r="C269">
        <v>7868</v>
      </c>
      <c r="D269">
        <v>0</v>
      </c>
      <c r="E269" t="s">
        <v>118</v>
      </c>
      <c r="F269" s="9">
        <v>44608</v>
      </c>
      <c r="G269" t="s">
        <v>638</v>
      </c>
      <c r="H269" t="s">
        <v>29</v>
      </c>
      <c r="I269">
        <v>17</v>
      </c>
      <c r="J269">
        <v>332.00599999999997</v>
      </c>
      <c r="K269" t="s">
        <v>652</v>
      </c>
      <c r="L269" t="s">
        <v>292</v>
      </c>
      <c r="P269">
        <v>-28.248255</v>
      </c>
      <c r="R269">
        <v>-50.561296669999997</v>
      </c>
      <c r="U269" t="s">
        <v>32</v>
      </c>
      <c r="V269" t="s">
        <v>33</v>
      </c>
      <c r="Z269" t="s">
        <v>35</v>
      </c>
      <c r="AA269" t="s">
        <v>653</v>
      </c>
    </row>
    <row r="270" spans="1:27" x14ac:dyDescent="0.3">
      <c r="A270">
        <v>587</v>
      </c>
      <c r="B270">
        <v>619</v>
      </c>
      <c r="C270">
        <v>9102</v>
      </c>
      <c r="D270">
        <v>0</v>
      </c>
      <c r="E270" t="s">
        <v>118</v>
      </c>
      <c r="F270" s="9">
        <v>44636</v>
      </c>
      <c r="G270" t="s">
        <v>119</v>
      </c>
      <c r="H270" t="s">
        <v>29</v>
      </c>
      <c r="I270">
        <v>17</v>
      </c>
      <c r="J270">
        <v>236.95</v>
      </c>
      <c r="K270" t="s">
        <v>654</v>
      </c>
      <c r="L270" t="s">
        <v>489</v>
      </c>
      <c r="O270">
        <v>0</v>
      </c>
      <c r="P270">
        <v>-28.595366670000001</v>
      </c>
      <c r="R270">
        <v>-51.308979999999998</v>
      </c>
      <c r="T270" t="s">
        <v>347</v>
      </c>
      <c r="U270" t="s">
        <v>32</v>
      </c>
      <c r="V270" t="s">
        <v>33</v>
      </c>
      <c r="W270" s="10" t="s">
        <v>655</v>
      </c>
      <c r="Z270" t="s">
        <v>162</v>
      </c>
      <c r="AA270" t="s">
        <v>656</v>
      </c>
    </row>
    <row r="271" spans="1:27" x14ac:dyDescent="0.3">
      <c r="A271">
        <v>588</v>
      </c>
      <c r="B271">
        <v>620</v>
      </c>
      <c r="C271">
        <v>9034</v>
      </c>
      <c r="D271">
        <v>0</v>
      </c>
      <c r="E271" t="s">
        <v>118</v>
      </c>
      <c r="F271" s="9">
        <v>44636</v>
      </c>
      <c r="G271" t="s">
        <v>119</v>
      </c>
      <c r="H271" t="s">
        <v>29</v>
      </c>
      <c r="I271">
        <v>17</v>
      </c>
      <c r="J271">
        <v>254.56200000000001</v>
      </c>
      <c r="K271" t="s">
        <v>206</v>
      </c>
      <c r="L271" t="s">
        <v>207</v>
      </c>
      <c r="O271">
        <v>0</v>
      </c>
      <c r="P271">
        <v>-28.573658330000001</v>
      </c>
      <c r="R271">
        <v>-51.159101669999998</v>
      </c>
      <c r="T271" t="s">
        <v>317</v>
      </c>
      <c r="U271" t="s">
        <v>32</v>
      </c>
      <c r="V271" t="s">
        <v>33</v>
      </c>
      <c r="Z271" t="s">
        <v>209</v>
      </c>
      <c r="AA271" t="s">
        <v>657</v>
      </c>
    </row>
    <row r="272" spans="1:27" x14ac:dyDescent="0.3">
      <c r="A272">
        <v>253791565</v>
      </c>
      <c r="B272">
        <v>625</v>
      </c>
      <c r="D272">
        <v>1</v>
      </c>
      <c r="E272" t="s">
        <v>118</v>
      </c>
      <c r="F272" s="9">
        <v>45781</v>
      </c>
      <c r="G272" t="s">
        <v>658</v>
      </c>
      <c r="H272" t="s">
        <v>344</v>
      </c>
      <c r="I272">
        <v>7</v>
      </c>
      <c r="J272">
        <v>500.52800000000002</v>
      </c>
      <c r="K272" t="s">
        <v>659</v>
      </c>
      <c r="L272" t="s">
        <v>660</v>
      </c>
      <c r="P272">
        <v>-24.00075</v>
      </c>
      <c r="R272">
        <v>-51.11108333</v>
      </c>
      <c r="T272" t="s">
        <v>347</v>
      </c>
      <c r="U272" t="s">
        <v>32</v>
      </c>
      <c r="V272" t="s">
        <v>38</v>
      </c>
      <c r="X272" t="s">
        <v>661</v>
      </c>
      <c r="Z272" t="s">
        <v>662</v>
      </c>
      <c r="AA272" t="s">
        <v>663</v>
      </c>
    </row>
    <row r="273" spans="1:27" x14ac:dyDescent="0.3">
      <c r="A273">
        <v>247656871</v>
      </c>
      <c r="B273">
        <v>633</v>
      </c>
      <c r="D273">
        <v>1</v>
      </c>
      <c r="E273" t="s">
        <v>664</v>
      </c>
      <c r="F273" s="9">
        <v>45778</v>
      </c>
      <c r="G273" t="s">
        <v>658</v>
      </c>
      <c r="H273" t="s">
        <v>344</v>
      </c>
      <c r="I273">
        <v>7</v>
      </c>
      <c r="J273">
        <v>484.72800000000001</v>
      </c>
      <c r="K273" t="s">
        <v>665</v>
      </c>
      <c r="L273" t="s">
        <v>666</v>
      </c>
      <c r="P273">
        <v>-24.106200000000001</v>
      </c>
      <c r="Q273" t="s">
        <v>667</v>
      </c>
      <c r="R273">
        <v>-51.050400000000003</v>
      </c>
      <c r="S273" t="s">
        <v>667</v>
      </c>
      <c r="T273" t="s">
        <v>317</v>
      </c>
      <c r="U273" t="s">
        <v>37</v>
      </c>
      <c r="V273" t="s">
        <v>668</v>
      </c>
      <c r="X273" t="s">
        <v>669</v>
      </c>
      <c r="Y273">
        <v>800</v>
      </c>
      <c r="Z273" t="s">
        <v>670</v>
      </c>
      <c r="AA273" t="s">
        <v>671</v>
      </c>
    </row>
    <row r="274" spans="1:27" x14ac:dyDescent="0.3">
      <c r="A274">
        <v>246071320</v>
      </c>
      <c r="B274">
        <v>639</v>
      </c>
      <c r="D274">
        <v>1</v>
      </c>
      <c r="E274" t="s">
        <v>107</v>
      </c>
      <c r="F274" s="9">
        <v>45749</v>
      </c>
      <c r="G274" t="s">
        <v>351</v>
      </c>
      <c r="H274" t="s">
        <v>344</v>
      </c>
      <c r="I274">
        <v>13</v>
      </c>
      <c r="J274">
        <v>51.55</v>
      </c>
      <c r="K274" t="s">
        <v>672</v>
      </c>
      <c r="L274" t="s">
        <v>673</v>
      </c>
      <c r="T274" t="s">
        <v>317</v>
      </c>
      <c r="U274" t="s">
        <v>37</v>
      </c>
      <c r="V274" t="s">
        <v>668</v>
      </c>
      <c r="X274" t="s">
        <v>674</v>
      </c>
      <c r="Y274">
        <v>908266</v>
      </c>
      <c r="Z274" t="s">
        <v>675</v>
      </c>
      <c r="AA274" t="s">
        <v>676</v>
      </c>
    </row>
    <row r="275" spans="1:27" x14ac:dyDescent="0.3">
      <c r="A275">
        <v>246071305</v>
      </c>
      <c r="B275">
        <v>640</v>
      </c>
      <c r="D275">
        <v>1</v>
      </c>
      <c r="E275" t="s">
        <v>107</v>
      </c>
      <c r="F275" s="9">
        <v>45749</v>
      </c>
      <c r="G275" t="s">
        <v>351</v>
      </c>
      <c r="H275" t="s">
        <v>344</v>
      </c>
      <c r="I275">
        <v>13</v>
      </c>
      <c r="J275">
        <v>51.65</v>
      </c>
      <c r="K275" t="s">
        <v>672</v>
      </c>
      <c r="L275" t="s">
        <v>673</v>
      </c>
      <c r="T275" t="s">
        <v>268</v>
      </c>
      <c r="U275" t="s">
        <v>32</v>
      </c>
      <c r="V275" t="s">
        <v>38</v>
      </c>
      <c r="W275" s="10" t="s">
        <v>524</v>
      </c>
      <c r="X275" t="s">
        <v>677</v>
      </c>
      <c r="Y275">
        <v>908266</v>
      </c>
      <c r="Z275" t="s">
        <v>675</v>
      </c>
      <c r="AA275" t="s">
        <v>678</v>
      </c>
    </row>
    <row r="276" spans="1:27" x14ac:dyDescent="0.3">
      <c r="A276">
        <v>246071376</v>
      </c>
      <c r="B276">
        <v>637</v>
      </c>
      <c r="D276">
        <v>1</v>
      </c>
      <c r="E276" t="s">
        <v>107</v>
      </c>
      <c r="F276" s="9">
        <v>45752</v>
      </c>
      <c r="G276" t="s">
        <v>351</v>
      </c>
      <c r="H276" t="s">
        <v>442</v>
      </c>
      <c r="I276">
        <v>13</v>
      </c>
      <c r="J276">
        <v>23.225000000000001</v>
      </c>
      <c r="K276" t="s">
        <v>679</v>
      </c>
      <c r="L276" t="s">
        <v>680</v>
      </c>
      <c r="T276" t="s">
        <v>347</v>
      </c>
      <c r="U276" t="s">
        <v>79</v>
      </c>
      <c r="V276" t="s">
        <v>33</v>
      </c>
      <c r="W276" s="10" t="s">
        <v>681</v>
      </c>
      <c r="X276" t="s">
        <v>682</v>
      </c>
      <c r="Z276" t="s">
        <v>675</v>
      </c>
      <c r="AA276" t="s">
        <v>683</v>
      </c>
    </row>
    <row r="277" spans="1:27" x14ac:dyDescent="0.3">
      <c r="A277">
        <v>94679272</v>
      </c>
      <c r="B277">
        <v>5055</v>
      </c>
      <c r="D277">
        <v>0</v>
      </c>
      <c r="E277" t="s">
        <v>27</v>
      </c>
      <c r="F277" s="9">
        <v>45504</v>
      </c>
      <c r="G277" t="s">
        <v>351</v>
      </c>
      <c r="H277" t="s">
        <v>344</v>
      </c>
      <c r="I277">
        <v>10</v>
      </c>
      <c r="J277">
        <v>58.22</v>
      </c>
      <c r="K277" t="s">
        <v>684</v>
      </c>
      <c r="L277" t="s">
        <v>685</v>
      </c>
      <c r="T277" t="s">
        <v>268</v>
      </c>
      <c r="U277" t="s">
        <v>79</v>
      </c>
      <c r="V277" t="s">
        <v>609</v>
      </c>
      <c r="W277" s="10" t="s">
        <v>524</v>
      </c>
      <c r="X277" t="s">
        <v>686</v>
      </c>
      <c r="Z277" t="s">
        <v>687</v>
      </c>
      <c r="AA277" t="s">
        <v>688</v>
      </c>
    </row>
    <row r="278" spans="1:27" x14ac:dyDescent="0.3">
      <c r="A278">
        <v>1142</v>
      </c>
      <c r="B278">
        <v>950</v>
      </c>
      <c r="D278">
        <v>0</v>
      </c>
      <c r="E278" t="s">
        <v>107</v>
      </c>
      <c r="F278" s="9">
        <v>44937</v>
      </c>
      <c r="G278" t="s">
        <v>599</v>
      </c>
      <c r="H278" t="s">
        <v>29</v>
      </c>
      <c r="I278">
        <v>16</v>
      </c>
      <c r="J278">
        <v>219.185</v>
      </c>
      <c r="K278" t="s">
        <v>689</v>
      </c>
      <c r="L278" t="s">
        <v>690</v>
      </c>
      <c r="O278">
        <v>2</v>
      </c>
      <c r="T278" t="s">
        <v>347</v>
      </c>
      <c r="U278" t="s">
        <v>566</v>
      </c>
      <c r="V278" t="s">
        <v>38</v>
      </c>
      <c r="X278" t="s">
        <v>691</v>
      </c>
      <c r="Z278" t="s">
        <v>123</v>
      </c>
      <c r="AA278" t="s">
        <v>692</v>
      </c>
    </row>
    <row r="279" spans="1:27" x14ac:dyDescent="0.3">
      <c r="A279">
        <v>1143</v>
      </c>
      <c r="B279">
        <v>951</v>
      </c>
      <c r="D279">
        <v>0</v>
      </c>
      <c r="E279" t="s">
        <v>107</v>
      </c>
      <c r="F279" s="9">
        <v>44937</v>
      </c>
      <c r="G279" t="s">
        <v>599</v>
      </c>
      <c r="H279" t="s">
        <v>29</v>
      </c>
      <c r="I279">
        <v>16</v>
      </c>
      <c r="J279">
        <v>219.185</v>
      </c>
      <c r="K279" t="s">
        <v>689</v>
      </c>
      <c r="L279" t="s">
        <v>690</v>
      </c>
      <c r="O279">
        <v>5</v>
      </c>
      <c r="T279" t="s">
        <v>317</v>
      </c>
      <c r="U279" t="s">
        <v>37</v>
      </c>
      <c r="V279" t="s">
        <v>38</v>
      </c>
      <c r="X279" t="s">
        <v>693</v>
      </c>
      <c r="Z279" t="s">
        <v>123</v>
      </c>
      <c r="AA279" t="s">
        <v>694</v>
      </c>
    </row>
    <row r="280" spans="1:27" x14ac:dyDescent="0.3">
      <c r="A280">
        <v>1144</v>
      </c>
      <c r="B280">
        <v>952</v>
      </c>
      <c r="D280">
        <v>0</v>
      </c>
      <c r="E280" t="s">
        <v>107</v>
      </c>
      <c r="F280" s="9">
        <v>44937</v>
      </c>
      <c r="G280" t="s">
        <v>599</v>
      </c>
      <c r="H280" t="s">
        <v>29</v>
      </c>
      <c r="I280">
        <v>16</v>
      </c>
      <c r="J280">
        <v>219.22</v>
      </c>
      <c r="K280" t="s">
        <v>689</v>
      </c>
      <c r="L280" t="s">
        <v>690</v>
      </c>
      <c r="O280">
        <v>10</v>
      </c>
      <c r="T280" t="s">
        <v>347</v>
      </c>
      <c r="U280" t="s">
        <v>32</v>
      </c>
      <c r="V280" t="s">
        <v>38</v>
      </c>
      <c r="X280" t="s">
        <v>695</v>
      </c>
      <c r="Z280" t="s">
        <v>123</v>
      </c>
      <c r="AA280" t="s">
        <v>696</v>
      </c>
    </row>
    <row r="281" spans="1:27" x14ac:dyDescent="0.3">
      <c r="A281">
        <v>1145</v>
      </c>
      <c r="B281">
        <v>953</v>
      </c>
      <c r="D281">
        <v>0</v>
      </c>
      <c r="E281" t="s">
        <v>107</v>
      </c>
      <c r="F281" s="9">
        <v>44937</v>
      </c>
      <c r="G281" t="s">
        <v>599</v>
      </c>
      <c r="H281" t="s">
        <v>29</v>
      </c>
      <c r="I281">
        <v>16</v>
      </c>
      <c r="J281">
        <v>219.3</v>
      </c>
      <c r="K281" t="s">
        <v>689</v>
      </c>
      <c r="L281" t="s">
        <v>690</v>
      </c>
      <c r="O281">
        <v>10</v>
      </c>
      <c r="U281" t="s">
        <v>32</v>
      </c>
      <c r="V281" t="s">
        <v>33</v>
      </c>
      <c r="W281" s="10" t="s">
        <v>697</v>
      </c>
      <c r="X281" t="s">
        <v>698</v>
      </c>
      <c r="Z281" t="s">
        <v>123</v>
      </c>
      <c r="AA281" t="s">
        <v>699</v>
      </c>
    </row>
    <row r="282" spans="1:27" x14ac:dyDescent="0.3">
      <c r="A282">
        <v>1146</v>
      </c>
      <c r="B282">
        <v>954</v>
      </c>
      <c r="D282">
        <v>0</v>
      </c>
      <c r="E282" t="s">
        <v>107</v>
      </c>
      <c r="F282" s="9">
        <v>44937</v>
      </c>
      <c r="G282" t="s">
        <v>599</v>
      </c>
      <c r="H282" t="s">
        <v>29</v>
      </c>
      <c r="I282">
        <v>16</v>
      </c>
      <c r="J282">
        <v>219.38</v>
      </c>
      <c r="K282" t="s">
        <v>689</v>
      </c>
      <c r="L282" t="s">
        <v>690</v>
      </c>
      <c r="O282">
        <v>15</v>
      </c>
      <c r="U282" t="s">
        <v>32</v>
      </c>
      <c r="V282" t="s">
        <v>33</v>
      </c>
      <c r="W282" s="10" t="s">
        <v>697</v>
      </c>
      <c r="X282" t="s">
        <v>700</v>
      </c>
      <c r="Z282" t="s">
        <v>123</v>
      </c>
      <c r="AA282" t="s">
        <v>701</v>
      </c>
    </row>
    <row r="283" spans="1:27" x14ac:dyDescent="0.3">
      <c r="A283">
        <v>1147</v>
      </c>
      <c r="B283">
        <v>955</v>
      </c>
      <c r="D283">
        <v>0</v>
      </c>
      <c r="E283" t="s">
        <v>107</v>
      </c>
      <c r="F283" s="9">
        <v>44937</v>
      </c>
      <c r="G283" t="s">
        <v>599</v>
      </c>
      <c r="H283" t="s">
        <v>29</v>
      </c>
      <c r="I283">
        <v>16</v>
      </c>
      <c r="J283">
        <v>219.65299999999999</v>
      </c>
      <c r="K283" t="s">
        <v>689</v>
      </c>
      <c r="L283" t="s">
        <v>690</v>
      </c>
      <c r="O283">
        <v>10</v>
      </c>
      <c r="T283" t="s">
        <v>569</v>
      </c>
      <c r="U283" t="s">
        <v>32</v>
      </c>
      <c r="V283" t="s">
        <v>33</v>
      </c>
      <c r="W283" s="10" t="s">
        <v>702</v>
      </c>
      <c r="X283" t="s">
        <v>703</v>
      </c>
      <c r="Z283" t="s">
        <v>123</v>
      </c>
      <c r="AA283" t="s">
        <v>704</v>
      </c>
    </row>
    <row r="284" spans="1:27" x14ac:dyDescent="0.3">
      <c r="A284">
        <v>1148</v>
      </c>
      <c r="B284">
        <v>956</v>
      </c>
      <c r="D284">
        <v>0</v>
      </c>
      <c r="E284" t="s">
        <v>107</v>
      </c>
      <c r="F284" s="9">
        <v>44938</v>
      </c>
      <c r="G284" t="s">
        <v>599</v>
      </c>
      <c r="H284" t="s">
        <v>29</v>
      </c>
      <c r="I284">
        <v>16</v>
      </c>
      <c r="J284">
        <v>229.4</v>
      </c>
      <c r="K284" t="s">
        <v>120</v>
      </c>
      <c r="L284" t="s">
        <v>705</v>
      </c>
      <c r="O284">
        <v>10</v>
      </c>
      <c r="T284" t="s">
        <v>317</v>
      </c>
      <c r="U284" t="s">
        <v>37</v>
      </c>
      <c r="V284" t="s">
        <v>38</v>
      </c>
      <c r="X284" t="s">
        <v>706</v>
      </c>
      <c r="Z284" t="s">
        <v>123</v>
      </c>
      <c r="AA284" t="s">
        <v>707</v>
      </c>
    </row>
    <row r="285" spans="1:27" x14ac:dyDescent="0.3">
      <c r="A285">
        <v>1149</v>
      </c>
      <c r="B285">
        <v>957</v>
      </c>
      <c r="D285">
        <v>0</v>
      </c>
      <c r="E285" t="s">
        <v>107</v>
      </c>
      <c r="F285" s="9">
        <v>44938</v>
      </c>
      <c r="G285" t="s">
        <v>599</v>
      </c>
      <c r="H285" t="s">
        <v>29</v>
      </c>
      <c r="I285">
        <v>16</v>
      </c>
      <c r="J285">
        <v>229.6</v>
      </c>
      <c r="K285" t="s">
        <v>120</v>
      </c>
      <c r="L285" t="s">
        <v>705</v>
      </c>
      <c r="O285">
        <v>400</v>
      </c>
      <c r="U285" t="s">
        <v>32</v>
      </c>
      <c r="V285" t="s">
        <v>33</v>
      </c>
      <c r="W285" s="10" t="s">
        <v>708</v>
      </c>
      <c r="X285" t="s">
        <v>709</v>
      </c>
      <c r="Z285" t="s">
        <v>123</v>
      </c>
      <c r="AA285" t="s">
        <v>710</v>
      </c>
    </row>
    <row r="286" spans="1:27" x14ac:dyDescent="0.3">
      <c r="A286">
        <v>1150</v>
      </c>
      <c r="B286">
        <v>958</v>
      </c>
      <c r="D286">
        <v>0</v>
      </c>
      <c r="E286" t="s">
        <v>107</v>
      </c>
      <c r="F286" s="9">
        <v>44938</v>
      </c>
      <c r="G286" t="s">
        <v>351</v>
      </c>
      <c r="H286" t="s">
        <v>29</v>
      </c>
      <c r="I286">
        <v>16</v>
      </c>
      <c r="J286">
        <v>237.65</v>
      </c>
      <c r="K286" t="s">
        <v>711</v>
      </c>
      <c r="L286" t="s">
        <v>121</v>
      </c>
      <c r="O286">
        <v>5</v>
      </c>
      <c r="T286" t="s">
        <v>317</v>
      </c>
      <c r="U286" t="s">
        <v>37</v>
      </c>
      <c r="V286" t="s">
        <v>38</v>
      </c>
      <c r="X286" t="s">
        <v>712</v>
      </c>
      <c r="Z286" t="s">
        <v>123</v>
      </c>
      <c r="AA286" t="s">
        <v>713</v>
      </c>
    </row>
    <row r="287" spans="1:27" x14ac:dyDescent="0.3">
      <c r="A287">
        <v>1151</v>
      </c>
      <c r="B287">
        <v>964</v>
      </c>
      <c r="D287">
        <v>0</v>
      </c>
      <c r="E287" t="s">
        <v>107</v>
      </c>
      <c r="F287" s="9">
        <v>44943</v>
      </c>
      <c r="G287" t="s">
        <v>351</v>
      </c>
      <c r="H287" t="s">
        <v>29</v>
      </c>
      <c r="I287">
        <v>17</v>
      </c>
      <c r="J287">
        <v>375.625</v>
      </c>
      <c r="K287" t="s">
        <v>714</v>
      </c>
      <c r="L287" t="s">
        <v>715</v>
      </c>
      <c r="O287">
        <v>2</v>
      </c>
      <c r="T287" t="s">
        <v>317</v>
      </c>
      <c r="U287" t="s">
        <v>37</v>
      </c>
      <c r="V287" t="s">
        <v>38</v>
      </c>
      <c r="X287" t="s">
        <v>716</v>
      </c>
      <c r="Z287" t="s">
        <v>35</v>
      </c>
      <c r="AA287" t="s">
        <v>717</v>
      </c>
    </row>
    <row r="288" spans="1:27" x14ac:dyDescent="0.3">
      <c r="A288">
        <v>1152</v>
      </c>
      <c r="B288">
        <v>965</v>
      </c>
      <c r="D288">
        <v>0</v>
      </c>
      <c r="E288" t="s">
        <v>107</v>
      </c>
      <c r="F288" s="9">
        <v>44943</v>
      </c>
      <c r="G288" t="s">
        <v>351</v>
      </c>
      <c r="H288" t="s">
        <v>29</v>
      </c>
      <c r="I288">
        <v>17</v>
      </c>
      <c r="J288">
        <v>375.96</v>
      </c>
      <c r="K288" t="s">
        <v>714</v>
      </c>
      <c r="L288" t="s">
        <v>715</v>
      </c>
      <c r="O288">
        <v>6</v>
      </c>
      <c r="T288" t="s">
        <v>317</v>
      </c>
      <c r="U288" t="s">
        <v>32</v>
      </c>
      <c r="V288" t="s">
        <v>38</v>
      </c>
      <c r="X288" t="s">
        <v>718</v>
      </c>
      <c r="Z288" t="s">
        <v>35</v>
      </c>
      <c r="AA288" t="s">
        <v>719</v>
      </c>
    </row>
    <row r="289" spans="1:27" x14ac:dyDescent="0.3">
      <c r="A289">
        <v>1153</v>
      </c>
      <c r="B289">
        <v>940</v>
      </c>
      <c r="D289">
        <v>0</v>
      </c>
      <c r="E289" t="s">
        <v>107</v>
      </c>
      <c r="F289" s="9">
        <v>44944</v>
      </c>
      <c r="G289" t="s">
        <v>351</v>
      </c>
      <c r="H289" t="s">
        <v>29</v>
      </c>
      <c r="I289">
        <v>17</v>
      </c>
      <c r="J289">
        <v>330.95</v>
      </c>
      <c r="K289" t="s">
        <v>283</v>
      </c>
      <c r="L289" t="s">
        <v>284</v>
      </c>
      <c r="O289">
        <v>40</v>
      </c>
      <c r="T289" t="s">
        <v>347</v>
      </c>
      <c r="U289" t="s">
        <v>293</v>
      </c>
      <c r="V289" t="s">
        <v>38</v>
      </c>
      <c r="W289" s="10" t="s">
        <v>524</v>
      </c>
      <c r="X289" t="s">
        <v>720</v>
      </c>
      <c r="Z289" t="s">
        <v>35</v>
      </c>
      <c r="AA289" t="s">
        <v>721</v>
      </c>
    </row>
    <row r="290" spans="1:27" x14ac:dyDescent="0.3">
      <c r="A290">
        <v>249614</v>
      </c>
      <c r="B290">
        <v>941</v>
      </c>
      <c r="D290">
        <v>0</v>
      </c>
      <c r="E290" t="s">
        <v>118</v>
      </c>
      <c r="F290" s="9">
        <v>45329</v>
      </c>
      <c r="G290" t="s">
        <v>267</v>
      </c>
      <c r="H290" t="s">
        <v>442</v>
      </c>
      <c r="I290">
        <v>17</v>
      </c>
      <c r="J290">
        <v>330.988</v>
      </c>
      <c r="K290" t="s">
        <v>283</v>
      </c>
      <c r="L290" t="s">
        <v>284</v>
      </c>
      <c r="P290">
        <v>-28.25103833</v>
      </c>
      <c r="R290">
        <v>-50.572323330000003</v>
      </c>
      <c r="T290" t="s">
        <v>347</v>
      </c>
      <c r="U290" t="s">
        <v>596</v>
      </c>
      <c r="V290" t="s">
        <v>33</v>
      </c>
      <c r="Z290" t="s">
        <v>35</v>
      </c>
    </row>
    <row r="291" spans="1:27" x14ac:dyDescent="0.3">
      <c r="A291">
        <v>1155</v>
      </c>
      <c r="B291">
        <v>942</v>
      </c>
      <c r="D291">
        <v>0</v>
      </c>
      <c r="E291" t="s">
        <v>107</v>
      </c>
      <c r="F291" s="9">
        <v>44944</v>
      </c>
      <c r="G291" t="s">
        <v>351</v>
      </c>
      <c r="H291" t="s">
        <v>29</v>
      </c>
      <c r="I291">
        <v>17</v>
      </c>
      <c r="J291">
        <v>331.15</v>
      </c>
      <c r="K291" t="s">
        <v>283</v>
      </c>
      <c r="L291" t="s">
        <v>284</v>
      </c>
      <c r="O291">
        <v>5</v>
      </c>
      <c r="T291" t="s">
        <v>317</v>
      </c>
      <c r="U291" t="s">
        <v>37</v>
      </c>
      <c r="V291" t="s">
        <v>38</v>
      </c>
      <c r="X291" t="s">
        <v>722</v>
      </c>
      <c r="Z291" t="s">
        <v>35</v>
      </c>
      <c r="AA291" t="s">
        <v>723</v>
      </c>
    </row>
    <row r="292" spans="1:27" x14ac:dyDescent="0.3">
      <c r="A292">
        <v>1156</v>
      </c>
      <c r="B292">
        <v>943</v>
      </c>
      <c r="D292">
        <v>0</v>
      </c>
      <c r="E292" t="s">
        <v>107</v>
      </c>
      <c r="F292" s="9">
        <v>44944</v>
      </c>
      <c r="G292" t="s">
        <v>351</v>
      </c>
      <c r="H292" t="s">
        <v>29</v>
      </c>
      <c r="I292">
        <v>17</v>
      </c>
      <c r="J292">
        <v>331.96499999999997</v>
      </c>
      <c r="K292" t="s">
        <v>291</v>
      </c>
      <c r="L292" t="s">
        <v>292</v>
      </c>
      <c r="O292">
        <v>30</v>
      </c>
      <c r="T292" t="s">
        <v>268</v>
      </c>
      <c r="U292" t="s">
        <v>293</v>
      </c>
      <c r="V292" t="s">
        <v>38</v>
      </c>
      <c r="X292" t="s">
        <v>724</v>
      </c>
      <c r="Z292" t="s">
        <v>35</v>
      </c>
      <c r="AA292" t="s">
        <v>725</v>
      </c>
    </row>
    <row r="293" spans="1:27" x14ac:dyDescent="0.3">
      <c r="A293">
        <v>1157</v>
      </c>
      <c r="B293">
        <v>944</v>
      </c>
      <c r="D293">
        <v>0</v>
      </c>
      <c r="E293" t="s">
        <v>107</v>
      </c>
      <c r="F293" s="9">
        <v>44944</v>
      </c>
      <c r="G293" t="s">
        <v>351</v>
      </c>
      <c r="H293" t="s">
        <v>29</v>
      </c>
      <c r="I293">
        <v>17</v>
      </c>
      <c r="J293">
        <v>332.07</v>
      </c>
      <c r="K293" t="s">
        <v>291</v>
      </c>
      <c r="L293" t="s">
        <v>292</v>
      </c>
      <c r="O293">
        <v>5</v>
      </c>
      <c r="T293" t="s">
        <v>317</v>
      </c>
      <c r="U293" t="s">
        <v>32</v>
      </c>
      <c r="V293" t="s">
        <v>38</v>
      </c>
      <c r="X293" t="s">
        <v>726</v>
      </c>
      <c r="Z293" t="s">
        <v>35</v>
      </c>
      <c r="AA293" t="s">
        <v>727</v>
      </c>
    </row>
    <row r="294" spans="1:27" x14ac:dyDescent="0.3">
      <c r="A294">
        <v>1158</v>
      </c>
      <c r="B294">
        <v>945</v>
      </c>
      <c r="D294">
        <v>0</v>
      </c>
      <c r="E294" t="s">
        <v>107</v>
      </c>
      <c r="F294" s="9">
        <v>44944</v>
      </c>
      <c r="G294" t="s">
        <v>351</v>
      </c>
      <c r="H294" t="s">
        <v>29</v>
      </c>
      <c r="I294">
        <v>17</v>
      </c>
      <c r="J294">
        <v>332.72699999999998</v>
      </c>
      <c r="K294" t="s">
        <v>298</v>
      </c>
      <c r="L294" t="s">
        <v>299</v>
      </c>
      <c r="O294">
        <v>40</v>
      </c>
      <c r="T294" t="s">
        <v>347</v>
      </c>
      <c r="U294" t="s">
        <v>293</v>
      </c>
      <c r="V294" t="s">
        <v>38</v>
      </c>
      <c r="W294" s="10" t="s">
        <v>524</v>
      </c>
      <c r="X294" t="s">
        <v>728</v>
      </c>
      <c r="Z294" t="s">
        <v>35</v>
      </c>
      <c r="AA294" t="s">
        <v>729</v>
      </c>
    </row>
    <row r="295" spans="1:27" x14ac:dyDescent="0.3">
      <c r="A295">
        <v>1159</v>
      </c>
      <c r="B295">
        <v>946</v>
      </c>
      <c r="D295">
        <v>0</v>
      </c>
      <c r="E295" t="s">
        <v>107</v>
      </c>
      <c r="F295" s="9">
        <v>44944</v>
      </c>
      <c r="G295" t="s">
        <v>351</v>
      </c>
      <c r="H295" t="s">
        <v>29</v>
      </c>
      <c r="I295">
        <v>17</v>
      </c>
      <c r="J295">
        <v>332.8</v>
      </c>
      <c r="K295" t="s">
        <v>298</v>
      </c>
      <c r="L295" t="s">
        <v>299</v>
      </c>
      <c r="O295">
        <v>3</v>
      </c>
      <c r="T295" t="s">
        <v>317</v>
      </c>
      <c r="U295" t="s">
        <v>32</v>
      </c>
      <c r="V295" t="s">
        <v>38</v>
      </c>
      <c r="X295" t="s">
        <v>730</v>
      </c>
      <c r="Z295" t="s">
        <v>35</v>
      </c>
      <c r="AA295" t="s">
        <v>731</v>
      </c>
    </row>
    <row r="296" spans="1:27" x14ac:dyDescent="0.3">
      <c r="A296">
        <v>1160</v>
      </c>
      <c r="B296">
        <v>947</v>
      </c>
      <c r="D296">
        <v>0</v>
      </c>
      <c r="E296" t="s">
        <v>107</v>
      </c>
      <c r="F296" s="9">
        <v>44944</v>
      </c>
      <c r="G296" t="s">
        <v>351</v>
      </c>
      <c r="H296" t="s">
        <v>29</v>
      </c>
      <c r="I296">
        <v>17</v>
      </c>
      <c r="J296">
        <v>333.00200000000001</v>
      </c>
      <c r="K296" t="s">
        <v>305</v>
      </c>
      <c r="L296" t="s">
        <v>306</v>
      </c>
      <c r="O296">
        <v>100</v>
      </c>
      <c r="T296" t="s">
        <v>347</v>
      </c>
      <c r="U296" t="s">
        <v>293</v>
      </c>
      <c r="V296" t="s">
        <v>38</v>
      </c>
      <c r="X296" t="s">
        <v>732</v>
      </c>
      <c r="Z296" t="s">
        <v>35</v>
      </c>
      <c r="AA296" t="s">
        <v>733</v>
      </c>
    </row>
    <row r="297" spans="1:27" x14ac:dyDescent="0.3">
      <c r="A297">
        <v>1161</v>
      </c>
      <c r="B297">
        <v>959</v>
      </c>
      <c r="D297">
        <v>0</v>
      </c>
      <c r="E297" t="s">
        <v>107</v>
      </c>
      <c r="F297" s="9">
        <v>44944</v>
      </c>
      <c r="G297" t="s">
        <v>351</v>
      </c>
      <c r="H297" t="s">
        <v>29</v>
      </c>
      <c r="I297">
        <v>17</v>
      </c>
      <c r="J297">
        <v>333.24</v>
      </c>
      <c r="K297" t="s">
        <v>305</v>
      </c>
      <c r="L297" t="s">
        <v>306</v>
      </c>
      <c r="O297">
        <v>1</v>
      </c>
      <c r="T297" t="s">
        <v>317</v>
      </c>
      <c r="U297" t="s">
        <v>37</v>
      </c>
      <c r="V297" t="s">
        <v>38</v>
      </c>
      <c r="X297" t="s">
        <v>734</v>
      </c>
      <c r="Z297" t="s">
        <v>35</v>
      </c>
      <c r="AA297" t="s">
        <v>735</v>
      </c>
    </row>
    <row r="298" spans="1:27" x14ac:dyDescent="0.3">
      <c r="A298">
        <v>1162</v>
      </c>
      <c r="B298">
        <v>927</v>
      </c>
      <c r="D298">
        <v>0</v>
      </c>
      <c r="E298" t="s">
        <v>107</v>
      </c>
      <c r="F298" s="9">
        <v>44945</v>
      </c>
      <c r="G298" t="s">
        <v>351</v>
      </c>
      <c r="H298" t="s">
        <v>29</v>
      </c>
      <c r="I298">
        <v>17</v>
      </c>
      <c r="J298">
        <v>313.94299999999998</v>
      </c>
      <c r="K298" t="s">
        <v>30</v>
      </c>
      <c r="L298" t="s">
        <v>31</v>
      </c>
      <c r="O298">
        <v>5</v>
      </c>
      <c r="T298" t="s">
        <v>569</v>
      </c>
      <c r="U298" t="s">
        <v>566</v>
      </c>
      <c r="V298" t="s">
        <v>38</v>
      </c>
      <c r="X298" t="s">
        <v>736</v>
      </c>
      <c r="Z298" t="s">
        <v>35</v>
      </c>
      <c r="AA298" t="s">
        <v>737</v>
      </c>
    </row>
    <row r="299" spans="1:27" x14ac:dyDescent="0.3">
      <c r="A299">
        <v>1163</v>
      </c>
      <c r="B299">
        <v>960</v>
      </c>
      <c r="D299">
        <v>0</v>
      </c>
      <c r="E299" t="s">
        <v>107</v>
      </c>
      <c r="F299" s="9">
        <v>44946</v>
      </c>
      <c r="G299" t="s">
        <v>599</v>
      </c>
      <c r="H299" t="s">
        <v>29</v>
      </c>
      <c r="I299">
        <v>17</v>
      </c>
      <c r="J299">
        <v>348.18599999999998</v>
      </c>
      <c r="K299" t="s">
        <v>141</v>
      </c>
      <c r="L299" t="s">
        <v>142</v>
      </c>
      <c r="O299">
        <v>10</v>
      </c>
      <c r="T299" t="s">
        <v>317</v>
      </c>
      <c r="U299" t="s">
        <v>37</v>
      </c>
      <c r="V299" t="s">
        <v>33</v>
      </c>
      <c r="X299" t="s">
        <v>738</v>
      </c>
      <c r="Z299" t="s">
        <v>35</v>
      </c>
      <c r="AA299" t="s">
        <v>739</v>
      </c>
    </row>
    <row r="300" spans="1:27" x14ac:dyDescent="0.3">
      <c r="A300">
        <v>1164</v>
      </c>
      <c r="B300">
        <v>961</v>
      </c>
      <c r="D300">
        <v>0</v>
      </c>
      <c r="E300" t="s">
        <v>107</v>
      </c>
      <c r="F300" s="9">
        <v>44946</v>
      </c>
      <c r="G300" t="s">
        <v>351</v>
      </c>
      <c r="H300" t="s">
        <v>29</v>
      </c>
      <c r="I300">
        <v>17</v>
      </c>
      <c r="J300">
        <v>349.57</v>
      </c>
      <c r="K300" t="s">
        <v>138</v>
      </c>
      <c r="L300" t="s">
        <v>139</v>
      </c>
      <c r="O300">
        <v>2</v>
      </c>
      <c r="T300" t="s">
        <v>317</v>
      </c>
      <c r="U300" t="s">
        <v>32</v>
      </c>
      <c r="V300" t="s">
        <v>33</v>
      </c>
      <c r="X300" t="s">
        <v>740</v>
      </c>
      <c r="Z300" t="s">
        <v>35</v>
      </c>
      <c r="AA300" t="s">
        <v>741</v>
      </c>
    </row>
    <row r="301" spans="1:27" x14ac:dyDescent="0.3">
      <c r="A301">
        <v>1165</v>
      </c>
      <c r="B301">
        <v>962</v>
      </c>
      <c r="D301">
        <v>0</v>
      </c>
      <c r="E301" t="s">
        <v>107</v>
      </c>
      <c r="F301" s="9">
        <v>44946</v>
      </c>
      <c r="G301" t="s">
        <v>351</v>
      </c>
      <c r="H301" t="s">
        <v>29</v>
      </c>
      <c r="I301">
        <v>17</v>
      </c>
      <c r="J301">
        <v>350.97500000000002</v>
      </c>
      <c r="K301" t="s">
        <v>152</v>
      </c>
      <c r="L301" t="s">
        <v>153</v>
      </c>
      <c r="O301">
        <v>1</v>
      </c>
      <c r="T301" t="s">
        <v>317</v>
      </c>
      <c r="U301" t="s">
        <v>37</v>
      </c>
      <c r="V301" t="s">
        <v>38</v>
      </c>
      <c r="X301" t="s">
        <v>742</v>
      </c>
      <c r="Z301" t="s">
        <v>35</v>
      </c>
      <c r="AA301" t="s">
        <v>743</v>
      </c>
    </row>
    <row r="302" spans="1:27" x14ac:dyDescent="0.3">
      <c r="A302">
        <v>1166</v>
      </c>
      <c r="B302">
        <v>963</v>
      </c>
      <c r="D302">
        <v>0</v>
      </c>
      <c r="E302" t="s">
        <v>107</v>
      </c>
      <c r="F302" s="9">
        <v>44946</v>
      </c>
      <c r="G302" t="s">
        <v>351</v>
      </c>
      <c r="H302" t="s">
        <v>29</v>
      </c>
      <c r="I302">
        <v>17</v>
      </c>
      <c r="J302">
        <v>351.37</v>
      </c>
      <c r="K302" t="s">
        <v>152</v>
      </c>
      <c r="L302" t="s">
        <v>153</v>
      </c>
      <c r="O302">
        <v>2</v>
      </c>
      <c r="T302" t="s">
        <v>317</v>
      </c>
      <c r="U302" t="s">
        <v>32</v>
      </c>
      <c r="V302" t="s">
        <v>38</v>
      </c>
      <c r="X302" t="s">
        <v>744</v>
      </c>
      <c r="Z302" t="s">
        <v>35</v>
      </c>
      <c r="AA302" t="s">
        <v>745</v>
      </c>
    </row>
    <row r="303" spans="1:27" x14ac:dyDescent="0.3">
      <c r="A303">
        <v>1167</v>
      </c>
      <c r="B303">
        <v>928</v>
      </c>
      <c r="D303">
        <v>0</v>
      </c>
      <c r="E303" t="s">
        <v>107</v>
      </c>
      <c r="F303" s="9">
        <v>44947</v>
      </c>
      <c r="G303" t="s">
        <v>599</v>
      </c>
      <c r="H303" t="s">
        <v>29</v>
      </c>
      <c r="I303">
        <v>17</v>
      </c>
      <c r="J303">
        <v>315.64499999999998</v>
      </c>
      <c r="K303" t="s">
        <v>134</v>
      </c>
      <c r="L303" t="s">
        <v>135</v>
      </c>
      <c r="O303">
        <v>1</v>
      </c>
      <c r="T303" t="s">
        <v>268</v>
      </c>
      <c r="U303" t="s">
        <v>566</v>
      </c>
      <c r="V303" t="s">
        <v>38</v>
      </c>
      <c r="X303" t="s">
        <v>746</v>
      </c>
      <c r="Z303" t="s">
        <v>35</v>
      </c>
      <c r="AA303" t="s">
        <v>747</v>
      </c>
    </row>
    <row r="304" spans="1:27" x14ac:dyDescent="0.3">
      <c r="A304">
        <v>1168</v>
      </c>
      <c r="B304">
        <v>929</v>
      </c>
      <c r="D304">
        <v>0</v>
      </c>
      <c r="E304" t="s">
        <v>107</v>
      </c>
      <c r="F304" s="9">
        <v>44947</v>
      </c>
      <c r="G304" t="s">
        <v>599</v>
      </c>
      <c r="H304" t="s">
        <v>29</v>
      </c>
      <c r="I304">
        <v>17</v>
      </c>
      <c r="J304">
        <v>315.64999999999998</v>
      </c>
      <c r="K304" t="s">
        <v>134</v>
      </c>
      <c r="L304" t="s">
        <v>135</v>
      </c>
      <c r="O304">
        <v>10</v>
      </c>
      <c r="T304" t="s">
        <v>317</v>
      </c>
      <c r="U304" t="s">
        <v>37</v>
      </c>
      <c r="V304" t="s">
        <v>33</v>
      </c>
      <c r="X304" t="s">
        <v>748</v>
      </c>
      <c r="Z304" t="s">
        <v>35</v>
      </c>
      <c r="AA304" t="s">
        <v>749</v>
      </c>
    </row>
    <row r="305" spans="1:27" x14ac:dyDescent="0.3">
      <c r="A305">
        <v>1169</v>
      </c>
      <c r="B305">
        <v>930</v>
      </c>
      <c r="D305">
        <v>0</v>
      </c>
      <c r="E305" t="s">
        <v>107</v>
      </c>
      <c r="F305" s="9">
        <v>44947</v>
      </c>
      <c r="G305" t="s">
        <v>599</v>
      </c>
      <c r="H305" t="s">
        <v>29</v>
      </c>
      <c r="I305">
        <v>17</v>
      </c>
      <c r="J305">
        <v>318.55</v>
      </c>
      <c r="K305" t="s">
        <v>41</v>
      </c>
      <c r="L305" t="s">
        <v>42</v>
      </c>
      <c r="O305">
        <v>50</v>
      </c>
      <c r="T305" t="s">
        <v>268</v>
      </c>
      <c r="U305" t="s">
        <v>293</v>
      </c>
      <c r="V305" t="s">
        <v>33</v>
      </c>
      <c r="X305" t="s">
        <v>750</v>
      </c>
      <c r="Z305" t="s">
        <v>35</v>
      </c>
      <c r="AA305" t="s">
        <v>751</v>
      </c>
    </row>
    <row r="306" spans="1:27" x14ac:dyDescent="0.3">
      <c r="A306">
        <v>1170</v>
      </c>
      <c r="B306">
        <v>931</v>
      </c>
      <c r="D306">
        <v>0</v>
      </c>
      <c r="E306" t="s">
        <v>107</v>
      </c>
      <c r="F306" s="9">
        <v>44947</v>
      </c>
      <c r="G306" t="s">
        <v>599</v>
      </c>
      <c r="H306" t="s">
        <v>29</v>
      </c>
      <c r="I306">
        <v>17</v>
      </c>
      <c r="J306">
        <v>319.15899999999999</v>
      </c>
      <c r="K306" t="s">
        <v>47</v>
      </c>
      <c r="L306" t="s">
        <v>48</v>
      </c>
      <c r="O306">
        <v>20</v>
      </c>
      <c r="T306" t="s">
        <v>268</v>
      </c>
      <c r="U306" t="s">
        <v>32</v>
      </c>
      <c r="V306" t="s">
        <v>38</v>
      </c>
      <c r="X306" t="s">
        <v>752</v>
      </c>
      <c r="Z306" t="s">
        <v>35</v>
      </c>
      <c r="AA306" t="s">
        <v>753</v>
      </c>
    </row>
    <row r="307" spans="1:27" x14ac:dyDescent="0.3">
      <c r="A307">
        <v>1171</v>
      </c>
      <c r="B307">
        <v>932</v>
      </c>
      <c r="D307">
        <v>0</v>
      </c>
      <c r="E307" t="s">
        <v>107</v>
      </c>
      <c r="F307" s="9">
        <v>44947</v>
      </c>
      <c r="G307" t="s">
        <v>599</v>
      </c>
      <c r="H307" t="s">
        <v>29</v>
      </c>
      <c r="I307">
        <v>17</v>
      </c>
      <c r="J307">
        <v>320.74400000000003</v>
      </c>
      <c r="K307" t="s">
        <v>754</v>
      </c>
      <c r="L307" t="s">
        <v>755</v>
      </c>
      <c r="O307">
        <v>150</v>
      </c>
      <c r="T307" t="s">
        <v>268</v>
      </c>
      <c r="U307" t="s">
        <v>293</v>
      </c>
      <c r="V307" t="s">
        <v>33</v>
      </c>
      <c r="X307" t="s">
        <v>756</v>
      </c>
      <c r="Z307" t="s">
        <v>35</v>
      </c>
      <c r="AA307" t="s">
        <v>757</v>
      </c>
    </row>
    <row r="308" spans="1:27" x14ac:dyDescent="0.3">
      <c r="A308">
        <v>1172</v>
      </c>
      <c r="B308">
        <v>933</v>
      </c>
      <c r="D308">
        <v>0</v>
      </c>
      <c r="E308" t="s">
        <v>107</v>
      </c>
      <c r="F308" s="9">
        <v>44947</v>
      </c>
      <c r="G308" t="s">
        <v>599</v>
      </c>
      <c r="H308" t="s">
        <v>29</v>
      </c>
      <c r="I308">
        <v>17</v>
      </c>
      <c r="J308">
        <v>321.05</v>
      </c>
      <c r="K308" t="s">
        <v>754</v>
      </c>
      <c r="L308" t="s">
        <v>755</v>
      </c>
      <c r="O308">
        <v>100</v>
      </c>
      <c r="T308" t="s">
        <v>268</v>
      </c>
      <c r="U308" t="s">
        <v>293</v>
      </c>
      <c r="V308" t="s">
        <v>33</v>
      </c>
      <c r="X308" t="s">
        <v>758</v>
      </c>
      <c r="Z308" t="s">
        <v>35</v>
      </c>
      <c r="AA308" t="s">
        <v>759</v>
      </c>
    </row>
    <row r="309" spans="1:27" x14ac:dyDescent="0.3">
      <c r="A309">
        <v>1173</v>
      </c>
      <c r="B309">
        <v>934</v>
      </c>
      <c r="D309">
        <v>0</v>
      </c>
      <c r="E309" t="s">
        <v>107</v>
      </c>
      <c r="F309" s="9">
        <v>44947</v>
      </c>
      <c r="G309" t="s">
        <v>599</v>
      </c>
      <c r="H309" t="s">
        <v>29</v>
      </c>
      <c r="I309">
        <v>17</v>
      </c>
      <c r="J309">
        <v>321.12</v>
      </c>
      <c r="K309" t="s">
        <v>754</v>
      </c>
      <c r="L309" t="s">
        <v>755</v>
      </c>
      <c r="O309">
        <v>20</v>
      </c>
      <c r="T309" t="s">
        <v>268</v>
      </c>
      <c r="U309" t="s">
        <v>32</v>
      </c>
      <c r="V309" t="s">
        <v>62</v>
      </c>
      <c r="X309" t="s">
        <v>760</v>
      </c>
      <c r="Z309" t="s">
        <v>35</v>
      </c>
      <c r="AA309" t="s">
        <v>761</v>
      </c>
    </row>
    <row r="310" spans="1:27" x14ac:dyDescent="0.3">
      <c r="A310">
        <v>1174</v>
      </c>
      <c r="B310">
        <v>935</v>
      </c>
      <c r="D310">
        <v>0</v>
      </c>
      <c r="E310" t="s">
        <v>107</v>
      </c>
      <c r="F310" s="9">
        <v>44947</v>
      </c>
      <c r="G310" t="s">
        <v>351</v>
      </c>
      <c r="H310" t="s">
        <v>29</v>
      </c>
      <c r="I310">
        <v>17</v>
      </c>
      <c r="J310">
        <v>325.02999999999997</v>
      </c>
      <c r="K310" t="s">
        <v>250</v>
      </c>
      <c r="L310" t="s">
        <v>251</v>
      </c>
      <c r="O310">
        <v>1</v>
      </c>
      <c r="T310" t="s">
        <v>317</v>
      </c>
      <c r="U310" t="s">
        <v>32</v>
      </c>
      <c r="V310" t="s">
        <v>38</v>
      </c>
      <c r="X310" t="s">
        <v>762</v>
      </c>
      <c r="Z310" t="s">
        <v>35</v>
      </c>
      <c r="AA310" t="s">
        <v>763</v>
      </c>
    </row>
    <row r="311" spans="1:27" x14ac:dyDescent="0.3">
      <c r="A311">
        <v>1175</v>
      </c>
      <c r="B311">
        <v>936</v>
      </c>
      <c r="D311">
        <v>0</v>
      </c>
      <c r="E311" t="s">
        <v>107</v>
      </c>
      <c r="F311" s="9">
        <v>44947</v>
      </c>
      <c r="G311" t="s">
        <v>351</v>
      </c>
      <c r="H311" t="s">
        <v>29</v>
      </c>
      <c r="I311">
        <v>17</v>
      </c>
      <c r="J311">
        <v>325.10000000000002</v>
      </c>
      <c r="K311" t="s">
        <v>250</v>
      </c>
      <c r="L311" t="s">
        <v>251</v>
      </c>
      <c r="O311">
        <v>1</v>
      </c>
      <c r="T311" t="s">
        <v>317</v>
      </c>
      <c r="U311" t="s">
        <v>37</v>
      </c>
      <c r="V311" t="s">
        <v>38</v>
      </c>
      <c r="X311" t="s">
        <v>764</v>
      </c>
      <c r="Z311" t="s">
        <v>35</v>
      </c>
      <c r="AA311" t="s">
        <v>765</v>
      </c>
    </row>
    <row r="312" spans="1:27" x14ac:dyDescent="0.3">
      <c r="A312">
        <v>1176</v>
      </c>
      <c r="B312">
        <v>937</v>
      </c>
      <c r="D312">
        <v>0</v>
      </c>
      <c r="E312" t="s">
        <v>107</v>
      </c>
      <c r="F312" s="9">
        <v>44947</v>
      </c>
      <c r="G312" t="s">
        <v>351</v>
      </c>
      <c r="H312" t="s">
        <v>29</v>
      </c>
      <c r="I312">
        <v>17</v>
      </c>
      <c r="J312">
        <v>326.39499999999998</v>
      </c>
      <c r="K312" t="s">
        <v>257</v>
      </c>
      <c r="L312" t="s">
        <v>258</v>
      </c>
      <c r="O312">
        <v>2</v>
      </c>
      <c r="T312" t="s">
        <v>317</v>
      </c>
      <c r="U312" t="s">
        <v>32</v>
      </c>
      <c r="V312" t="s">
        <v>38</v>
      </c>
      <c r="X312" t="s">
        <v>766</v>
      </c>
      <c r="Z312" t="s">
        <v>35</v>
      </c>
      <c r="AA312" t="s">
        <v>767</v>
      </c>
    </row>
    <row r="313" spans="1:27" x14ac:dyDescent="0.3">
      <c r="A313">
        <v>1177</v>
      </c>
      <c r="B313">
        <v>938</v>
      </c>
      <c r="D313">
        <v>0</v>
      </c>
      <c r="E313" t="s">
        <v>107</v>
      </c>
      <c r="F313" s="9">
        <v>44947</v>
      </c>
      <c r="G313" t="s">
        <v>351</v>
      </c>
      <c r="H313" t="s">
        <v>29</v>
      </c>
      <c r="I313">
        <v>17</v>
      </c>
      <c r="J313">
        <v>327.82</v>
      </c>
      <c r="K313" t="s">
        <v>264</v>
      </c>
      <c r="L313" t="s">
        <v>265</v>
      </c>
      <c r="O313">
        <v>1</v>
      </c>
      <c r="T313" t="s">
        <v>317</v>
      </c>
      <c r="U313" t="s">
        <v>32</v>
      </c>
      <c r="V313" t="s">
        <v>38</v>
      </c>
      <c r="X313" t="s">
        <v>768</v>
      </c>
      <c r="Z313" t="s">
        <v>35</v>
      </c>
      <c r="AA313" t="s">
        <v>769</v>
      </c>
    </row>
    <row r="314" spans="1:27" x14ac:dyDescent="0.3">
      <c r="A314">
        <v>1178</v>
      </c>
      <c r="B314">
        <v>939</v>
      </c>
      <c r="D314">
        <v>0</v>
      </c>
      <c r="E314" t="s">
        <v>107</v>
      </c>
      <c r="F314" s="9">
        <v>44947</v>
      </c>
      <c r="G314" t="s">
        <v>351</v>
      </c>
      <c r="H314" t="s">
        <v>29</v>
      </c>
      <c r="I314">
        <v>17</v>
      </c>
      <c r="J314">
        <v>329.75</v>
      </c>
      <c r="K314" t="s">
        <v>279</v>
      </c>
      <c r="L314" t="s">
        <v>280</v>
      </c>
      <c r="O314">
        <v>10</v>
      </c>
      <c r="T314" t="s">
        <v>317</v>
      </c>
      <c r="U314" t="s">
        <v>37</v>
      </c>
      <c r="V314" t="s">
        <v>38</v>
      </c>
      <c r="X314" t="s">
        <v>770</v>
      </c>
      <c r="Z314" t="s">
        <v>35</v>
      </c>
      <c r="AA314" t="s">
        <v>771</v>
      </c>
    </row>
    <row r="315" spans="1:27" x14ac:dyDescent="0.3">
      <c r="A315">
        <v>305340</v>
      </c>
      <c r="B315">
        <v>948</v>
      </c>
      <c r="D315">
        <v>0</v>
      </c>
      <c r="E315" t="s">
        <v>107</v>
      </c>
      <c r="F315" s="9">
        <v>45397</v>
      </c>
      <c r="G315" t="s">
        <v>108</v>
      </c>
      <c r="H315" t="s">
        <v>344</v>
      </c>
      <c r="I315">
        <v>16</v>
      </c>
      <c r="J315">
        <v>170.04</v>
      </c>
      <c r="K315" t="s">
        <v>772</v>
      </c>
      <c r="L315" t="s">
        <v>773</v>
      </c>
      <c r="T315" t="s">
        <v>317</v>
      </c>
      <c r="U315" t="s">
        <v>37</v>
      </c>
      <c r="V315" t="s">
        <v>38</v>
      </c>
      <c r="X315" t="s">
        <v>774</v>
      </c>
      <c r="Z315" t="s">
        <v>116</v>
      </c>
      <c r="AA315" t="s">
        <v>775</v>
      </c>
    </row>
    <row r="316" spans="1:27" x14ac:dyDescent="0.3">
      <c r="A316">
        <v>305341</v>
      </c>
      <c r="B316">
        <v>949</v>
      </c>
      <c r="D316">
        <v>0</v>
      </c>
      <c r="E316" t="s">
        <v>107</v>
      </c>
      <c r="F316" s="9">
        <v>45397</v>
      </c>
      <c r="G316" t="s">
        <v>108</v>
      </c>
      <c r="H316" t="s">
        <v>344</v>
      </c>
      <c r="I316">
        <v>16</v>
      </c>
      <c r="J316">
        <v>170.31</v>
      </c>
      <c r="K316" t="s">
        <v>772</v>
      </c>
      <c r="L316" t="s">
        <v>773</v>
      </c>
      <c r="T316" t="s">
        <v>268</v>
      </c>
      <c r="U316" t="s">
        <v>32</v>
      </c>
      <c r="V316" t="s">
        <v>38</v>
      </c>
      <c r="X316" t="s">
        <v>774</v>
      </c>
      <c r="Z316" t="s">
        <v>116</v>
      </c>
      <c r="AA316" t="s">
        <v>776</v>
      </c>
    </row>
    <row r="317" spans="1:27" x14ac:dyDescent="0.3">
      <c r="A317">
        <v>1199</v>
      </c>
      <c r="B317">
        <v>985</v>
      </c>
      <c r="D317">
        <v>0</v>
      </c>
      <c r="E317" t="s">
        <v>27</v>
      </c>
      <c r="F317" s="9">
        <v>44967</v>
      </c>
      <c r="G317" t="s">
        <v>351</v>
      </c>
      <c r="H317" t="s">
        <v>29</v>
      </c>
      <c r="I317">
        <v>19</v>
      </c>
      <c r="J317">
        <v>74.709999999999994</v>
      </c>
      <c r="K317" t="s">
        <v>777</v>
      </c>
      <c r="L317" t="s">
        <v>778</v>
      </c>
      <c r="O317">
        <v>2</v>
      </c>
      <c r="T317" t="s">
        <v>268</v>
      </c>
      <c r="U317" t="s">
        <v>49</v>
      </c>
      <c r="V317" t="s">
        <v>38</v>
      </c>
      <c r="X317" t="s">
        <v>779</v>
      </c>
      <c r="Z317" t="s">
        <v>780</v>
      </c>
      <c r="AA317" t="s">
        <v>781</v>
      </c>
    </row>
    <row r="318" spans="1:27" x14ac:dyDescent="0.3">
      <c r="A318">
        <v>1200</v>
      </c>
      <c r="B318">
        <v>986</v>
      </c>
      <c r="D318">
        <v>0</v>
      </c>
      <c r="E318" t="s">
        <v>27</v>
      </c>
      <c r="F318" s="9">
        <v>44967</v>
      </c>
      <c r="G318" t="s">
        <v>351</v>
      </c>
      <c r="H318" t="s">
        <v>29</v>
      </c>
      <c r="I318">
        <v>19</v>
      </c>
      <c r="J318">
        <v>74.709999999999994</v>
      </c>
      <c r="K318" t="s">
        <v>777</v>
      </c>
      <c r="L318" t="s">
        <v>778</v>
      </c>
      <c r="O318">
        <v>5</v>
      </c>
      <c r="T318" t="s">
        <v>268</v>
      </c>
      <c r="U318" t="s">
        <v>79</v>
      </c>
      <c r="V318" t="s">
        <v>38</v>
      </c>
      <c r="X318" t="s">
        <v>782</v>
      </c>
      <c r="Z318" t="s">
        <v>780</v>
      </c>
      <c r="AA318" t="s">
        <v>783</v>
      </c>
    </row>
    <row r="319" spans="1:27" x14ac:dyDescent="0.3">
      <c r="A319">
        <v>1180</v>
      </c>
      <c r="B319">
        <v>966</v>
      </c>
      <c r="D319">
        <v>0</v>
      </c>
      <c r="E319" t="s">
        <v>27</v>
      </c>
      <c r="F319" s="9">
        <v>44964</v>
      </c>
      <c r="G319" t="s">
        <v>351</v>
      </c>
      <c r="H319" t="s">
        <v>29</v>
      </c>
      <c r="I319">
        <v>19</v>
      </c>
      <c r="J319">
        <v>32.6</v>
      </c>
      <c r="K319" t="s">
        <v>784</v>
      </c>
      <c r="L319" t="s">
        <v>785</v>
      </c>
      <c r="O319">
        <v>5</v>
      </c>
      <c r="T319" t="s">
        <v>268</v>
      </c>
      <c r="U319" t="s">
        <v>293</v>
      </c>
      <c r="V319" t="s">
        <v>38</v>
      </c>
      <c r="X319" t="s">
        <v>786</v>
      </c>
      <c r="Z319" t="s">
        <v>780</v>
      </c>
      <c r="AA319" t="s">
        <v>787</v>
      </c>
    </row>
    <row r="320" spans="1:27" x14ac:dyDescent="0.3">
      <c r="A320">
        <v>1181</v>
      </c>
      <c r="B320">
        <v>967</v>
      </c>
      <c r="D320">
        <v>0</v>
      </c>
      <c r="E320" t="s">
        <v>27</v>
      </c>
      <c r="F320" s="9">
        <v>44964</v>
      </c>
      <c r="G320" t="s">
        <v>351</v>
      </c>
      <c r="H320" t="s">
        <v>29</v>
      </c>
      <c r="I320">
        <v>19</v>
      </c>
      <c r="J320">
        <v>32.6</v>
      </c>
      <c r="K320" t="s">
        <v>784</v>
      </c>
      <c r="L320" t="s">
        <v>785</v>
      </c>
      <c r="O320">
        <v>5</v>
      </c>
      <c r="T320" t="s">
        <v>268</v>
      </c>
      <c r="U320" t="s">
        <v>79</v>
      </c>
      <c r="V320" t="s">
        <v>38</v>
      </c>
      <c r="X320" t="s">
        <v>786</v>
      </c>
      <c r="Z320" t="s">
        <v>780</v>
      </c>
      <c r="AA320" t="s">
        <v>788</v>
      </c>
    </row>
    <row r="321" spans="1:27" x14ac:dyDescent="0.3">
      <c r="A321">
        <v>1182</v>
      </c>
      <c r="B321">
        <v>968</v>
      </c>
      <c r="D321">
        <v>0</v>
      </c>
      <c r="E321" t="s">
        <v>27</v>
      </c>
      <c r="F321" s="9">
        <v>44964</v>
      </c>
      <c r="G321" t="s">
        <v>351</v>
      </c>
      <c r="H321" t="s">
        <v>29</v>
      </c>
      <c r="I321">
        <v>19</v>
      </c>
      <c r="J321">
        <v>34.4</v>
      </c>
      <c r="K321" t="s">
        <v>789</v>
      </c>
      <c r="L321" t="s">
        <v>790</v>
      </c>
      <c r="O321">
        <v>100</v>
      </c>
      <c r="T321" t="s">
        <v>268</v>
      </c>
      <c r="U321" t="s">
        <v>32</v>
      </c>
      <c r="V321" t="s">
        <v>38</v>
      </c>
      <c r="X321" t="s">
        <v>791</v>
      </c>
      <c r="Z321" t="s">
        <v>780</v>
      </c>
      <c r="AA321" t="s">
        <v>792</v>
      </c>
    </row>
    <row r="322" spans="1:27" x14ac:dyDescent="0.3">
      <c r="A322">
        <v>1183</v>
      </c>
      <c r="B322">
        <v>969</v>
      </c>
      <c r="D322">
        <v>0</v>
      </c>
      <c r="E322" t="s">
        <v>27</v>
      </c>
      <c r="F322" s="9">
        <v>44964</v>
      </c>
      <c r="G322" t="s">
        <v>351</v>
      </c>
      <c r="H322" t="s">
        <v>29</v>
      </c>
      <c r="I322">
        <v>19</v>
      </c>
      <c r="J322">
        <v>34.549999999999997</v>
      </c>
      <c r="K322" t="s">
        <v>789</v>
      </c>
      <c r="L322" t="s">
        <v>790</v>
      </c>
      <c r="O322">
        <v>10</v>
      </c>
      <c r="T322" t="s">
        <v>347</v>
      </c>
      <c r="U322" t="s">
        <v>79</v>
      </c>
      <c r="V322" t="s">
        <v>33</v>
      </c>
      <c r="X322" t="s">
        <v>793</v>
      </c>
      <c r="Z322" t="s">
        <v>780</v>
      </c>
      <c r="AA322" t="s">
        <v>794</v>
      </c>
    </row>
    <row r="323" spans="1:27" x14ac:dyDescent="0.3">
      <c r="A323">
        <v>1184</v>
      </c>
      <c r="B323">
        <v>970</v>
      </c>
      <c r="D323">
        <v>0</v>
      </c>
      <c r="E323" t="s">
        <v>27</v>
      </c>
      <c r="F323" s="9">
        <v>44964</v>
      </c>
      <c r="G323" t="s">
        <v>351</v>
      </c>
      <c r="H323" t="s">
        <v>29</v>
      </c>
      <c r="I323">
        <v>19</v>
      </c>
      <c r="J323">
        <v>35.1</v>
      </c>
      <c r="K323" t="s">
        <v>795</v>
      </c>
      <c r="L323" t="s">
        <v>790</v>
      </c>
      <c r="O323">
        <v>2</v>
      </c>
      <c r="T323" t="s">
        <v>317</v>
      </c>
      <c r="U323" t="s">
        <v>49</v>
      </c>
      <c r="V323" t="s">
        <v>33</v>
      </c>
      <c r="X323" t="s">
        <v>796</v>
      </c>
      <c r="Z323" t="s">
        <v>780</v>
      </c>
      <c r="AA323" t="s">
        <v>797</v>
      </c>
    </row>
    <row r="324" spans="1:27" x14ac:dyDescent="0.3">
      <c r="A324">
        <v>1185</v>
      </c>
      <c r="B324">
        <v>971</v>
      </c>
      <c r="D324">
        <v>0</v>
      </c>
      <c r="E324" t="s">
        <v>27</v>
      </c>
      <c r="F324" s="9">
        <v>44964</v>
      </c>
      <c r="G324" t="s">
        <v>351</v>
      </c>
      <c r="H324" t="s">
        <v>29</v>
      </c>
      <c r="I324">
        <v>19</v>
      </c>
      <c r="J324">
        <v>35.25</v>
      </c>
      <c r="K324" t="s">
        <v>795</v>
      </c>
      <c r="L324" t="s">
        <v>790</v>
      </c>
      <c r="O324">
        <v>50</v>
      </c>
      <c r="T324" t="s">
        <v>317</v>
      </c>
      <c r="U324" t="s">
        <v>49</v>
      </c>
      <c r="V324" t="s">
        <v>33</v>
      </c>
      <c r="X324" t="s">
        <v>798</v>
      </c>
      <c r="Z324" t="s">
        <v>780</v>
      </c>
      <c r="AA324" t="s">
        <v>799</v>
      </c>
    </row>
    <row r="325" spans="1:27" x14ac:dyDescent="0.3">
      <c r="A325">
        <v>1186</v>
      </c>
      <c r="B325">
        <v>972</v>
      </c>
      <c r="D325">
        <v>0</v>
      </c>
      <c r="E325" t="s">
        <v>27</v>
      </c>
      <c r="F325" s="9">
        <v>44964</v>
      </c>
      <c r="G325" t="s">
        <v>351</v>
      </c>
      <c r="H325" t="s">
        <v>29</v>
      </c>
      <c r="I325">
        <v>19</v>
      </c>
      <c r="J325">
        <v>35.5</v>
      </c>
      <c r="K325" t="s">
        <v>795</v>
      </c>
      <c r="L325" t="s">
        <v>800</v>
      </c>
      <c r="O325">
        <v>2</v>
      </c>
      <c r="T325" t="s">
        <v>112</v>
      </c>
      <c r="U325" t="s">
        <v>49</v>
      </c>
      <c r="V325" t="s">
        <v>38</v>
      </c>
      <c r="W325" s="10" t="s">
        <v>801</v>
      </c>
      <c r="X325" t="s">
        <v>802</v>
      </c>
      <c r="Z325" t="s">
        <v>780</v>
      </c>
      <c r="AA325" t="s">
        <v>803</v>
      </c>
    </row>
    <row r="326" spans="1:27" x14ac:dyDescent="0.3">
      <c r="A326">
        <v>1187</v>
      </c>
      <c r="B326">
        <v>973</v>
      </c>
      <c r="D326">
        <v>0</v>
      </c>
      <c r="E326" t="s">
        <v>27</v>
      </c>
      <c r="F326" s="9">
        <v>44964</v>
      </c>
      <c r="G326" t="s">
        <v>351</v>
      </c>
      <c r="H326" t="s">
        <v>29</v>
      </c>
      <c r="I326">
        <v>19</v>
      </c>
      <c r="J326">
        <v>37.9</v>
      </c>
      <c r="K326" t="s">
        <v>804</v>
      </c>
      <c r="L326" t="s">
        <v>805</v>
      </c>
      <c r="O326">
        <v>100</v>
      </c>
      <c r="T326" t="s">
        <v>347</v>
      </c>
      <c r="U326" t="s">
        <v>79</v>
      </c>
      <c r="V326" t="s">
        <v>38</v>
      </c>
      <c r="X326" t="s">
        <v>806</v>
      </c>
      <c r="Z326" t="s">
        <v>780</v>
      </c>
      <c r="AA326" t="s">
        <v>807</v>
      </c>
    </row>
    <row r="327" spans="1:27" x14ac:dyDescent="0.3">
      <c r="A327">
        <v>1188</v>
      </c>
      <c r="B327">
        <v>974</v>
      </c>
      <c r="D327">
        <v>0</v>
      </c>
      <c r="E327" t="s">
        <v>27</v>
      </c>
      <c r="F327" s="9">
        <v>44964</v>
      </c>
      <c r="G327" t="s">
        <v>351</v>
      </c>
      <c r="H327" t="s">
        <v>29</v>
      </c>
      <c r="I327">
        <v>19</v>
      </c>
      <c r="J327">
        <v>37.9</v>
      </c>
      <c r="K327" t="s">
        <v>804</v>
      </c>
      <c r="L327" t="s">
        <v>805</v>
      </c>
      <c r="O327">
        <v>100</v>
      </c>
      <c r="T327" t="s">
        <v>347</v>
      </c>
      <c r="U327" t="s">
        <v>49</v>
      </c>
      <c r="V327" t="s">
        <v>33</v>
      </c>
      <c r="X327" t="s">
        <v>808</v>
      </c>
      <c r="Z327" t="s">
        <v>780</v>
      </c>
      <c r="AA327" t="s">
        <v>809</v>
      </c>
    </row>
    <row r="328" spans="1:27" x14ac:dyDescent="0.3">
      <c r="A328">
        <v>1189</v>
      </c>
      <c r="B328">
        <v>975</v>
      </c>
      <c r="D328">
        <v>0</v>
      </c>
      <c r="E328" t="s">
        <v>27</v>
      </c>
      <c r="F328" s="9">
        <v>44964</v>
      </c>
      <c r="G328" t="s">
        <v>351</v>
      </c>
      <c r="H328" t="s">
        <v>29</v>
      </c>
      <c r="I328">
        <v>19</v>
      </c>
      <c r="J328">
        <v>38.935000000000002</v>
      </c>
      <c r="K328" t="s">
        <v>810</v>
      </c>
      <c r="L328" t="s">
        <v>811</v>
      </c>
      <c r="O328">
        <v>10</v>
      </c>
      <c r="T328" t="s">
        <v>347</v>
      </c>
      <c r="U328" t="s">
        <v>812</v>
      </c>
      <c r="V328" t="s">
        <v>38</v>
      </c>
      <c r="X328" t="s">
        <v>813</v>
      </c>
      <c r="Z328" t="s">
        <v>780</v>
      </c>
      <c r="AA328" t="s">
        <v>814</v>
      </c>
    </row>
    <row r="329" spans="1:27" x14ac:dyDescent="0.3">
      <c r="A329">
        <v>1190</v>
      </c>
      <c r="B329">
        <v>976</v>
      </c>
      <c r="D329">
        <v>0</v>
      </c>
      <c r="E329" t="s">
        <v>27</v>
      </c>
      <c r="F329" s="9">
        <v>44964</v>
      </c>
      <c r="G329" t="s">
        <v>351</v>
      </c>
      <c r="H329" t="s">
        <v>29</v>
      </c>
      <c r="I329">
        <v>19</v>
      </c>
      <c r="J329">
        <v>42.9</v>
      </c>
      <c r="K329" t="s">
        <v>815</v>
      </c>
      <c r="L329" t="s">
        <v>816</v>
      </c>
      <c r="O329">
        <v>3</v>
      </c>
      <c r="T329" t="s">
        <v>347</v>
      </c>
      <c r="U329" t="s">
        <v>32</v>
      </c>
      <c r="V329" t="s">
        <v>38</v>
      </c>
      <c r="X329" t="s">
        <v>817</v>
      </c>
      <c r="Z329" t="s">
        <v>780</v>
      </c>
      <c r="AA329" t="s">
        <v>818</v>
      </c>
    </row>
    <row r="330" spans="1:27" x14ac:dyDescent="0.3">
      <c r="A330">
        <v>1191</v>
      </c>
      <c r="B330">
        <v>977</v>
      </c>
      <c r="D330">
        <v>0</v>
      </c>
      <c r="E330" t="s">
        <v>27</v>
      </c>
      <c r="F330" s="9">
        <v>44964</v>
      </c>
      <c r="G330" t="s">
        <v>351</v>
      </c>
      <c r="H330" t="s">
        <v>29</v>
      </c>
      <c r="I330">
        <v>19</v>
      </c>
      <c r="J330">
        <v>42.99</v>
      </c>
      <c r="K330" t="s">
        <v>815</v>
      </c>
      <c r="L330" t="s">
        <v>816</v>
      </c>
      <c r="O330">
        <v>1</v>
      </c>
      <c r="T330" t="s">
        <v>317</v>
      </c>
      <c r="U330" t="s">
        <v>566</v>
      </c>
      <c r="V330" t="s">
        <v>38</v>
      </c>
      <c r="X330" t="s">
        <v>819</v>
      </c>
      <c r="Z330" t="s">
        <v>780</v>
      </c>
      <c r="AA330" t="s">
        <v>820</v>
      </c>
    </row>
    <row r="331" spans="1:27" x14ac:dyDescent="0.3">
      <c r="A331">
        <v>1192</v>
      </c>
      <c r="B331">
        <v>978</v>
      </c>
      <c r="D331">
        <v>0</v>
      </c>
      <c r="E331" t="s">
        <v>27</v>
      </c>
      <c r="F331" s="9">
        <v>44964</v>
      </c>
      <c r="G331" t="s">
        <v>351</v>
      </c>
      <c r="H331" t="s">
        <v>29</v>
      </c>
      <c r="I331">
        <v>19</v>
      </c>
      <c r="J331">
        <v>43.18</v>
      </c>
      <c r="K331" t="s">
        <v>815</v>
      </c>
      <c r="L331" t="s">
        <v>816</v>
      </c>
      <c r="O331">
        <v>50</v>
      </c>
      <c r="T331" t="s">
        <v>347</v>
      </c>
      <c r="U331" t="s">
        <v>79</v>
      </c>
      <c r="V331" t="s">
        <v>38</v>
      </c>
      <c r="X331" t="s">
        <v>821</v>
      </c>
      <c r="Z331" t="s">
        <v>780</v>
      </c>
      <c r="AA331" t="s">
        <v>822</v>
      </c>
    </row>
    <row r="332" spans="1:27" x14ac:dyDescent="0.3">
      <c r="A332">
        <v>1193</v>
      </c>
      <c r="B332">
        <v>979</v>
      </c>
      <c r="D332">
        <v>0</v>
      </c>
      <c r="E332" t="s">
        <v>27</v>
      </c>
      <c r="F332" s="9">
        <v>44964</v>
      </c>
      <c r="G332" t="s">
        <v>351</v>
      </c>
      <c r="H332" t="s">
        <v>29</v>
      </c>
      <c r="I332">
        <v>19</v>
      </c>
      <c r="J332">
        <v>43.2</v>
      </c>
      <c r="K332" t="s">
        <v>815</v>
      </c>
      <c r="L332" t="s">
        <v>816</v>
      </c>
      <c r="O332">
        <v>1</v>
      </c>
      <c r="T332" t="s">
        <v>317</v>
      </c>
      <c r="U332" t="s">
        <v>32</v>
      </c>
      <c r="V332" t="s">
        <v>38</v>
      </c>
      <c r="W332" s="10" t="s">
        <v>823</v>
      </c>
      <c r="X332" t="s">
        <v>824</v>
      </c>
      <c r="Z332" t="s">
        <v>780</v>
      </c>
      <c r="AA332" t="s">
        <v>825</v>
      </c>
    </row>
    <row r="333" spans="1:27" x14ac:dyDescent="0.3">
      <c r="A333">
        <v>1194</v>
      </c>
      <c r="B333">
        <v>980</v>
      </c>
      <c r="D333">
        <v>0</v>
      </c>
      <c r="E333" t="s">
        <v>27</v>
      </c>
      <c r="F333" s="9">
        <v>44964</v>
      </c>
      <c r="G333" t="s">
        <v>351</v>
      </c>
      <c r="H333" t="s">
        <v>29</v>
      </c>
      <c r="I333">
        <v>19</v>
      </c>
      <c r="J333">
        <v>46.15</v>
      </c>
      <c r="K333" t="s">
        <v>826</v>
      </c>
      <c r="L333" t="s">
        <v>827</v>
      </c>
      <c r="O333">
        <v>1</v>
      </c>
      <c r="T333" t="s">
        <v>317</v>
      </c>
      <c r="U333" t="s">
        <v>49</v>
      </c>
      <c r="V333" t="s">
        <v>38</v>
      </c>
      <c r="X333" t="s">
        <v>828</v>
      </c>
      <c r="Z333" t="s">
        <v>780</v>
      </c>
      <c r="AA333" t="s">
        <v>829</v>
      </c>
    </row>
    <row r="334" spans="1:27" x14ac:dyDescent="0.3">
      <c r="A334">
        <v>1195</v>
      </c>
      <c r="B334">
        <v>981</v>
      </c>
      <c r="D334">
        <v>0</v>
      </c>
      <c r="E334" t="s">
        <v>27</v>
      </c>
      <c r="F334" s="9">
        <v>44964</v>
      </c>
      <c r="G334" t="s">
        <v>351</v>
      </c>
      <c r="H334" t="s">
        <v>29</v>
      </c>
      <c r="I334">
        <v>19</v>
      </c>
      <c r="J334">
        <v>46.29</v>
      </c>
      <c r="K334" t="s">
        <v>826</v>
      </c>
      <c r="L334" t="s">
        <v>827</v>
      </c>
      <c r="O334">
        <v>20</v>
      </c>
      <c r="T334" t="s">
        <v>347</v>
      </c>
      <c r="U334" t="s">
        <v>32</v>
      </c>
      <c r="V334" t="s">
        <v>62</v>
      </c>
      <c r="W334" s="10" t="s">
        <v>830</v>
      </c>
      <c r="X334" t="s">
        <v>831</v>
      </c>
      <c r="Z334" t="s">
        <v>780</v>
      </c>
      <c r="AA334" t="s">
        <v>832</v>
      </c>
    </row>
    <row r="335" spans="1:27" x14ac:dyDescent="0.3">
      <c r="A335">
        <v>1196</v>
      </c>
      <c r="B335">
        <v>982</v>
      </c>
      <c r="D335">
        <v>0</v>
      </c>
      <c r="E335" t="s">
        <v>27</v>
      </c>
      <c r="F335" s="9">
        <v>44964</v>
      </c>
      <c r="G335" t="s">
        <v>351</v>
      </c>
      <c r="H335" t="s">
        <v>29</v>
      </c>
      <c r="I335">
        <v>19</v>
      </c>
      <c r="J335">
        <v>46.567999999999998</v>
      </c>
      <c r="K335" t="s">
        <v>826</v>
      </c>
      <c r="L335" t="s">
        <v>827</v>
      </c>
      <c r="O335">
        <v>1</v>
      </c>
      <c r="T335" t="s">
        <v>569</v>
      </c>
      <c r="U335" t="s">
        <v>49</v>
      </c>
      <c r="V335" t="s">
        <v>38</v>
      </c>
      <c r="W335" s="10" t="s">
        <v>833</v>
      </c>
      <c r="X335" t="s">
        <v>834</v>
      </c>
      <c r="Z335" t="s">
        <v>780</v>
      </c>
      <c r="AA335" t="s">
        <v>835</v>
      </c>
    </row>
    <row r="336" spans="1:27" x14ac:dyDescent="0.3">
      <c r="A336">
        <v>1197</v>
      </c>
      <c r="B336">
        <v>983</v>
      </c>
      <c r="D336">
        <v>0</v>
      </c>
      <c r="E336" t="s">
        <v>27</v>
      </c>
      <c r="F336" s="9">
        <v>44964</v>
      </c>
      <c r="G336" t="s">
        <v>351</v>
      </c>
      <c r="H336" t="s">
        <v>29</v>
      </c>
      <c r="I336">
        <v>19</v>
      </c>
      <c r="J336">
        <v>46.567999999999998</v>
      </c>
      <c r="K336" t="s">
        <v>826</v>
      </c>
      <c r="L336" t="s">
        <v>827</v>
      </c>
      <c r="O336">
        <v>1</v>
      </c>
      <c r="T336" t="s">
        <v>569</v>
      </c>
      <c r="U336" t="s">
        <v>32</v>
      </c>
      <c r="V336" t="s">
        <v>38</v>
      </c>
      <c r="W336" s="10" t="s">
        <v>836</v>
      </c>
      <c r="X336" t="s">
        <v>834</v>
      </c>
      <c r="Z336" t="s">
        <v>780</v>
      </c>
      <c r="AA336" t="s">
        <v>837</v>
      </c>
    </row>
    <row r="337" spans="1:27" x14ac:dyDescent="0.3">
      <c r="A337">
        <v>1198</v>
      </c>
      <c r="B337">
        <v>984</v>
      </c>
      <c r="D337">
        <v>0</v>
      </c>
      <c r="E337" t="s">
        <v>27</v>
      </c>
      <c r="F337" s="9">
        <v>44964</v>
      </c>
      <c r="G337" t="s">
        <v>351</v>
      </c>
      <c r="H337" t="s">
        <v>29</v>
      </c>
      <c r="I337">
        <v>19</v>
      </c>
      <c r="J337">
        <v>46.95</v>
      </c>
      <c r="K337" t="s">
        <v>838</v>
      </c>
      <c r="L337" t="s">
        <v>839</v>
      </c>
      <c r="O337">
        <v>500</v>
      </c>
      <c r="T337" t="s">
        <v>317</v>
      </c>
      <c r="U337" t="s">
        <v>49</v>
      </c>
      <c r="V337" t="s">
        <v>62</v>
      </c>
      <c r="X337" t="s">
        <v>840</v>
      </c>
      <c r="Z337" t="s">
        <v>780</v>
      </c>
      <c r="AA337" t="s">
        <v>841</v>
      </c>
    </row>
    <row r="338" spans="1:27" x14ac:dyDescent="0.3">
      <c r="A338">
        <v>1211</v>
      </c>
      <c r="B338">
        <v>988</v>
      </c>
      <c r="D338">
        <v>0</v>
      </c>
      <c r="E338" t="s">
        <v>27</v>
      </c>
      <c r="F338" s="9">
        <v>44997</v>
      </c>
      <c r="G338" t="s">
        <v>351</v>
      </c>
      <c r="H338" t="s">
        <v>29</v>
      </c>
      <c r="I338">
        <v>6</v>
      </c>
      <c r="J338">
        <v>343.59399999999999</v>
      </c>
      <c r="K338" t="s">
        <v>842</v>
      </c>
      <c r="L338" t="s">
        <v>843</v>
      </c>
      <c r="O338">
        <v>10</v>
      </c>
      <c r="T338" t="s">
        <v>317</v>
      </c>
      <c r="U338" t="s">
        <v>37</v>
      </c>
      <c r="V338" t="s">
        <v>38</v>
      </c>
      <c r="X338" t="s">
        <v>844</v>
      </c>
      <c r="Z338" t="s">
        <v>845</v>
      </c>
      <c r="AA338" t="s">
        <v>846</v>
      </c>
    </row>
    <row r="339" spans="1:27" x14ac:dyDescent="0.3">
      <c r="A339">
        <v>1212</v>
      </c>
      <c r="B339">
        <v>989</v>
      </c>
      <c r="D339">
        <v>0</v>
      </c>
      <c r="E339" t="s">
        <v>27</v>
      </c>
      <c r="F339" s="9">
        <v>44997</v>
      </c>
      <c r="G339" t="s">
        <v>351</v>
      </c>
      <c r="H339" t="s">
        <v>29</v>
      </c>
      <c r="I339">
        <v>6</v>
      </c>
      <c r="J339">
        <v>343.95100000000002</v>
      </c>
      <c r="K339" t="s">
        <v>842</v>
      </c>
      <c r="L339" t="s">
        <v>843</v>
      </c>
      <c r="O339">
        <v>1</v>
      </c>
      <c r="T339" t="s">
        <v>569</v>
      </c>
      <c r="U339" t="s">
        <v>566</v>
      </c>
      <c r="V339" t="s">
        <v>38</v>
      </c>
      <c r="X339" t="s">
        <v>847</v>
      </c>
      <c r="Z339" t="s">
        <v>845</v>
      </c>
      <c r="AA339" t="s">
        <v>848</v>
      </c>
    </row>
    <row r="340" spans="1:27" x14ac:dyDescent="0.3">
      <c r="A340">
        <v>1215</v>
      </c>
      <c r="B340">
        <v>996</v>
      </c>
      <c r="D340">
        <v>0</v>
      </c>
      <c r="E340" t="s">
        <v>118</v>
      </c>
      <c r="F340" s="9">
        <v>45006</v>
      </c>
      <c r="G340" t="s">
        <v>441</v>
      </c>
      <c r="H340" t="s">
        <v>29</v>
      </c>
      <c r="I340">
        <v>17</v>
      </c>
      <c r="J340">
        <v>318.16000000000003</v>
      </c>
      <c r="K340" t="s">
        <v>849</v>
      </c>
      <c r="L340" t="s">
        <v>42</v>
      </c>
      <c r="P340">
        <v>-28.306331669999999</v>
      </c>
      <c r="R340">
        <v>-50.686135</v>
      </c>
      <c r="T340" t="s">
        <v>317</v>
      </c>
      <c r="U340" t="s">
        <v>32</v>
      </c>
      <c r="V340" t="s">
        <v>33</v>
      </c>
      <c r="Z340" t="s">
        <v>35</v>
      </c>
    </row>
    <row r="341" spans="1:27" x14ac:dyDescent="0.3">
      <c r="A341">
        <v>1217</v>
      </c>
      <c r="B341">
        <v>997</v>
      </c>
      <c r="D341">
        <v>0</v>
      </c>
      <c r="E341" t="s">
        <v>118</v>
      </c>
      <c r="F341" s="9">
        <v>45006</v>
      </c>
      <c r="G341" t="s">
        <v>441</v>
      </c>
      <c r="H341" t="s">
        <v>29</v>
      </c>
      <c r="I341">
        <v>17</v>
      </c>
      <c r="J341">
        <v>326.48200000000003</v>
      </c>
      <c r="K341" t="s">
        <v>264</v>
      </c>
      <c r="L341" t="s">
        <v>258</v>
      </c>
      <c r="P341">
        <v>-28.274065</v>
      </c>
      <c r="R341">
        <v>-50.608763330000002</v>
      </c>
      <c r="T341" t="s">
        <v>317</v>
      </c>
      <c r="U341" t="s">
        <v>49</v>
      </c>
      <c r="V341" t="s">
        <v>33</v>
      </c>
      <c r="Z341" t="s">
        <v>35</v>
      </c>
    </row>
    <row r="342" spans="1:27" x14ac:dyDescent="0.3">
      <c r="A342">
        <v>1218</v>
      </c>
      <c r="B342">
        <v>998</v>
      </c>
      <c r="D342">
        <v>0</v>
      </c>
      <c r="E342" t="s">
        <v>118</v>
      </c>
      <c r="F342" s="9">
        <v>45006</v>
      </c>
      <c r="G342" t="s">
        <v>441</v>
      </c>
      <c r="H342" t="s">
        <v>29</v>
      </c>
      <c r="I342">
        <v>17</v>
      </c>
      <c r="J342">
        <v>331.57</v>
      </c>
      <c r="K342" t="s">
        <v>652</v>
      </c>
      <c r="L342" t="s">
        <v>284</v>
      </c>
      <c r="P342">
        <v>-28.25048833</v>
      </c>
      <c r="R342">
        <v>-50.566831669999999</v>
      </c>
      <c r="T342" t="s">
        <v>317</v>
      </c>
      <c r="U342" t="s">
        <v>32</v>
      </c>
      <c r="V342" t="s">
        <v>33</v>
      </c>
      <c r="Z342" t="s">
        <v>35</v>
      </c>
    </row>
    <row r="343" spans="1:27" x14ac:dyDescent="0.3">
      <c r="A343">
        <v>1219</v>
      </c>
      <c r="B343">
        <v>999</v>
      </c>
      <c r="D343">
        <v>0</v>
      </c>
      <c r="E343" t="s">
        <v>118</v>
      </c>
      <c r="F343" s="9">
        <v>45006</v>
      </c>
      <c r="G343" t="s">
        <v>441</v>
      </c>
      <c r="H343" t="s">
        <v>29</v>
      </c>
      <c r="I343">
        <v>17</v>
      </c>
      <c r="J343">
        <v>332.26299999999998</v>
      </c>
      <c r="K343" t="s">
        <v>291</v>
      </c>
      <c r="L343" t="s">
        <v>292</v>
      </c>
      <c r="P343">
        <v>-28.248456669999999</v>
      </c>
      <c r="R343">
        <v>-50.560381669999998</v>
      </c>
      <c r="T343" t="s">
        <v>317</v>
      </c>
      <c r="U343" t="s">
        <v>32</v>
      </c>
      <c r="V343" t="s">
        <v>33</v>
      </c>
      <c r="Z343" t="s">
        <v>35</v>
      </c>
    </row>
    <row r="344" spans="1:27" x14ac:dyDescent="0.3">
      <c r="A344">
        <v>1410</v>
      </c>
      <c r="B344">
        <v>993</v>
      </c>
      <c r="D344">
        <v>0</v>
      </c>
      <c r="E344" t="s">
        <v>118</v>
      </c>
      <c r="F344" s="9">
        <v>45165</v>
      </c>
      <c r="G344" t="s">
        <v>850</v>
      </c>
      <c r="H344" t="s">
        <v>344</v>
      </c>
      <c r="I344">
        <v>16</v>
      </c>
      <c r="J344">
        <v>191.64</v>
      </c>
      <c r="K344" t="s">
        <v>110</v>
      </c>
      <c r="L344" t="s">
        <v>111</v>
      </c>
      <c r="P344">
        <v>-27.042631060000001</v>
      </c>
      <c r="R344">
        <v>-50.351215439999997</v>
      </c>
      <c r="U344" t="s">
        <v>32</v>
      </c>
      <c r="V344" t="s">
        <v>33</v>
      </c>
      <c r="Z344" t="s">
        <v>116</v>
      </c>
    </row>
    <row r="345" spans="1:27" x14ac:dyDescent="0.3">
      <c r="A345">
        <v>764730</v>
      </c>
      <c r="B345">
        <v>992</v>
      </c>
      <c r="D345">
        <v>0</v>
      </c>
      <c r="E345" t="s">
        <v>118</v>
      </c>
      <c r="F345" s="9">
        <v>45416</v>
      </c>
      <c r="G345" t="s">
        <v>108</v>
      </c>
      <c r="H345" t="s">
        <v>344</v>
      </c>
      <c r="I345">
        <v>16</v>
      </c>
      <c r="J345">
        <v>219.494</v>
      </c>
      <c r="K345" t="s">
        <v>689</v>
      </c>
      <c r="L345" t="s">
        <v>690</v>
      </c>
      <c r="P345">
        <v>-27.241001319999999</v>
      </c>
      <c r="R345">
        <v>-50.32259543</v>
      </c>
      <c r="T345" t="s">
        <v>347</v>
      </c>
      <c r="U345" t="s">
        <v>32</v>
      </c>
      <c r="V345" t="s">
        <v>33</v>
      </c>
      <c r="X345" t="s">
        <v>851</v>
      </c>
      <c r="Z345" t="s">
        <v>852</v>
      </c>
      <c r="AA345" t="s">
        <v>853</v>
      </c>
    </row>
    <row r="346" spans="1:27" x14ac:dyDescent="0.3">
      <c r="A346">
        <v>1222</v>
      </c>
      <c r="B346">
        <v>994</v>
      </c>
      <c r="D346">
        <v>0</v>
      </c>
      <c r="E346" t="s">
        <v>118</v>
      </c>
      <c r="F346" s="9">
        <v>45007</v>
      </c>
      <c r="G346" t="s">
        <v>441</v>
      </c>
      <c r="H346" t="s">
        <v>29</v>
      </c>
      <c r="I346">
        <v>16</v>
      </c>
      <c r="J346">
        <v>229.81899999999999</v>
      </c>
      <c r="K346" t="s">
        <v>854</v>
      </c>
      <c r="L346" t="s">
        <v>705</v>
      </c>
      <c r="P346">
        <v>-27.318046670000001</v>
      </c>
      <c r="R346">
        <v>-50.312833329999997</v>
      </c>
      <c r="U346" t="s">
        <v>32</v>
      </c>
      <c r="V346" t="s">
        <v>33</v>
      </c>
      <c r="Z346" t="s">
        <v>123</v>
      </c>
    </row>
    <row r="347" spans="1:27" x14ac:dyDescent="0.3">
      <c r="A347">
        <v>1223</v>
      </c>
      <c r="B347">
        <v>995</v>
      </c>
      <c r="D347">
        <v>0</v>
      </c>
      <c r="E347" t="s">
        <v>118</v>
      </c>
      <c r="F347" s="9">
        <v>45007</v>
      </c>
      <c r="G347" t="s">
        <v>441</v>
      </c>
      <c r="H347" t="s">
        <v>29</v>
      </c>
      <c r="I347">
        <v>16</v>
      </c>
      <c r="J347">
        <v>229.81899999999999</v>
      </c>
      <c r="K347" t="s">
        <v>854</v>
      </c>
      <c r="L347" t="s">
        <v>705</v>
      </c>
      <c r="P347">
        <v>-27.318046670000001</v>
      </c>
      <c r="R347">
        <v>-50.312833329999997</v>
      </c>
      <c r="U347" t="s">
        <v>32</v>
      </c>
      <c r="V347" t="s">
        <v>33</v>
      </c>
      <c r="Z347" t="s">
        <v>123</v>
      </c>
    </row>
    <row r="348" spans="1:27" x14ac:dyDescent="0.3">
      <c r="A348">
        <v>1203</v>
      </c>
      <c r="B348">
        <v>1002</v>
      </c>
      <c r="D348">
        <v>0</v>
      </c>
      <c r="E348" t="s">
        <v>27</v>
      </c>
      <c r="F348" s="9">
        <v>44989</v>
      </c>
      <c r="G348" t="s">
        <v>351</v>
      </c>
      <c r="H348" t="s">
        <v>29</v>
      </c>
      <c r="I348">
        <v>39</v>
      </c>
      <c r="J348">
        <v>353.28300000000002</v>
      </c>
      <c r="K348" t="s">
        <v>855</v>
      </c>
      <c r="L348" t="s">
        <v>856</v>
      </c>
      <c r="O348">
        <v>30</v>
      </c>
      <c r="T348" t="s">
        <v>112</v>
      </c>
      <c r="U348" t="s">
        <v>79</v>
      </c>
      <c r="V348" t="s">
        <v>62</v>
      </c>
      <c r="X348" t="s">
        <v>857</v>
      </c>
      <c r="Z348" t="s">
        <v>858</v>
      </c>
      <c r="AA348" t="s">
        <v>859</v>
      </c>
    </row>
    <row r="349" spans="1:27" x14ac:dyDescent="0.3">
      <c r="A349">
        <v>1204</v>
      </c>
      <c r="B349">
        <v>1003</v>
      </c>
      <c r="D349">
        <v>0</v>
      </c>
      <c r="E349" t="s">
        <v>27</v>
      </c>
      <c r="F349" s="9">
        <v>44989</v>
      </c>
      <c r="G349" t="s">
        <v>351</v>
      </c>
      <c r="H349" t="s">
        <v>29</v>
      </c>
      <c r="I349">
        <v>39</v>
      </c>
      <c r="J349">
        <v>353.7</v>
      </c>
      <c r="K349" t="s">
        <v>855</v>
      </c>
      <c r="L349" t="s">
        <v>856</v>
      </c>
      <c r="O349">
        <v>50</v>
      </c>
      <c r="T349" t="s">
        <v>569</v>
      </c>
      <c r="U349" t="s">
        <v>79</v>
      </c>
      <c r="V349" t="s">
        <v>62</v>
      </c>
      <c r="X349" t="s">
        <v>860</v>
      </c>
      <c r="Z349" t="s">
        <v>858</v>
      </c>
      <c r="AA349" t="s">
        <v>861</v>
      </c>
    </row>
    <row r="350" spans="1:27" x14ac:dyDescent="0.3">
      <c r="A350">
        <v>1205</v>
      </c>
      <c r="B350">
        <v>1004</v>
      </c>
      <c r="D350">
        <v>0</v>
      </c>
      <c r="E350" t="s">
        <v>27</v>
      </c>
      <c r="F350" s="9">
        <v>44989</v>
      </c>
      <c r="G350" t="s">
        <v>351</v>
      </c>
      <c r="H350" t="s">
        <v>29</v>
      </c>
      <c r="I350">
        <v>39</v>
      </c>
      <c r="J350">
        <v>355.57499999999999</v>
      </c>
      <c r="K350" t="s">
        <v>862</v>
      </c>
      <c r="L350" t="s">
        <v>863</v>
      </c>
      <c r="O350">
        <v>50</v>
      </c>
      <c r="T350" t="s">
        <v>112</v>
      </c>
      <c r="U350" t="s">
        <v>79</v>
      </c>
      <c r="V350" t="s">
        <v>33</v>
      </c>
      <c r="X350" t="s">
        <v>864</v>
      </c>
      <c r="Z350" t="s">
        <v>858</v>
      </c>
      <c r="AA350" t="s">
        <v>865</v>
      </c>
    </row>
    <row r="351" spans="1:27" x14ac:dyDescent="0.3">
      <c r="A351">
        <v>1206</v>
      </c>
      <c r="B351">
        <v>1005</v>
      </c>
      <c r="D351">
        <v>0</v>
      </c>
      <c r="E351" t="s">
        <v>27</v>
      </c>
      <c r="F351" s="9">
        <v>44989</v>
      </c>
      <c r="G351" t="s">
        <v>351</v>
      </c>
      <c r="H351" t="s">
        <v>29</v>
      </c>
      <c r="I351">
        <v>39</v>
      </c>
      <c r="J351">
        <v>355.625</v>
      </c>
      <c r="K351" t="s">
        <v>862</v>
      </c>
      <c r="L351" t="s">
        <v>863</v>
      </c>
      <c r="O351">
        <v>150</v>
      </c>
      <c r="T351" t="s">
        <v>317</v>
      </c>
      <c r="U351" t="s">
        <v>37</v>
      </c>
      <c r="V351" t="s">
        <v>668</v>
      </c>
      <c r="X351" t="s">
        <v>866</v>
      </c>
      <c r="Z351" t="s">
        <v>858</v>
      </c>
      <c r="AA351" t="s">
        <v>867</v>
      </c>
    </row>
    <row r="352" spans="1:27" x14ac:dyDescent="0.3">
      <c r="A352">
        <v>1207</v>
      </c>
      <c r="B352">
        <v>1006</v>
      </c>
      <c r="D352">
        <v>0</v>
      </c>
      <c r="E352" t="s">
        <v>27</v>
      </c>
      <c r="F352" s="9">
        <v>44989</v>
      </c>
      <c r="G352" t="s">
        <v>351</v>
      </c>
      <c r="H352" t="s">
        <v>29</v>
      </c>
      <c r="I352">
        <v>39</v>
      </c>
      <c r="J352">
        <v>361.59500000000003</v>
      </c>
      <c r="K352" t="s">
        <v>868</v>
      </c>
      <c r="L352" t="s">
        <v>869</v>
      </c>
      <c r="O352">
        <v>70</v>
      </c>
      <c r="T352" t="s">
        <v>347</v>
      </c>
      <c r="U352" t="s">
        <v>94</v>
      </c>
      <c r="V352" t="s">
        <v>33</v>
      </c>
      <c r="W352" s="10" t="s">
        <v>524</v>
      </c>
      <c r="X352" t="s">
        <v>870</v>
      </c>
      <c r="Z352" t="s">
        <v>858</v>
      </c>
      <c r="AA352" t="s">
        <v>871</v>
      </c>
    </row>
    <row r="353" spans="1:27" x14ac:dyDescent="0.3">
      <c r="A353">
        <v>1208</v>
      </c>
      <c r="B353">
        <v>1007</v>
      </c>
      <c r="D353">
        <v>0</v>
      </c>
      <c r="E353" t="s">
        <v>27</v>
      </c>
      <c r="F353" s="9">
        <v>44989</v>
      </c>
      <c r="G353" t="s">
        <v>351</v>
      </c>
      <c r="H353" t="s">
        <v>29</v>
      </c>
      <c r="I353">
        <v>39</v>
      </c>
      <c r="J353">
        <v>361.64</v>
      </c>
      <c r="K353" t="s">
        <v>868</v>
      </c>
      <c r="L353" t="s">
        <v>869</v>
      </c>
      <c r="O353">
        <v>400</v>
      </c>
      <c r="T353" t="s">
        <v>317</v>
      </c>
      <c r="U353" t="s">
        <v>32</v>
      </c>
      <c r="V353" t="s">
        <v>62</v>
      </c>
      <c r="X353" t="s">
        <v>872</v>
      </c>
      <c r="Z353" t="s">
        <v>858</v>
      </c>
      <c r="AA353" t="s">
        <v>873</v>
      </c>
    </row>
    <row r="354" spans="1:27" x14ac:dyDescent="0.3">
      <c r="A354">
        <v>247545370</v>
      </c>
      <c r="B354">
        <v>1030</v>
      </c>
      <c r="D354">
        <v>1</v>
      </c>
      <c r="E354" t="s">
        <v>107</v>
      </c>
      <c r="F354" s="9">
        <v>45777</v>
      </c>
      <c r="G354" t="s">
        <v>658</v>
      </c>
      <c r="H354" t="s">
        <v>344</v>
      </c>
      <c r="I354">
        <v>7</v>
      </c>
      <c r="J354">
        <v>479.99</v>
      </c>
      <c r="K354" t="s">
        <v>874</v>
      </c>
      <c r="L354" t="s">
        <v>875</v>
      </c>
      <c r="T354" t="s">
        <v>317</v>
      </c>
      <c r="U354" t="s">
        <v>37</v>
      </c>
      <c r="V354" t="s">
        <v>668</v>
      </c>
      <c r="X354" t="s">
        <v>876</v>
      </c>
      <c r="Z354" t="s">
        <v>670</v>
      </c>
      <c r="AA354" t="s">
        <v>877</v>
      </c>
    </row>
    <row r="355" spans="1:27" x14ac:dyDescent="0.3">
      <c r="A355">
        <v>253010554</v>
      </c>
      <c r="B355">
        <v>1031</v>
      </c>
      <c r="D355">
        <v>1</v>
      </c>
      <c r="E355" t="s">
        <v>107</v>
      </c>
      <c r="F355" s="9">
        <v>45781</v>
      </c>
      <c r="G355" t="s">
        <v>658</v>
      </c>
      <c r="H355" t="s">
        <v>344</v>
      </c>
      <c r="I355">
        <v>7</v>
      </c>
      <c r="J355">
        <v>503</v>
      </c>
      <c r="K355" t="s">
        <v>878</v>
      </c>
      <c r="L355" t="s">
        <v>879</v>
      </c>
      <c r="T355" t="s">
        <v>317</v>
      </c>
      <c r="U355" t="s">
        <v>37</v>
      </c>
      <c r="V355" t="s">
        <v>668</v>
      </c>
      <c r="X355" t="s">
        <v>880</v>
      </c>
      <c r="Z355" t="s">
        <v>662</v>
      </c>
      <c r="AA355" t="s">
        <v>881</v>
      </c>
    </row>
    <row r="356" spans="1:27" x14ac:dyDescent="0.3">
      <c r="A356">
        <v>1387</v>
      </c>
      <c r="B356">
        <v>1032</v>
      </c>
      <c r="D356">
        <v>0</v>
      </c>
      <c r="E356" t="s">
        <v>107</v>
      </c>
      <c r="F356" s="9">
        <v>45100</v>
      </c>
      <c r="G356" t="s">
        <v>351</v>
      </c>
      <c r="H356" t="s">
        <v>29</v>
      </c>
      <c r="I356">
        <v>7</v>
      </c>
      <c r="J356">
        <v>500.48</v>
      </c>
      <c r="K356" t="s">
        <v>659</v>
      </c>
      <c r="L356" t="s">
        <v>660</v>
      </c>
      <c r="O356">
        <v>10</v>
      </c>
      <c r="T356" t="s">
        <v>347</v>
      </c>
      <c r="U356" t="s">
        <v>49</v>
      </c>
      <c r="V356" t="s">
        <v>609</v>
      </c>
      <c r="X356" t="s">
        <v>882</v>
      </c>
      <c r="Z356" t="s">
        <v>670</v>
      </c>
      <c r="AA356" t="s">
        <v>883</v>
      </c>
    </row>
    <row r="357" spans="1:27" x14ac:dyDescent="0.3">
      <c r="A357">
        <v>220202187</v>
      </c>
      <c r="B357">
        <v>1035</v>
      </c>
      <c r="D357">
        <v>0</v>
      </c>
      <c r="E357" t="s">
        <v>107</v>
      </c>
      <c r="F357" s="9">
        <v>45528</v>
      </c>
      <c r="G357" t="s">
        <v>884</v>
      </c>
      <c r="H357" t="s">
        <v>344</v>
      </c>
      <c r="I357">
        <v>7</v>
      </c>
      <c r="J357">
        <v>427.85</v>
      </c>
      <c r="K357" t="s">
        <v>885</v>
      </c>
      <c r="L357" t="s">
        <v>886</v>
      </c>
      <c r="T357" t="s">
        <v>317</v>
      </c>
      <c r="U357" t="s">
        <v>49</v>
      </c>
      <c r="V357" t="s">
        <v>668</v>
      </c>
      <c r="X357" t="s">
        <v>887</v>
      </c>
      <c r="Z357" t="s">
        <v>670</v>
      </c>
      <c r="AA357" t="s">
        <v>888</v>
      </c>
    </row>
    <row r="358" spans="1:27" x14ac:dyDescent="0.3">
      <c r="A358">
        <v>245946971</v>
      </c>
      <c r="B358">
        <v>1013</v>
      </c>
      <c r="D358">
        <v>1</v>
      </c>
      <c r="E358" t="s">
        <v>107</v>
      </c>
      <c r="F358" s="9">
        <v>45668</v>
      </c>
      <c r="G358" t="s">
        <v>658</v>
      </c>
      <c r="H358" t="s">
        <v>344</v>
      </c>
      <c r="I358">
        <v>1</v>
      </c>
      <c r="J358">
        <v>332.4</v>
      </c>
      <c r="K358" t="s">
        <v>889</v>
      </c>
      <c r="L358" t="s">
        <v>890</v>
      </c>
      <c r="T358" t="s">
        <v>317</v>
      </c>
      <c r="U358" t="s">
        <v>566</v>
      </c>
      <c r="V358" t="s">
        <v>609</v>
      </c>
      <c r="X358" t="s">
        <v>891</v>
      </c>
      <c r="Z358" t="s">
        <v>892</v>
      </c>
      <c r="AA358" t="s">
        <v>893</v>
      </c>
    </row>
    <row r="359" spans="1:27" x14ac:dyDescent="0.3">
      <c r="A359">
        <v>96525629</v>
      </c>
      <c r="B359">
        <v>1016</v>
      </c>
      <c r="D359">
        <v>0</v>
      </c>
      <c r="E359" t="s">
        <v>107</v>
      </c>
      <c r="F359" s="9">
        <v>45501</v>
      </c>
      <c r="G359" t="s">
        <v>884</v>
      </c>
      <c r="H359" t="s">
        <v>344</v>
      </c>
      <c r="I359">
        <v>1</v>
      </c>
      <c r="J359">
        <v>332.56</v>
      </c>
      <c r="K359" t="s">
        <v>889</v>
      </c>
      <c r="L359" t="s">
        <v>890</v>
      </c>
      <c r="T359" t="s">
        <v>317</v>
      </c>
      <c r="U359" t="s">
        <v>566</v>
      </c>
      <c r="V359" t="s">
        <v>668</v>
      </c>
      <c r="X359" t="s">
        <v>894</v>
      </c>
      <c r="Z359" t="s">
        <v>892</v>
      </c>
      <c r="AA359" t="s">
        <v>895</v>
      </c>
    </row>
    <row r="360" spans="1:27" x14ac:dyDescent="0.3">
      <c r="A360">
        <v>96402474</v>
      </c>
      <c r="B360">
        <v>1017</v>
      </c>
      <c r="D360">
        <v>0</v>
      </c>
      <c r="E360" t="s">
        <v>107</v>
      </c>
      <c r="F360" s="9">
        <v>45501</v>
      </c>
      <c r="G360" t="s">
        <v>884</v>
      </c>
      <c r="H360" t="s">
        <v>344</v>
      </c>
      <c r="I360">
        <v>1</v>
      </c>
      <c r="J360">
        <v>332.56</v>
      </c>
      <c r="K360" t="s">
        <v>889</v>
      </c>
      <c r="L360" t="s">
        <v>890</v>
      </c>
      <c r="T360" t="s">
        <v>317</v>
      </c>
      <c r="U360" t="s">
        <v>566</v>
      </c>
      <c r="V360" t="s">
        <v>668</v>
      </c>
      <c r="X360" t="s">
        <v>896</v>
      </c>
      <c r="Z360" t="s">
        <v>892</v>
      </c>
      <c r="AA360" t="s">
        <v>897</v>
      </c>
    </row>
    <row r="361" spans="1:27" x14ac:dyDescent="0.3">
      <c r="A361">
        <v>245500953</v>
      </c>
      <c r="B361">
        <v>1018</v>
      </c>
      <c r="D361">
        <v>1</v>
      </c>
      <c r="E361" t="s">
        <v>107</v>
      </c>
      <c r="F361" s="9">
        <v>45668</v>
      </c>
      <c r="G361" t="s">
        <v>658</v>
      </c>
      <c r="H361" t="s">
        <v>344</v>
      </c>
      <c r="I361">
        <v>1</v>
      </c>
      <c r="J361">
        <v>332.76</v>
      </c>
      <c r="K361" t="s">
        <v>889</v>
      </c>
      <c r="L361" t="s">
        <v>890</v>
      </c>
      <c r="T361" t="s">
        <v>317</v>
      </c>
      <c r="U361" t="s">
        <v>566</v>
      </c>
      <c r="V361" t="s">
        <v>668</v>
      </c>
      <c r="X361" t="s">
        <v>898</v>
      </c>
      <c r="Z361" t="s">
        <v>892</v>
      </c>
      <c r="AA361" t="s">
        <v>899</v>
      </c>
    </row>
    <row r="362" spans="1:27" x14ac:dyDescent="0.3">
      <c r="A362">
        <v>245612456</v>
      </c>
      <c r="B362">
        <v>1019</v>
      </c>
      <c r="D362">
        <v>1</v>
      </c>
      <c r="E362" t="s">
        <v>107</v>
      </c>
      <c r="F362" s="9">
        <v>45668</v>
      </c>
      <c r="G362" t="s">
        <v>658</v>
      </c>
      <c r="H362" t="s">
        <v>344</v>
      </c>
      <c r="I362">
        <v>1</v>
      </c>
      <c r="J362">
        <v>332.76</v>
      </c>
      <c r="K362" t="s">
        <v>889</v>
      </c>
      <c r="L362" t="s">
        <v>890</v>
      </c>
      <c r="T362" t="s">
        <v>317</v>
      </c>
      <c r="U362" t="s">
        <v>566</v>
      </c>
      <c r="V362" t="s">
        <v>668</v>
      </c>
      <c r="X362" t="s">
        <v>900</v>
      </c>
      <c r="Z362" t="s">
        <v>892</v>
      </c>
      <c r="AA362" t="s">
        <v>901</v>
      </c>
    </row>
    <row r="363" spans="1:27" x14ac:dyDescent="0.3">
      <c r="A363">
        <v>96094612</v>
      </c>
      <c r="B363">
        <v>1020</v>
      </c>
      <c r="D363">
        <v>0</v>
      </c>
      <c r="E363" t="s">
        <v>107</v>
      </c>
      <c r="F363" s="9">
        <v>45501</v>
      </c>
      <c r="G363" t="s">
        <v>884</v>
      </c>
      <c r="H363" t="s">
        <v>344</v>
      </c>
      <c r="I363">
        <v>1</v>
      </c>
      <c r="J363">
        <v>332.76</v>
      </c>
      <c r="K363" t="s">
        <v>889</v>
      </c>
      <c r="L363" t="s">
        <v>890</v>
      </c>
      <c r="T363" t="s">
        <v>317</v>
      </c>
      <c r="U363" t="s">
        <v>49</v>
      </c>
      <c r="V363" t="s">
        <v>668</v>
      </c>
      <c r="X363" t="s">
        <v>902</v>
      </c>
      <c r="Z363" t="s">
        <v>892</v>
      </c>
      <c r="AA363" t="s">
        <v>903</v>
      </c>
    </row>
    <row r="364" spans="1:27" x14ac:dyDescent="0.3">
      <c r="A364">
        <v>96033044</v>
      </c>
      <c r="B364">
        <v>1021</v>
      </c>
      <c r="D364">
        <v>0</v>
      </c>
      <c r="E364" t="s">
        <v>107</v>
      </c>
      <c r="F364" s="9">
        <v>45501</v>
      </c>
      <c r="G364" t="s">
        <v>884</v>
      </c>
      <c r="H364" t="s">
        <v>344</v>
      </c>
      <c r="I364">
        <v>1</v>
      </c>
      <c r="J364">
        <v>332.76</v>
      </c>
      <c r="K364" t="s">
        <v>889</v>
      </c>
      <c r="L364" t="s">
        <v>890</v>
      </c>
      <c r="T364" t="s">
        <v>317</v>
      </c>
      <c r="U364" t="s">
        <v>49</v>
      </c>
      <c r="V364" t="s">
        <v>668</v>
      </c>
      <c r="X364" t="s">
        <v>904</v>
      </c>
      <c r="Z364" t="s">
        <v>892</v>
      </c>
      <c r="AA364" t="s">
        <v>905</v>
      </c>
    </row>
    <row r="365" spans="1:27" x14ac:dyDescent="0.3">
      <c r="A365">
        <v>95602106</v>
      </c>
      <c r="B365">
        <v>1023</v>
      </c>
      <c r="D365">
        <v>0</v>
      </c>
      <c r="E365" t="s">
        <v>107</v>
      </c>
      <c r="F365" s="9">
        <v>45501</v>
      </c>
      <c r="G365" t="s">
        <v>884</v>
      </c>
      <c r="H365" t="s">
        <v>344</v>
      </c>
      <c r="I365">
        <v>1</v>
      </c>
      <c r="J365">
        <v>334.75</v>
      </c>
      <c r="K365" t="s">
        <v>906</v>
      </c>
      <c r="L365" t="s">
        <v>907</v>
      </c>
      <c r="T365" t="s">
        <v>268</v>
      </c>
      <c r="U365" t="s">
        <v>79</v>
      </c>
      <c r="V365" t="s">
        <v>668</v>
      </c>
      <c r="X365" t="s">
        <v>908</v>
      </c>
      <c r="Z365" t="s">
        <v>892</v>
      </c>
      <c r="AA365" t="s">
        <v>909</v>
      </c>
    </row>
    <row r="366" spans="1:27" x14ac:dyDescent="0.3">
      <c r="A366">
        <v>254907317</v>
      </c>
      <c r="B366">
        <v>1024</v>
      </c>
      <c r="D366">
        <v>1</v>
      </c>
      <c r="E366" t="s">
        <v>107</v>
      </c>
      <c r="F366" s="9">
        <v>45785</v>
      </c>
      <c r="G366" t="s">
        <v>658</v>
      </c>
      <c r="H366" t="s">
        <v>344</v>
      </c>
      <c r="I366">
        <v>7</v>
      </c>
      <c r="J366">
        <v>530.20000000000005</v>
      </c>
      <c r="K366" t="s">
        <v>910</v>
      </c>
      <c r="L366" t="s">
        <v>911</v>
      </c>
      <c r="T366" t="s">
        <v>268</v>
      </c>
      <c r="U366" t="s">
        <v>37</v>
      </c>
      <c r="V366" t="s">
        <v>38</v>
      </c>
      <c r="X366" t="s">
        <v>912</v>
      </c>
      <c r="Z366" t="s">
        <v>662</v>
      </c>
      <c r="AA366" t="s">
        <v>913</v>
      </c>
    </row>
    <row r="367" spans="1:27" x14ac:dyDescent="0.3">
      <c r="A367">
        <v>254795762</v>
      </c>
      <c r="B367">
        <v>1025</v>
      </c>
      <c r="D367">
        <v>1</v>
      </c>
      <c r="E367" t="s">
        <v>107</v>
      </c>
      <c r="F367" s="9">
        <v>45785</v>
      </c>
      <c r="G367" t="s">
        <v>658</v>
      </c>
      <c r="H367" t="s">
        <v>344</v>
      </c>
      <c r="I367">
        <v>7</v>
      </c>
      <c r="J367">
        <v>530.4</v>
      </c>
      <c r="K367" t="s">
        <v>910</v>
      </c>
      <c r="L367" t="s">
        <v>911</v>
      </c>
      <c r="T367" t="s">
        <v>317</v>
      </c>
      <c r="U367" t="s">
        <v>566</v>
      </c>
      <c r="V367" t="s">
        <v>609</v>
      </c>
      <c r="X367" t="s">
        <v>914</v>
      </c>
      <c r="Z367" t="s">
        <v>662</v>
      </c>
      <c r="AA367" t="s">
        <v>915</v>
      </c>
    </row>
    <row r="368" spans="1:27" x14ac:dyDescent="0.3">
      <c r="A368">
        <v>1379</v>
      </c>
      <c r="B368">
        <v>1027</v>
      </c>
      <c r="D368">
        <v>0</v>
      </c>
      <c r="E368" t="s">
        <v>118</v>
      </c>
      <c r="F368" s="9">
        <v>45083</v>
      </c>
      <c r="G368" t="s">
        <v>441</v>
      </c>
      <c r="H368" t="s">
        <v>29</v>
      </c>
      <c r="I368">
        <v>19</v>
      </c>
      <c r="J368">
        <v>37.893999999999998</v>
      </c>
      <c r="K368" t="s">
        <v>804</v>
      </c>
      <c r="L368" t="s">
        <v>805</v>
      </c>
      <c r="P368">
        <v>-29.6929351</v>
      </c>
      <c r="R368">
        <v>-53.819602199999999</v>
      </c>
      <c r="T368" t="s">
        <v>317</v>
      </c>
      <c r="U368" t="s">
        <v>32</v>
      </c>
      <c r="V368" t="s">
        <v>33</v>
      </c>
      <c r="Z368" t="s">
        <v>780</v>
      </c>
    </row>
    <row r="369" spans="1:27" x14ac:dyDescent="0.3">
      <c r="A369">
        <v>1380</v>
      </c>
      <c r="B369">
        <v>1028</v>
      </c>
      <c r="D369">
        <v>0</v>
      </c>
      <c r="E369" t="s">
        <v>118</v>
      </c>
      <c r="F369" s="9">
        <v>45083</v>
      </c>
      <c r="G369" t="s">
        <v>441</v>
      </c>
      <c r="H369" t="s">
        <v>29</v>
      </c>
      <c r="I369">
        <v>19</v>
      </c>
      <c r="J369">
        <v>37.893999999999998</v>
      </c>
      <c r="K369" t="s">
        <v>804</v>
      </c>
      <c r="L369" t="s">
        <v>805</v>
      </c>
      <c r="P369">
        <v>-29.6929351</v>
      </c>
      <c r="R369">
        <v>-53.819602199999999</v>
      </c>
      <c r="T369" t="s">
        <v>317</v>
      </c>
      <c r="U369" t="s">
        <v>32</v>
      </c>
      <c r="V369" t="s">
        <v>33</v>
      </c>
      <c r="Z369" t="s">
        <v>780</v>
      </c>
    </row>
    <row r="370" spans="1:27" x14ac:dyDescent="0.3">
      <c r="A370">
        <v>1381</v>
      </c>
      <c r="B370">
        <v>1029</v>
      </c>
      <c r="D370">
        <v>0</v>
      </c>
      <c r="E370" t="s">
        <v>118</v>
      </c>
      <c r="F370" s="9">
        <v>45083</v>
      </c>
      <c r="G370" t="s">
        <v>441</v>
      </c>
      <c r="H370" t="s">
        <v>29</v>
      </c>
      <c r="I370">
        <v>19</v>
      </c>
      <c r="J370">
        <v>46.286999999999999</v>
      </c>
      <c r="K370" t="s">
        <v>826</v>
      </c>
      <c r="L370" t="s">
        <v>827</v>
      </c>
      <c r="P370">
        <v>-29.6929351</v>
      </c>
      <c r="R370">
        <v>-53.819602199999999</v>
      </c>
      <c r="T370" t="s">
        <v>268</v>
      </c>
      <c r="U370" t="s">
        <v>32</v>
      </c>
      <c r="V370" t="s">
        <v>33</v>
      </c>
      <c r="W370" s="10" t="s">
        <v>916</v>
      </c>
      <c r="Z370" t="s">
        <v>780</v>
      </c>
    </row>
    <row r="371" spans="1:27" x14ac:dyDescent="0.3">
      <c r="A371">
        <v>255188696</v>
      </c>
      <c r="B371">
        <v>1042</v>
      </c>
      <c r="D371">
        <v>1</v>
      </c>
      <c r="E371" t="s">
        <v>107</v>
      </c>
      <c r="F371" s="9">
        <v>45829</v>
      </c>
      <c r="G371" t="s">
        <v>351</v>
      </c>
      <c r="H371" t="s">
        <v>442</v>
      </c>
      <c r="I371">
        <v>10</v>
      </c>
      <c r="J371">
        <v>79.682000000000002</v>
      </c>
      <c r="K371" t="s">
        <v>917</v>
      </c>
      <c r="L371" t="s">
        <v>918</v>
      </c>
      <c r="T371" t="s">
        <v>347</v>
      </c>
      <c r="U371" t="s">
        <v>79</v>
      </c>
      <c r="V371" t="s">
        <v>38</v>
      </c>
      <c r="X371" t="s">
        <v>919</v>
      </c>
      <c r="Z371" t="s">
        <v>687</v>
      </c>
      <c r="AA371" t="s">
        <v>920</v>
      </c>
    </row>
    <row r="372" spans="1:27" x14ac:dyDescent="0.3">
      <c r="A372">
        <v>94101588</v>
      </c>
      <c r="B372">
        <v>1043</v>
      </c>
      <c r="D372">
        <v>0</v>
      </c>
      <c r="E372" t="s">
        <v>107</v>
      </c>
      <c r="F372" s="9">
        <v>45476</v>
      </c>
      <c r="G372" t="s">
        <v>921</v>
      </c>
      <c r="H372" t="s">
        <v>344</v>
      </c>
      <c r="I372">
        <v>10</v>
      </c>
      <c r="J372">
        <v>80.12</v>
      </c>
      <c r="K372" t="s">
        <v>917</v>
      </c>
      <c r="L372" t="s">
        <v>918</v>
      </c>
      <c r="T372" t="s">
        <v>317</v>
      </c>
      <c r="U372" t="s">
        <v>37</v>
      </c>
      <c r="V372" t="s">
        <v>668</v>
      </c>
      <c r="X372" t="s">
        <v>922</v>
      </c>
      <c r="Z372" t="s">
        <v>687</v>
      </c>
      <c r="AA372" t="s">
        <v>923</v>
      </c>
    </row>
    <row r="373" spans="1:27" x14ac:dyDescent="0.3">
      <c r="A373">
        <v>1413</v>
      </c>
      <c r="B373">
        <v>1050</v>
      </c>
      <c r="D373">
        <v>0</v>
      </c>
      <c r="E373" t="s">
        <v>118</v>
      </c>
      <c r="F373" s="9">
        <v>45162</v>
      </c>
      <c r="G373" t="s">
        <v>924</v>
      </c>
      <c r="H373" t="s">
        <v>29</v>
      </c>
      <c r="I373">
        <v>17</v>
      </c>
      <c r="J373">
        <v>254.20099999999999</v>
      </c>
      <c r="K373" t="s">
        <v>206</v>
      </c>
      <c r="L373" t="s">
        <v>207</v>
      </c>
      <c r="P373">
        <v>-28.57484878</v>
      </c>
      <c r="R373">
        <v>-51.163014420000003</v>
      </c>
      <c r="U373" t="s">
        <v>32</v>
      </c>
      <c r="V373" t="s">
        <v>33</v>
      </c>
      <c r="Z373" t="s">
        <v>209</v>
      </c>
    </row>
    <row r="374" spans="1:27" x14ac:dyDescent="0.3">
      <c r="A374">
        <v>1414</v>
      </c>
      <c r="B374">
        <v>1051</v>
      </c>
      <c r="D374">
        <v>0</v>
      </c>
      <c r="E374" t="s">
        <v>118</v>
      </c>
      <c r="F374" s="9">
        <v>45163</v>
      </c>
      <c r="G374" t="s">
        <v>850</v>
      </c>
      <c r="H374" t="s">
        <v>29</v>
      </c>
      <c r="I374">
        <v>17</v>
      </c>
      <c r="J374">
        <v>375.81</v>
      </c>
      <c r="K374" t="s">
        <v>714</v>
      </c>
      <c r="L374" t="s">
        <v>715</v>
      </c>
      <c r="P374">
        <v>-27.96220508</v>
      </c>
      <c r="R374">
        <v>-50.36669062</v>
      </c>
      <c r="U374" t="s">
        <v>32</v>
      </c>
      <c r="V374" t="s">
        <v>33</v>
      </c>
      <c r="Z374" t="s">
        <v>35</v>
      </c>
    </row>
    <row r="375" spans="1:27" x14ac:dyDescent="0.3">
      <c r="A375">
        <v>1404</v>
      </c>
      <c r="B375">
        <v>1044</v>
      </c>
      <c r="D375">
        <v>0</v>
      </c>
      <c r="E375" t="s">
        <v>107</v>
      </c>
      <c r="F375" s="9">
        <v>45167</v>
      </c>
      <c r="G375" t="s">
        <v>351</v>
      </c>
      <c r="H375" t="s">
        <v>29</v>
      </c>
      <c r="I375">
        <v>15</v>
      </c>
      <c r="J375">
        <v>5.915</v>
      </c>
      <c r="L375" t="s">
        <v>925</v>
      </c>
      <c r="M375">
        <v>5.8010000000000002</v>
      </c>
      <c r="O375">
        <v>1</v>
      </c>
      <c r="T375" t="s">
        <v>112</v>
      </c>
      <c r="U375" t="s">
        <v>113</v>
      </c>
      <c r="V375" t="s">
        <v>609</v>
      </c>
      <c r="X375" t="s">
        <v>926</v>
      </c>
      <c r="Z375" t="s">
        <v>927</v>
      </c>
      <c r="AA375" t="s">
        <v>928</v>
      </c>
    </row>
    <row r="376" spans="1:27" x14ac:dyDescent="0.3">
      <c r="A376">
        <v>1405</v>
      </c>
      <c r="B376">
        <v>1045</v>
      </c>
      <c r="D376">
        <v>0</v>
      </c>
      <c r="E376" t="s">
        <v>107</v>
      </c>
      <c r="F376" s="9">
        <v>45167</v>
      </c>
      <c r="G376" t="s">
        <v>351</v>
      </c>
      <c r="H376" t="s">
        <v>29</v>
      </c>
      <c r="I376">
        <v>15</v>
      </c>
      <c r="J376">
        <v>5.915</v>
      </c>
      <c r="L376" t="s">
        <v>925</v>
      </c>
      <c r="M376">
        <v>5.8010000000000002</v>
      </c>
      <c r="O376">
        <v>20</v>
      </c>
      <c r="T376" t="s">
        <v>347</v>
      </c>
      <c r="U376" t="s">
        <v>94</v>
      </c>
      <c r="V376" t="s">
        <v>38</v>
      </c>
      <c r="W376" s="10" t="s">
        <v>524</v>
      </c>
      <c r="X376" t="s">
        <v>929</v>
      </c>
      <c r="Z376" t="s">
        <v>927</v>
      </c>
      <c r="AA376" t="s">
        <v>930</v>
      </c>
    </row>
    <row r="377" spans="1:27" x14ac:dyDescent="0.3">
      <c r="A377">
        <v>1406</v>
      </c>
      <c r="B377">
        <v>1046</v>
      </c>
      <c r="D377">
        <v>0</v>
      </c>
      <c r="E377" t="s">
        <v>107</v>
      </c>
      <c r="F377" s="9">
        <v>45167</v>
      </c>
      <c r="G377" t="s">
        <v>351</v>
      </c>
      <c r="H377" t="s">
        <v>29</v>
      </c>
      <c r="I377">
        <v>15</v>
      </c>
      <c r="J377">
        <v>5.915</v>
      </c>
      <c r="L377" t="s">
        <v>925</v>
      </c>
      <c r="M377">
        <v>5.95</v>
      </c>
      <c r="O377">
        <v>10</v>
      </c>
      <c r="T377" t="s">
        <v>317</v>
      </c>
      <c r="U377" t="s">
        <v>37</v>
      </c>
      <c r="V377" t="s">
        <v>668</v>
      </c>
      <c r="X377" t="s">
        <v>931</v>
      </c>
      <c r="Z377" t="s">
        <v>927</v>
      </c>
      <c r="AA377" t="s">
        <v>932</v>
      </c>
    </row>
    <row r="378" spans="1:27" x14ac:dyDescent="0.3">
      <c r="A378">
        <v>1407</v>
      </c>
      <c r="B378">
        <v>1047</v>
      </c>
      <c r="D378">
        <v>0</v>
      </c>
      <c r="E378" t="s">
        <v>107</v>
      </c>
      <c r="F378" s="9">
        <v>45167</v>
      </c>
      <c r="G378" t="s">
        <v>351</v>
      </c>
      <c r="H378" t="s">
        <v>29</v>
      </c>
      <c r="I378">
        <v>15</v>
      </c>
      <c r="J378">
        <v>5.915</v>
      </c>
      <c r="L378" t="s">
        <v>925</v>
      </c>
      <c r="M378">
        <v>6.0289999999999999</v>
      </c>
      <c r="O378">
        <v>1</v>
      </c>
      <c r="T378" t="s">
        <v>569</v>
      </c>
      <c r="U378" t="s">
        <v>933</v>
      </c>
      <c r="V378" t="s">
        <v>609</v>
      </c>
      <c r="X378" t="s">
        <v>934</v>
      </c>
      <c r="Z378" t="s">
        <v>927</v>
      </c>
      <c r="AA378" t="s">
        <v>935</v>
      </c>
    </row>
    <row r="379" spans="1:27" x14ac:dyDescent="0.3">
      <c r="A379">
        <v>1408</v>
      </c>
      <c r="B379">
        <v>1048</v>
      </c>
      <c r="D379">
        <v>0</v>
      </c>
      <c r="E379" t="s">
        <v>107</v>
      </c>
      <c r="F379" s="9">
        <v>45167</v>
      </c>
      <c r="G379" t="s">
        <v>351</v>
      </c>
      <c r="H379" t="s">
        <v>29</v>
      </c>
      <c r="I379">
        <v>15</v>
      </c>
      <c r="J379">
        <v>8.2850000000000001</v>
      </c>
      <c r="L379" t="s">
        <v>936</v>
      </c>
      <c r="M379">
        <v>8.1509999999999998</v>
      </c>
      <c r="O379">
        <v>270</v>
      </c>
      <c r="T379" t="s">
        <v>347</v>
      </c>
      <c r="U379" t="s">
        <v>94</v>
      </c>
      <c r="V379" t="s">
        <v>33</v>
      </c>
      <c r="W379" s="10" t="s">
        <v>524</v>
      </c>
      <c r="X379" t="s">
        <v>937</v>
      </c>
      <c r="Z379" t="s">
        <v>927</v>
      </c>
      <c r="AA379" t="s">
        <v>938</v>
      </c>
    </row>
    <row r="380" spans="1:27" x14ac:dyDescent="0.3">
      <c r="A380">
        <v>1409</v>
      </c>
      <c r="B380">
        <v>1049</v>
      </c>
      <c r="D380">
        <v>0</v>
      </c>
      <c r="E380" t="s">
        <v>107</v>
      </c>
      <c r="F380" s="9">
        <v>45167</v>
      </c>
      <c r="G380" t="s">
        <v>351</v>
      </c>
      <c r="H380" t="s">
        <v>29</v>
      </c>
      <c r="I380">
        <v>15</v>
      </c>
      <c r="J380">
        <v>8.2850000000000001</v>
      </c>
      <c r="L380" t="s">
        <v>936</v>
      </c>
      <c r="M380">
        <v>8.3699999999999992</v>
      </c>
      <c r="O380">
        <v>20</v>
      </c>
      <c r="T380" t="s">
        <v>317</v>
      </c>
      <c r="U380" t="s">
        <v>37</v>
      </c>
      <c r="V380" t="s">
        <v>668</v>
      </c>
      <c r="X380" t="s">
        <v>939</v>
      </c>
      <c r="Z380" t="s">
        <v>927</v>
      </c>
      <c r="AA380" t="s">
        <v>940</v>
      </c>
    </row>
    <row r="381" spans="1:27" x14ac:dyDescent="0.3">
      <c r="A381">
        <v>229638799</v>
      </c>
      <c r="B381">
        <v>7387900</v>
      </c>
      <c r="D381">
        <v>0</v>
      </c>
      <c r="E381" t="s">
        <v>27</v>
      </c>
      <c r="F381" s="9">
        <v>45568</v>
      </c>
      <c r="G381" t="s">
        <v>941</v>
      </c>
      <c r="H381" t="s">
        <v>29</v>
      </c>
      <c r="I381">
        <v>7</v>
      </c>
      <c r="J381">
        <v>426.32499999999999</v>
      </c>
      <c r="K381" t="s">
        <v>942</v>
      </c>
      <c r="L381" t="s">
        <v>943</v>
      </c>
      <c r="T381" t="s">
        <v>268</v>
      </c>
      <c r="U381" t="s">
        <v>32</v>
      </c>
      <c r="V381" t="s">
        <v>668</v>
      </c>
      <c r="Z381" t="s">
        <v>670</v>
      </c>
      <c r="AA381" t="s">
        <v>944</v>
      </c>
    </row>
    <row r="382" spans="1:27" x14ac:dyDescent="0.3">
      <c r="A382">
        <v>255051367</v>
      </c>
      <c r="B382">
        <v>7445099</v>
      </c>
      <c r="D382">
        <v>1</v>
      </c>
      <c r="E382" t="s">
        <v>107</v>
      </c>
      <c r="F382" s="9">
        <v>45819</v>
      </c>
      <c r="G382" t="s">
        <v>351</v>
      </c>
      <c r="H382" t="s">
        <v>344</v>
      </c>
      <c r="I382">
        <v>9</v>
      </c>
      <c r="J382">
        <v>190.38</v>
      </c>
      <c r="K382" t="s">
        <v>945</v>
      </c>
      <c r="L382" t="s">
        <v>946</v>
      </c>
      <c r="T382" t="s">
        <v>317</v>
      </c>
      <c r="U382" t="s">
        <v>37</v>
      </c>
      <c r="V382" t="s">
        <v>668</v>
      </c>
      <c r="X382" t="s">
        <v>947</v>
      </c>
      <c r="Y382">
        <v>946754</v>
      </c>
      <c r="Z382" t="s">
        <v>948</v>
      </c>
      <c r="AA382" t="s">
        <v>949</v>
      </c>
    </row>
    <row r="383" spans="1:27" x14ac:dyDescent="0.3">
      <c r="A383">
        <v>230722062</v>
      </c>
      <c r="B383">
        <v>7444938</v>
      </c>
      <c r="D383">
        <v>0</v>
      </c>
      <c r="E383" t="s">
        <v>27</v>
      </c>
      <c r="F383" s="9">
        <v>45626</v>
      </c>
      <c r="G383" t="s">
        <v>950</v>
      </c>
      <c r="H383" t="s">
        <v>29</v>
      </c>
      <c r="I383">
        <v>37</v>
      </c>
      <c r="J383">
        <v>325.84100000000001</v>
      </c>
      <c r="K383" t="s">
        <v>951</v>
      </c>
      <c r="L383" t="s">
        <v>952</v>
      </c>
      <c r="T383" t="s">
        <v>347</v>
      </c>
      <c r="U383" t="s">
        <v>37</v>
      </c>
      <c r="V383" t="s">
        <v>38</v>
      </c>
      <c r="W383" s="10" t="s">
        <v>953</v>
      </c>
      <c r="X383" t="s">
        <v>954</v>
      </c>
      <c r="Z383" t="s">
        <v>955</v>
      </c>
      <c r="AA383" t="s">
        <v>956</v>
      </c>
    </row>
    <row r="384" spans="1:27" x14ac:dyDescent="0.3">
      <c r="A384">
        <v>230722061</v>
      </c>
      <c r="B384">
        <v>7444937</v>
      </c>
      <c r="D384">
        <v>0</v>
      </c>
      <c r="E384" t="s">
        <v>27</v>
      </c>
      <c r="F384" s="9">
        <v>45626</v>
      </c>
      <c r="G384" t="s">
        <v>950</v>
      </c>
      <c r="H384" t="s">
        <v>29</v>
      </c>
      <c r="I384">
        <v>37</v>
      </c>
      <c r="J384">
        <v>325.84100000000001</v>
      </c>
      <c r="K384" t="s">
        <v>951</v>
      </c>
      <c r="L384" t="s">
        <v>952</v>
      </c>
      <c r="T384" t="s">
        <v>268</v>
      </c>
      <c r="U384" t="s">
        <v>37</v>
      </c>
      <c r="V384" t="s">
        <v>38</v>
      </c>
      <c r="W384" s="10" t="s">
        <v>953</v>
      </c>
      <c r="X384" t="s">
        <v>954</v>
      </c>
      <c r="Z384" t="s">
        <v>955</v>
      </c>
      <c r="AA384" t="s">
        <v>957</v>
      </c>
    </row>
    <row r="385" spans="1:27" x14ac:dyDescent="0.3">
      <c r="A385">
        <v>149595</v>
      </c>
      <c r="B385">
        <v>41164</v>
      </c>
      <c r="D385">
        <v>0</v>
      </c>
      <c r="E385" t="s">
        <v>118</v>
      </c>
      <c r="F385" s="9">
        <v>45306</v>
      </c>
      <c r="G385" t="s">
        <v>594</v>
      </c>
      <c r="H385" t="s">
        <v>29</v>
      </c>
      <c r="I385">
        <v>19</v>
      </c>
      <c r="J385">
        <v>33.329000000000001</v>
      </c>
      <c r="K385" t="s">
        <v>958</v>
      </c>
      <c r="L385" t="s">
        <v>785</v>
      </c>
      <c r="P385">
        <v>-29.016155000000001</v>
      </c>
      <c r="R385">
        <v>-51.905656669999999</v>
      </c>
      <c r="T385" t="s">
        <v>268</v>
      </c>
      <c r="U385" t="s">
        <v>596</v>
      </c>
      <c r="V385" t="s">
        <v>33</v>
      </c>
      <c r="Z385" t="s">
        <v>780</v>
      </c>
    </row>
    <row r="386" spans="1:27" x14ac:dyDescent="0.3">
      <c r="A386">
        <v>149596</v>
      </c>
      <c r="B386">
        <v>41165</v>
      </c>
      <c r="D386">
        <v>0</v>
      </c>
      <c r="E386" t="s">
        <v>118</v>
      </c>
      <c r="F386" s="9">
        <v>45306</v>
      </c>
      <c r="G386" t="s">
        <v>594</v>
      </c>
      <c r="H386" t="s">
        <v>29</v>
      </c>
      <c r="I386">
        <v>19</v>
      </c>
      <c r="J386">
        <v>35.280999999999999</v>
      </c>
      <c r="K386" t="s">
        <v>795</v>
      </c>
      <c r="L386" t="s">
        <v>790</v>
      </c>
      <c r="P386">
        <v>-29.000878329999999</v>
      </c>
      <c r="R386">
        <v>-51.904846669999998</v>
      </c>
      <c r="T386" t="s">
        <v>347</v>
      </c>
      <c r="U386" t="s">
        <v>596</v>
      </c>
      <c r="V386" t="s">
        <v>33</v>
      </c>
      <c r="Z386" t="s">
        <v>780</v>
      </c>
    </row>
    <row r="387" spans="1:27" x14ac:dyDescent="0.3">
      <c r="A387">
        <v>149597</v>
      </c>
      <c r="B387">
        <v>41166</v>
      </c>
      <c r="D387">
        <v>0</v>
      </c>
      <c r="E387" t="s">
        <v>118</v>
      </c>
      <c r="F387" s="9">
        <v>45306</v>
      </c>
      <c r="G387" t="s">
        <v>594</v>
      </c>
      <c r="H387" t="s">
        <v>29</v>
      </c>
      <c r="I387">
        <v>19</v>
      </c>
      <c r="J387">
        <v>35.280999999999999</v>
      </c>
      <c r="K387" t="s">
        <v>795</v>
      </c>
      <c r="L387" t="s">
        <v>790</v>
      </c>
      <c r="P387">
        <v>-29.000878329999999</v>
      </c>
      <c r="R387">
        <v>-51.904846669999998</v>
      </c>
      <c r="T387" t="s">
        <v>347</v>
      </c>
      <c r="U387" t="s">
        <v>49</v>
      </c>
      <c r="V387" t="s">
        <v>33</v>
      </c>
      <c r="Z387" t="s">
        <v>780</v>
      </c>
    </row>
    <row r="388" spans="1:27" x14ac:dyDescent="0.3">
      <c r="A388">
        <v>149598</v>
      </c>
      <c r="B388">
        <v>41167</v>
      </c>
      <c r="D388">
        <v>0</v>
      </c>
      <c r="E388" t="s">
        <v>118</v>
      </c>
      <c r="F388" s="9">
        <v>45306</v>
      </c>
      <c r="G388" t="s">
        <v>594</v>
      </c>
      <c r="H388" t="s">
        <v>29</v>
      </c>
      <c r="I388">
        <v>19</v>
      </c>
      <c r="J388">
        <v>38.454999999999998</v>
      </c>
      <c r="K388" t="s">
        <v>804</v>
      </c>
      <c r="L388" t="s">
        <v>805</v>
      </c>
      <c r="P388">
        <v>-28.976134999999999</v>
      </c>
      <c r="R388">
        <v>-51.90551833</v>
      </c>
      <c r="T388" t="s">
        <v>268</v>
      </c>
      <c r="U388" t="s">
        <v>596</v>
      </c>
      <c r="V388" t="s">
        <v>33</v>
      </c>
      <c r="Z388" t="s">
        <v>780</v>
      </c>
    </row>
    <row r="389" spans="1:27" x14ac:dyDescent="0.3">
      <c r="A389">
        <v>149599</v>
      </c>
      <c r="B389">
        <v>41168</v>
      </c>
      <c r="D389">
        <v>0</v>
      </c>
      <c r="E389" t="s">
        <v>118</v>
      </c>
      <c r="F389" s="9">
        <v>45306</v>
      </c>
      <c r="G389" t="s">
        <v>594</v>
      </c>
      <c r="H389" t="s">
        <v>29</v>
      </c>
      <c r="I389">
        <v>19</v>
      </c>
      <c r="J389">
        <v>44.762</v>
      </c>
      <c r="K389" t="s">
        <v>959</v>
      </c>
      <c r="L389" t="s">
        <v>816</v>
      </c>
      <c r="P389">
        <v>-28.948356669999999</v>
      </c>
      <c r="R389">
        <v>-51.883699999999997</v>
      </c>
      <c r="T389" t="s">
        <v>268</v>
      </c>
      <c r="U389" t="s">
        <v>596</v>
      </c>
      <c r="V389" t="s">
        <v>33</v>
      </c>
      <c r="Z389" t="s">
        <v>780</v>
      </c>
    </row>
    <row r="390" spans="1:27" x14ac:dyDescent="0.3">
      <c r="A390">
        <v>149600</v>
      </c>
      <c r="B390">
        <v>41169</v>
      </c>
      <c r="D390">
        <v>0</v>
      </c>
      <c r="E390" t="s">
        <v>118</v>
      </c>
      <c r="F390" s="9">
        <v>45306</v>
      </c>
      <c r="G390" t="s">
        <v>594</v>
      </c>
      <c r="H390" t="s">
        <v>29</v>
      </c>
      <c r="I390">
        <v>19</v>
      </c>
      <c r="J390">
        <v>46.521000000000001</v>
      </c>
      <c r="K390" t="s">
        <v>826</v>
      </c>
      <c r="L390" t="s">
        <v>827</v>
      </c>
      <c r="P390">
        <v>-28.941896669999998</v>
      </c>
      <c r="R390">
        <v>-51.898326670000003</v>
      </c>
      <c r="T390" t="s">
        <v>347</v>
      </c>
      <c r="U390" t="s">
        <v>596</v>
      </c>
      <c r="V390" t="s">
        <v>33</v>
      </c>
      <c r="Z390" t="s">
        <v>780</v>
      </c>
    </row>
    <row r="391" spans="1:27" x14ac:dyDescent="0.3">
      <c r="A391">
        <v>233602</v>
      </c>
      <c r="B391">
        <v>41171</v>
      </c>
      <c r="D391">
        <v>0</v>
      </c>
      <c r="E391" t="s">
        <v>118</v>
      </c>
      <c r="F391" s="9">
        <v>45310</v>
      </c>
      <c r="G391" t="s">
        <v>594</v>
      </c>
      <c r="H391" t="s">
        <v>29</v>
      </c>
      <c r="I391">
        <v>17</v>
      </c>
      <c r="J391">
        <v>106.566</v>
      </c>
      <c r="K391" t="s">
        <v>960</v>
      </c>
      <c r="L391" t="s">
        <v>340</v>
      </c>
      <c r="P391">
        <v>-29.211568329999999</v>
      </c>
      <c r="R391">
        <v>-51.826271669999997</v>
      </c>
      <c r="T391" t="s">
        <v>347</v>
      </c>
      <c r="U391" t="s">
        <v>596</v>
      </c>
      <c r="V391" t="s">
        <v>33</v>
      </c>
      <c r="Z391" t="s">
        <v>342</v>
      </c>
    </row>
    <row r="392" spans="1:27" x14ac:dyDescent="0.3">
      <c r="A392">
        <v>233961094</v>
      </c>
      <c r="B392">
        <v>7547719</v>
      </c>
      <c r="D392">
        <v>0</v>
      </c>
      <c r="E392" t="s">
        <v>107</v>
      </c>
      <c r="F392" s="9">
        <v>45631</v>
      </c>
      <c r="G392" t="s">
        <v>941</v>
      </c>
      <c r="H392" t="s">
        <v>29</v>
      </c>
      <c r="I392">
        <v>7</v>
      </c>
      <c r="J392">
        <v>506</v>
      </c>
      <c r="K392" t="s">
        <v>961</v>
      </c>
      <c r="L392" t="s">
        <v>962</v>
      </c>
      <c r="T392" t="s">
        <v>317</v>
      </c>
      <c r="U392" t="s">
        <v>32</v>
      </c>
      <c r="V392" t="s">
        <v>38</v>
      </c>
      <c r="Z392" t="s">
        <v>662</v>
      </c>
      <c r="AA392" t="s">
        <v>963</v>
      </c>
    </row>
    <row r="393" spans="1:27" x14ac:dyDescent="0.3">
      <c r="A393">
        <v>253679989</v>
      </c>
      <c r="B393">
        <v>7650262</v>
      </c>
      <c r="D393">
        <v>1</v>
      </c>
      <c r="E393" t="s">
        <v>107</v>
      </c>
      <c r="F393" s="9">
        <v>45781</v>
      </c>
      <c r="G393" t="s">
        <v>658</v>
      </c>
      <c r="H393" t="s">
        <v>344</v>
      </c>
      <c r="I393">
        <v>7</v>
      </c>
      <c r="J393">
        <v>500.55099999999999</v>
      </c>
      <c r="K393" t="s">
        <v>964</v>
      </c>
      <c r="L393" t="s">
        <v>660</v>
      </c>
      <c r="T393" t="s">
        <v>317</v>
      </c>
      <c r="U393" t="s">
        <v>32</v>
      </c>
      <c r="V393" t="s">
        <v>38</v>
      </c>
      <c r="X393" t="s">
        <v>965</v>
      </c>
      <c r="Z393" t="s">
        <v>662</v>
      </c>
      <c r="AA393" t="s">
        <v>966</v>
      </c>
    </row>
    <row r="394" spans="1:27" x14ac:dyDescent="0.3">
      <c r="A394">
        <v>219148773</v>
      </c>
      <c r="B394">
        <v>41170</v>
      </c>
      <c r="D394">
        <v>0</v>
      </c>
      <c r="E394" t="s">
        <v>967</v>
      </c>
      <c r="F394" s="9">
        <v>45505</v>
      </c>
      <c r="G394" t="s">
        <v>968</v>
      </c>
      <c r="H394" t="s">
        <v>344</v>
      </c>
      <c r="I394">
        <v>16</v>
      </c>
      <c r="J394">
        <v>238.39099999999999</v>
      </c>
      <c r="K394" t="s">
        <v>711</v>
      </c>
      <c r="L394" t="s">
        <v>121</v>
      </c>
      <c r="T394" t="s">
        <v>112</v>
      </c>
      <c r="U394" t="s">
        <v>32</v>
      </c>
      <c r="V394" t="s">
        <v>62</v>
      </c>
      <c r="Z394" t="s">
        <v>852</v>
      </c>
      <c r="AA394" t="s">
        <v>969</v>
      </c>
    </row>
    <row r="395" spans="1:27" x14ac:dyDescent="0.3">
      <c r="A395">
        <v>249611</v>
      </c>
      <c r="B395">
        <v>57179</v>
      </c>
      <c r="D395">
        <v>0</v>
      </c>
      <c r="E395" t="s">
        <v>118</v>
      </c>
      <c r="F395" s="9">
        <v>45329</v>
      </c>
      <c r="G395" t="s">
        <v>267</v>
      </c>
      <c r="H395" t="s">
        <v>29</v>
      </c>
      <c r="I395">
        <v>17</v>
      </c>
      <c r="J395">
        <v>324.68400000000003</v>
      </c>
      <c r="K395" t="s">
        <v>250</v>
      </c>
      <c r="L395" t="s">
        <v>251</v>
      </c>
      <c r="P395">
        <v>-28.283265</v>
      </c>
      <c r="R395">
        <v>-50.625011669999999</v>
      </c>
      <c r="T395" t="s">
        <v>268</v>
      </c>
      <c r="U395" t="s">
        <v>596</v>
      </c>
      <c r="V395" t="s">
        <v>33</v>
      </c>
      <c r="Z395" t="s">
        <v>35</v>
      </c>
    </row>
    <row r="396" spans="1:27" x14ac:dyDescent="0.3">
      <c r="A396">
        <v>249612</v>
      </c>
      <c r="B396">
        <v>57180</v>
      </c>
      <c r="D396">
        <v>0</v>
      </c>
      <c r="E396" t="s">
        <v>118</v>
      </c>
      <c r="F396" s="9">
        <v>45329</v>
      </c>
      <c r="G396" t="s">
        <v>267</v>
      </c>
      <c r="H396" t="s">
        <v>29</v>
      </c>
      <c r="I396">
        <v>17</v>
      </c>
      <c r="J396">
        <v>326.01</v>
      </c>
      <c r="K396" t="s">
        <v>645</v>
      </c>
      <c r="L396" t="s">
        <v>258</v>
      </c>
      <c r="P396">
        <v>-28.276716669999999</v>
      </c>
      <c r="R396">
        <v>-50.613386669999997</v>
      </c>
      <c r="T396" t="s">
        <v>268</v>
      </c>
      <c r="U396" t="s">
        <v>596</v>
      </c>
      <c r="V396" t="s">
        <v>33</v>
      </c>
      <c r="Z396" t="s">
        <v>35</v>
      </c>
    </row>
    <row r="397" spans="1:27" x14ac:dyDescent="0.3">
      <c r="A397">
        <v>249613</v>
      </c>
      <c r="B397">
        <v>57181</v>
      </c>
      <c r="D397">
        <v>0</v>
      </c>
      <c r="E397" t="s">
        <v>118</v>
      </c>
      <c r="F397" s="9">
        <v>45329</v>
      </c>
      <c r="G397" t="s">
        <v>267</v>
      </c>
      <c r="H397" t="s">
        <v>29</v>
      </c>
      <c r="I397">
        <v>17</v>
      </c>
      <c r="J397">
        <v>327.34899999999999</v>
      </c>
      <c r="K397" t="s">
        <v>264</v>
      </c>
      <c r="L397" t="s">
        <v>265</v>
      </c>
      <c r="P397">
        <v>-28.268971669999999</v>
      </c>
      <c r="R397">
        <v>-50.602686669999997</v>
      </c>
      <c r="T397" t="s">
        <v>347</v>
      </c>
      <c r="U397" t="s">
        <v>32</v>
      </c>
      <c r="V397" t="s">
        <v>33</v>
      </c>
      <c r="Z397" t="s">
        <v>35</v>
      </c>
    </row>
    <row r="398" spans="1:27" x14ac:dyDescent="0.3">
      <c r="A398">
        <v>249615</v>
      </c>
      <c r="B398">
        <v>57182</v>
      </c>
      <c r="D398">
        <v>0</v>
      </c>
      <c r="E398" t="s">
        <v>118</v>
      </c>
      <c r="F398" s="9">
        <v>45329</v>
      </c>
      <c r="G398" t="s">
        <v>267</v>
      </c>
      <c r="H398" t="s">
        <v>29</v>
      </c>
      <c r="I398">
        <v>17</v>
      </c>
      <c r="J398">
        <v>331.96499999999997</v>
      </c>
      <c r="K398" t="s">
        <v>652</v>
      </c>
      <c r="L398" t="s">
        <v>292</v>
      </c>
      <c r="P398">
        <v>-28.248976670000001</v>
      </c>
      <c r="R398">
        <v>-50.563073330000002</v>
      </c>
      <c r="T398" t="s">
        <v>347</v>
      </c>
      <c r="U398" t="s">
        <v>596</v>
      </c>
      <c r="V398" t="s">
        <v>33</v>
      </c>
      <c r="Z398" t="s">
        <v>35</v>
      </c>
    </row>
    <row r="399" spans="1:27" x14ac:dyDescent="0.3">
      <c r="A399">
        <v>249616</v>
      </c>
      <c r="B399">
        <v>57183</v>
      </c>
      <c r="D399">
        <v>0</v>
      </c>
      <c r="E399" t="s">
        <v>118</v>
      </c>
      <c r="F399" s="9">
        <v>45329</v>
      </c>
      <c r="G399" t="s">
        <v>267</v>
      </c>
      <c r="H399" t="s">
        <v>29</v>
      </c>
      <c r="I399">
        <v>17</v>
      </c>
      <c r="J399">
        <v>333.72699999999998</v>
      </c>
      <c r="K399" t="s">
        <v>970</v>
      </c>
      <c r="L399" t="s">
        <v>971</v>
      </c>
      <c r="P399">
        <v>-28.240191670000002</v>
      </c>
      <c r="R399">
        <v>-50.550044999999997</v>
      </c>
      <c r="T399" t="s">
        <v>268</v>
      </c>
      <c r="U399" t="s">
        <v>596</v>
      </c>
      <c r="V399" t="s">
        <v>33</v>
      </c>
      <c r="Z399" t="s">
        <v>35</v>
      </c>
    </row>
    <row r="400" spans="1:27" x14ac:dyDescent="0.3">
      <c r="A400">
        <v>249618</v>
      </c>
      <c r="B400">
        <v>57185</v>
      </c>
      <c r="D400">
        <v>0</v>
      </c>
      <c r="E400" t="s">
        <v>118</v>
      </c>
      <c r="F400" s="9">
        <v>45330</v>
      </c>
      <c r="G400" t="s">
        <v>924</v>
      </c>
      <c r="H400" t="s">
        <v>29</v>
      </c>
      <c r="I400">
        <v>17</v>
      </c>
      <c r="J400">
        <v>375.62299999999999</v>
      </c>
      <c r="K400" t="s">
        <v>972</v>
      </c>
      <c r="L400" t="s">
        <v>715</v>
      </c>
      <c r="P400">
        <v>-27.96510833</v>
      </c>
      <c r="R400">
        <v>-50.368246669999998</v>
      </c>
      <c r="T400" t="s">
        <v>268</v>
      </c>
      <c r="U400" t="s">
        <v>596</v>
      </c>
      <c r="V400" t="s">
        <v>33</v>
      </c>
      <c r="Z400" t="s">
        <v>35</v>
      </c>
    </row>
    <row r="401" spans="1:27" x14ac:dyDescent="0.3">
      <c r="A401">
        <v>94679013</v>
      </c>
      <c r="B401">
        <v>53738</v>
      </c>
      <c r="D401">
        <v>0</v>
      </c>
      <c r="E401" t="s">
        <v>107</v>
      </c>
      <c r="F401" s="9">
        <v>45503</v>
      </c>
      <c r="G401" t="s">
        <v>351</v>
      </c>
      <c r="H401" t="s">
        <v>344</v>
      </c>
      <c r="I401">
        <v>10</v>
      </c>
      <c r="J401">
        <v>65.099999999999994</v>
      </c>
      <c r="K401" t="s">
        <v>973</v>
      </c>
      <c r="L401" t="s">
        <v>974</v>
      </c>
      <c r="T401" t="s">
        <v>317</v>
      </c>
      <c r="U401" t="s">
        <v>37</v>
      </c>
      <c r="V401" t="s">
        <v>668</v>
      </c>
      <c r="W401" s="10" t="s">
        <v>975</v>
      </c>
      <c r="X401" t="s">
        <v>976</v>
      </c>
      <c r="Z401" t="s">
        <v>687</v>
      </c>
      <c r="AA401" t="s">
        <v>977</v>
      </c>
    </row>
    <row r="402" spans="1:27" x14ac:dyDescent="0.3">
      <c r="A402">
        <v>94679133</v>
      </c>
      <c r="B402">
        <v>53750</v>
      </c>
      <c r="D402">
        <v>0</v>
      </c>
      <c r="E402" t="s">
        <v>107</v>
      </c>
      <c r="F402" s="9">
        <v>45503</v>
      </c>
      <c r="G402" t="s">
        <v>351</v>
      </c>
      <c r="H402" t="s">
        <v>344</v>
      </c>
      <c r="I402">
        <v>10</v>
      </c>
      <c r="J402">
        <v>62.7</v>
      </c>
      <c r="K402" t="s">
        <v>978</v>
      </c>
      <c r="L402" t="s">
        <v>979</v>
      </c>
      <c r="T402" t="s">
        <v>613</v>
      </c>
      <c r="U402" t="s">
        <v>79</v>
      </c>
      <c r="V402" t="s">
        <v>33</v>
      </c>
      <c r="X402" t="s">
        <v>980</v>
      </c>
      <c r="Z402" t="s">
        <v>687</v>
      </c>
      <c r="AA402" t="s">
        <v>981</v>
      </c>
    </row>
    <row r="403" spans="1:27" x14ac:dyDescent="0.3">
      <c r="A403">
        <v>94679171</v>
      </c>
      <c r="B403">
        <v>53753</v>
      </c>
      <c r="D403">
        <v>0</v>
      </c>
      <c r="E403" t="s">
        <v>107</v>
      </c>
      <c r="F403" s="9">
        <v>45503</v>
      </c>
      <c r="G403" t="s">
        <v>351</v>
      </c>
      <c r="H403" t="s">
        <v>344</v>
      </c>
      <c r="I403">
        <v>10</v>
      </c>
      <c r="J403">
        <v>60.65</v>
      </c>
      <c r="K403" t="s">
        <v>982</v>
      </c>
      <c r="L403" t="s">
        <v>983</v>
      </c>
      <c r="T403" t="s">
        <v>317</v>
      </c>
      <c r="U403" t="s">
        <v>37</v>
      </c>
      <c r="V403" t="s">
        <v>609</v>
      </c>
      <c r="W403" s="10" t="s">
        <v>984</v>
      </c>
      <c r="X403" t="s">
        <v>985</v>
      </c>
      <c r="Z403" t="s">
        <v>687</v>
      </c>
      <c r="AA403" t="s">
        <v>986</v>
      </c>
    </row>
    <row r="404" spans="1:27" x14ac:dyDescent="0.3">
      <c r="A404">
        <v>158161</v>
      </c>
      <c r="B404">
        <v>53754</v>
      </c>
      <c r="D404">
        <v>0</v>
      </c>
      <c r="E404" t="s">
        <v>107</v>
      </c>
      <c r="F404" s="9">
        <v>45362</v>
      </c>
      <c r="G404" t="s">
        <v>351</v>
      </c>
      <c r="H404" t="s">
        <v>29</v>
      </c>
      <c r="I404">
        <v>10</v>
      </c>
      <c r="J404">
        <v>60.7</v>
      </c>
      <c r="K404" t="s">
        <v>982</v>
      </c>
      <c r="L404" t="s">
        <v>983</v>
      </c>
      <c r="O404">
        <v>150</v>
      </c>
      <c r="T404" t="s">
        <v>268</v>
      </c>
      <c r="U404" t="s">
        <v>79</v>
      </c>
      <c r="V404" t="s">
        <v>38</v>
      </c>
      <c r="X404" t="s">
        <v>987</v>
      </c>
      <c r="Z404" t="s">
        <v>687</v>
      </c>
      <c r="AA404" t="s">
        <v>988</v>
      </c>
    </row>
    <row r="405" spans="1:27" x14ac:dyDescent="0.3">
      <c r="A405">
        <v>246071300</v>
      </c>
      <c r="B405">
        <v>55310</v>
      </c>
      <c r="D405">
        <v>1</v>
      </c>
      <c r="E405" t="s">
        <v>107</v>
      </c>
      <c r="F405" s="9">
        <v>45749</v>
      </c>
      <c r="G405" t="s">
        <v>351</v>
      </c>
      <c r="H405" t="s">
        <v>344</v>
      </c>
      <c r="I405">
        <v>13</v>
      </c>
      <c r="J405">
        <v>51.7</v>
      </c>
      <c r="K405" t="s">
        <v>672</v>
      </c>
      <c r="L405" t="s">
        <v>673</v>
      </c>
      <c r="T405" t="s">
        <v>268</v>
      </c>
      <c r="U405" t="s">
        <v>32</v>
      </c>
      <c r="V405" t="s">
        <v>668</v>
      </c>
      <c r="X405" t="s">
        <v>989</v>
      </c>
      <c r="Y405">
        <v>908266</v>
      </c>
      <c r="Z405" t="s">
        <v>675</v>
      </c>
      <c r="AA405" t="s">
        <v>990</v>
      </c>
    </row>
    <row r="406" spans="1:27" x14ac:dyDescent="0.3">
      <c r="A406">
        <v>698623</v>
      </c>
      <c r="B406">
        <v>79702</v>
      </c>
      <c r="D406">
        <v>0</v>
      </c>
      <c r="E406" t="s">
        <v>107</v>
      </c>
      <c r="F406" s="9">
        <v>45412</v>
      </c>
      <c r="G406" t="s">
        <v>108</v>
      </c>
      <c r="H406" t="s">
        <v>344</v>
      </c>
      <c r="I406">
        <v>16</v>
      </c>
      <c r="J406">
        <v>134.10499999999999</v>
      </c>
      <c r="K406" t="s">
        <v>611</v>
      </c>
      <c r="L406" t="s">
        <v>612</v>
      </c>
      <c r="P406">
        <v>-26.698846669999998</v>
      </c>
      <c r="R406">
        <v>-50.392241669999997</v>
      </c>
      <c r="T406" t="s">
        <v>347</v>
      </c>
      <c r="U406" t="s">
        <v>596</v>
      </c>
      <c r="V406" t="s">
        <v>33</v>
      </c>
      <c r="X406" t="s">
        <v>615</v>
      </c>
      <c r="Z406" t="s">
        <v>116</v>
      </c>
      <c r="AA406" t="s">
        <v>991</v>
      </c>
    </row>
    <row r="407" spans="1:27" x14ac:dyDescent="0.3">
      <c r="A407">
        <v>781261</v>
      </c>
      <c r="B407">
        <v>79703</v>
      </c>
      <c r="D407">
        <v>0</v>
      </c>
      <c r="E407" t="s">
        <v>118</v>
      </c>
      <c r="F407" s="9">
        <v>45416</v>
      </c>
      <c r="G407" t="s">
        <v>108</v>
      </c>
      <c r="H407" t="s">
        <v>344</v>
      </c>
      <c r="I407">
        <v>16</v>
      </c>
      <c r="J407">
        <v>219.185</v>
      </c>
      <c r="K407" t="s">
        <v>689</v>
      </c>
      <c r="L407" t="s">
        <v>690</v>
      </c>
      <c r="P407">
        <v>-27.238428330000001</v>
      </c>
      <c r="R407">
        <v>-50.325571670000002</v>
      </c>
      <c r="T407" t="s">
        <v>347</v>
      </c>
      <c r="U407" t="s">
        <v>596</v>
      </c>
      <c r="V407" t="s">
        <v>33</v>
      </c>
      <c r="X407" t="s">
        <v>851</v>
      </c>
      <c r="Z407" t="s">
        <v>852</v>
      </c>
      <c r="AA407" t="s">
        <v>992</v>
      </c>
    </row>
    <row r="408" spans="1:27" x14ac:dyDescent="0.3">
      <c r="A408">
        <v>980252</v>
      </c>
      <c r="B408">
        <v>79704</v>
      </c>
      <c r="D408">
        <v>0</v>
      </c>
      <c r="E408" t="s">
        <v>118</v>
      </c>
      <c r="F408" s="9">
        <v>45420</v>
      </c>
      <c r="G408" t="s">
        <v>108</v>
      </c>
      <c r="H408" t="s">
        <v>344</v>
      </c>
      <c r="I408">
        <v>16</v>
      </c>
      <c r="J408">
        <v>229.328</v>
      </c>
      <c r="K408" t="s">
        <v>120</v>
      </c>
      <c r="L408" t="s">
        <v>705</v>
      </c>
      <c r="P408">
        <v>-27.31193167</v>
      </c>
      <c r="R408">
        <v>-50.313053330000002</v>
      </c>
      <c r="T408" t="s">
        <v>347</v>
      </c>
      <c r="U408" t="s">
        <v>596</v>
      </c>
      <c r="V408" t="s">
        <v>33</v>
      </c>
      <c r="X408" t="s">
        <v>993</v>
      </c>
      <c r="Z408" t="s">
        <v>852</v>
      </c>
      <c r="AA408" t="s">
        <v>994</v>
      </c>
    </row>
    <row r="409" spans="1:27" x14ac:dyDescent="0.3">
      <c r="A409">
        <v>94679221</v>
      </c>
      <c r="B409">
        <v>52219</v>
      </c>
      <c r="D409">
        <v>0</v>
      </c>
      <c r="E409" t="s">
        <v>107</v>
      </c>
      <c r="F409" s="9">
        <v>45504</v>
      </c>
      <c r="G409" t="s">
        <v>351</v>
      </c>
      <c r="H409" t="s">
        <v>344</v>
      </c>
      <c r="I409">
        <v>10</v>
      </c>
      <c r="J409">
        <v>58.2</v>
      </c>
      <c r="K409" t="s">
        <v>684</v>
      </c>
      <c r="L409" t="s">
        <v>685</v>
      </c>
      <c r="T409" t="s">
        <v>317</v>
      </c>
      <c r="U409" t="s">
        <v>37</v>
      </c>
      <c r="V409" t="s">
        <v>609</v>
      </c>
      <c r="W409" s="10" t="s">
        <v>995</v>
      </c>
      <c r="X409" t="s">
        <v>686</v>
      </c>
      <c r="Z409" t="s">
        <v>687</v>
      </c>
      <c r="AA409" t="s">
        <v>996</v>
      </c>
    </row>
    <row r="410" spans="1:27" x14ac:dyDescent="0.3">
      <c r="A410">
        <v>156627</v>
      </c>
      <c r="B410">
        <v>52220</v>
      </c>
      <c r="D410">
        <v>0</v>
      </c>
      <c r="E410" t="s">
        <v>107</v>
      </c>
      <c r="F410" s="9">
        <v>45359</v>
      </c>
      <c r="G410" t="s">
        <v>351</v>
      </c>
      <c r="H410" t="s">
        <v>29</v>
      </c>
      <c r="I410">
        <v>10</v>
      </c>
      <c r="J410">
        <v>58.1</v>
      </c>
      <c r="K410" t="s">
        <v>684</v>
      </c>
      <c r="L410" t="s">
        <v>685</v>
      </c>
      <c r="O410">
        <v>50</v>
      </c>
      <c r="T410" t="s">
        <v>268</v>
      </c>
      <c r="U410" t="s">
        <v>79</v>
      </c>
      <c r="V410" t="s">
        <v>33</v>
      </c>
      <c r="X410" t="s">
        <v>997</v>
      </c>
      <c r="Z410" t="s">
        <v>687</v>
      </c>
      <c r="AA410" t="s">
        <v>998</v>
      </c>
    </row>
    <row r="411" spans="1:27" x14ac:dyDescent="0.3">
      <c r="A411">
        <v>247433864</v>
      </c>
      <c r="B411">
        <v>175946</v>
      </c>
      <c r="D411">
        <v>1</v>
      </c>
      <c r="E411" t="s">
        <v>107</v>
      </c>
      <c r="F411" s="9">
        <v>45762</v>
      </c>
      <c r="G411" t="s">
        <v>658</v>
      </c>
      <c r="H411" t="s">
        <v>344</v>
      </c>
      <c r="I411">
        <v>7</v>
      </c>
      <c r="J411">
        <v>439.36</v>
      </c>
      <c r="K411" t="s">
        <v>999</v>
      </c>
      <c r="L411" t="s">
        <v>1000</v>
      </c>
      <c r="T411" t="s">
        <v>317</v>
      </c>
      <c r="U411" t="s">
        <v>37</v>
      </c>
      <c r="V411" t="s">
        <v>609</v>
      </c>
      <c r="X411" t="s">
        <v>1001</v>
      </c>
      <c r="Z411" t="s">
        <v>670</v>
      </c>
      <c r="AA411" t="s">
        <v>1002</v>
      </c>
    </row>
    <row r="412" spans="1:27" x14ac:dyDescent="0.3">
      <c r="A412">
        <v>246430094</v>
      </c>
      <c r="B412">
        <v>175947</v>
      </c>
      <c r="D412">
        <v>1</v>
      </c>
      <c r="E412" t="s">
        <v>107</v>
      </c>
      <c r="F412" s="9">
        <v>45762</v>
      </c>
      <c r="G412" t="s">
        <v>658</v>
      </c>
      <c r="H412" t="s">
        <v>344</v>
      </c>
      <c r="I412">
        <v>7</v>
      </c>
      <c r="J412">
        <v>439.39</v>
      </c>
      <c r="K412" t="s">
        <v>999</v>
      </c>
      <c r="L412" t="s">
        <v>1000</v>
      </c>
      <c r="T412" t="s">
        <v>613</v>
      </c>
      <c r="U412" t="s">
        <v>94</v>
      </c>
      <c r="V412" t="s">
        <v>668</v>
      </c>
      <c r="X412" t="s">
        <v>1003</v>
      </c>
      <c r="Z412" t="s">
        <v>670</v>
      </c>
      <c r="AA412" t="s">
        <v>1004</v>
      </c>
    </row>
    <row r="413" spans="1:27" x14ac:dyDescent="0.3">
      <c r="A413">
        <v>305343</v>
      </c>
      <c r="B413">
        <v>112909</v>
      </c>
      <c r="D413">
        <v>0</v>
      </c>
      <c r="E413" t="s">
        <v>107</v>
      </c>
      <c r="F413" s="9">
        <v>45397</v>
      </c>
      <c r="G413" t="s">
        <v>108</v>
      </c>
      <c r="H413" t="s">
        <v>29</v>
      </c>
      <c r="I413">
        <v>16</v>
      </c>
      <c r="J413">
        <v>170.3</v>
      </c>
      <c r="K413" t="s">
        <v>772</v>
      </c>
      <c r="L413" t="s">
        <v>773</v>
      </c>
      <c r="O413">
        <v>80</v>
      </c>
      <c r="T413" t="s">
        <v>347</v>
      </c>
      <c r="U413" t="s">
        <v>79</v>
      </c>
      <c r="V413" t="s">
        <v>33</v>
      </c>
      <c r="X413" t="s">
        <v>774</v>
      </c>
      <c r="Z413" t="s">
        <v>116</v>
      </c>
      <c r="AA413" t="s">
        <v>1005</v>
      </c>
    </row>
    <row r="414" spans="1:27" x14ac:dyDescent="0.3">
      <c r="A414">
        <v>305342</v>
      </c>
      <c r="B414">
        <v>112908</v>
      </c>
      <c r="D414">
        <v>0</v>
      </c>
      <c r="E414" t="s">
        <v>107</v>
      </c>
      <c r="F414" s="9">
        <v>45397</v>
      </c>
      <c r="G414" t="s">
        <v>108</v>
      </c>
      <c r="H414" t="s">
        <v>29</v>
      </c>
      <c r="I414">
        <v>16</v>
      </c>
      <c r="J414">
        <v>170.3</v>
      </c>
      <c r="K414" t="s">
        <v>772</v>
      </c>
      <c r="L414" t="s">
        <v>773</v>
      </c>
      <c r="O414">
        <v>80</v>
      </c>
      <c r="T414" t="s">
        <v>268</v>
      </c>
      <c r="U414" t="s">
        <v>79</v>
      </c>
      <c r="V414" t="s">
        <v>33</v>
      </c>
      <c r="X414" t="s">
        <v>774</v>
      </c>
      <c r="Z414" t="s">
        <v>116</v>
      </c>
      <c r="AA414" t="s">
        <v>1006</v>
      </c>
    </row>
    <row r="415" spans="1:27" x14ac:dyDescent="0.3">
      <c r="A415">
        <v>396882</v>
      </c>
      <c r="B415">
        <v>204448</v>
      </c>
      <c r="D415">
        <v>0</v>
      </c>
      <c r="E415" t="s">
        <v>967</v>
      </c>
      <c r="F415" s="9">
        <v>45400</v>
      </c>
      <c r="G415" t="s">
        <v>968</v>
      </c>
      <c r="H415" t="s">
        <v>29</v>
      </c>
      <c r="I415">
        <v>16</v>
      </c>
      <c r="J415">
        <v>38.35</v>
      </c>
      <c r="K415" t="s">
        <v>1007</v>
      </c>
      <c r="L415" t="s">
        <v>1008</v>
      </c>
      <c r="T415" t="s">
        <v>317</v>
      </c>
      <c r="U415" t="s">
        <v>37</v>
      </c>
      <c r="V415" t="s">
        <v>38</v>
      </c>
      <c r="Z415" t="s">
        <v>1009</v>
      </c>
      <c r="AA415" t="s">
        <v>1010</v>
      </c>
    </row>
    <row r="416" spans="1:27" x14ac:dyDescent="0.3">
      <c r="A416">
        <v>425387</v>
      </c>
      <c r="B416">
        <v>232953</v>
      </c>
      <c r="D416">
        <v>0</v>
      </c>
      <c r="E416" t="s">
        <v>967</v>
      </c>
      <c r="F416" s="9">
        <v>45400</v>
      </c>
      <c r="G416" t="s">
        <v>968</v>
      </c>
      <c r="H416" t="s">
        <v>29</v>
      </c>
      <c r="I416">
        <v>16</v>
      </c>
      <c r="J416">
        <v>113.879</v>
      </c>
      <c r="K416" t="s">
        <v>1011</v>
      </c>
      <c r="L416" t="s">
        <v>1012</v>
      </c>
      <c r="T416" t="s">
        <v>569</v>
      </c>
      <c r="U416" t="s">
        <v>37</v>
      </c>
      <c r="V416" t="s">
        <v>609</v>
      </c>
      <c r="Z416" t="s">
        <v>116</v>
      </c>
      <c r="AA416" t="s">
        <v>1013</v>
      </c>
    </row>
    <row r="417" spans="1:27" x14ac:dyDescent="0.3">
      <c r="A417">
        <v>425389</v>
      </c>
      <c r="B417">
        <v>232955</v>
      </c>
      <c r="D417">
        <v>0</v>
      </c>
      <c r="E417" t="s">
        <v>967</v>
      </c>
      <c r="F417" s="9">
        <v>45400</v>
      </c>
      <c r="G417" t="s">
        <v>968</v>
      </c>
      <c r="H417" t="s">
        <v>29</v>
      </c>
      <c r="I417">
        <v>16</v>
      </c>
      <c r="J417">
        <v>116.13500000000001</v>
      </c>
      <c r="K417" t="s">
        <v>1014</v>
      </c>
      <c r="L417" t="s">
        <v>1015</v>
      </c>
      <c r="T417" t="s">
        <v>268</v>
      </c>
      <c r="U417" t="s">
        <v>49</v>
      </c>
      <c r="V417" t="s">
        <v>609</v>
      </c>
      <c r="Z417" t="s">
        <v>116</v>
      </c>
      <c r="AA417" t="s">
        <v>1016</v>
      </c>
    </row>
    <row r="418" spans="1:27" x14ac:dyDescent="0.3">
      <c r="A418">
        <v>425391</v>
      </c>
      <c r="B418">
        <v>232957</v>
      </c>
      <c r="D418">
        <v>0</v>
      </c>
      <c r="E418" t="s">
        <v>967</v>
      </c>
      <c r="F418" s="9">
        <v>45400</v>
      </c>
      <c r="G418" t="s">
        <v>968</v>
      </c>
      <c r="H418" t="s">
        <v>29</v>
      </c>
      <c r="I418">
        <v>16</v>
      </c>
      <c r="J418">
        <v>116.35</v>
      </c>
      <c r="K418" t="s">
        <v>1017</v>
      </c>
      <c r="L418" t="s">
        <v>1018</v>
      </c>
      <c r="T418" t="s">
        <v>317</v>
      </c>
      <c r="U418" t="s">
        <v>37</v>
      </c>
      <c r="V418" t="s">
        <v>33</v>
      </c>
      <c r="Z418" t="s">
        <v>116</v>
      </c>
      <c r="AA418" t="s">
        <v>1019</v>
      </c>
    </row>
    <row r="419" spans="1:27" x14ac:dyDescent="0.3">
      <c r="A419">
        <v>425393</v>
      </c>
      <c r="B419">
        <v>232959</v>
      </c>
      <c r="D419">
        <v>0</v>
      </c>
      <c r="E419" t="s">
        <v>967</v>
      </c>
      <c r="F419" s="9">
        <v>45400</v>
      </c>
      <c r="G419" t="s">
        <v>968</v>
      </c>
      <c r="H419" t="s">
        <v>29</v>
      </c>
      <c r="I419">
        <v>16</v>
      </c>
      <c r="J419">
        <v>116.36</v>
      </c>
      <c r="K419" t="s">
        <v>1017</v>
      </c>
      <c r="L419" t="s">
        <v>1018</v>
      </c>
      <c r="T419" t="s">
        <v>268</v>
      </c>
      <c r="U419" t="s">
        <v>37</v>
      </c>
      <c r="V419" t="s">
        <v>33</v>
      </c>
      <c r="Z419" t="s">
        <v>116</v>
      </c>
      <c r="AA419" t="s">
        <v>1020</v>
      </c>
    </row>
    <row r="420" spans="1:27" x14ac:dyDescent="0.3">
      <c r="A420">
        <v>425395</v>
      </c>
      <c r="B420">
        <v>232961</v>
      </c>
      <c r="D420">
        <v>0</v>
      </c>
      <c r="E420" t="s">
        <v>967</v>
      </c>
      <c r="F420" s="9">
        <v>45400</v>
      </c>
      <c r="G420" t="s">
        <v>968</v>
      </c>
      <c r="H420" t="s">
        <v>29</v>
      </c>
      <c r="I420">
        <v>16</v>
      </c>
      <c r="J420">
        <v>116.458</v>
      </c>
      <c r="K420" t="s">
        <v>1017</v>
      </c>
      <c r="L420" t="s">
        <v>1018</v>
      </c>
      <c r="T420" t="s">
        <v>569</v>
      </c>
      <c r="U420" t="s">
        <v>37</v>
      </c>
      <c r="V420" t="s">
        <v>609</v>
      </c>
      <c r="Z420" t="s">
        <v>116</v>
      </c>
      <c r="AA420" t="s">
        <v>1021</v>
      </c>
    </row>
    <row r="421" spans="1:27" x14ac:dyDescent="0.3">
      <c r="A421">
        <v>533455</v>
      </c>
      <c r="B421">
        <v>232963</v>
      </c>
      <c r="D421">
        <v>0</v>
      </c>
      <c r="E421" t="s">
        <v>967</v>
      </c>
      <c r="F421" s="9">
        <v>45412</v>
      </c>
      <c r="G421" t="s">
        <v>108</v>
      </c>
      <c r="H421" t="s">
        <v>344</v>
      </c>
      <c r="I421">
        <v>16</v>
      </c>
      <c r="J421">
        <v>122.34</v>
      </c>
      <c r="K421" t="s">
        <v>1022</v>
      </c>
      <c r="L421" t="s">
        <v>1023</v>
      </c>
      <c r="T421" t="s">
        <v>347</v>
      </c>
      <c r="U421" t="s">
        <v>37</v>
      </c>
      <c r="V421" t="s">
        <v>609</v>
      </c>
      <c r="X421" t="s">
        <v>1024</v>
      </c>
      <c r="Z421" t="s">
        <v>116</v>
      </c>
      <c r="AA421" t="s">
        <v>1025</v>
      </c>
    </row>
    <row r="422" spans="1:27" x14ac:dyDescent="0.3">
      <c r="A422">
        <v>483937</v>
      </c>
      <c r="B422">
        <v>249465</v>
      </c>
      <c r="D422">
        <v>0</v>
      </c>
      <c r="E422" t="s">
        <v>107</v>
      </c>
      <c r="F422" s="9">
        <v>45412</v>
      </c>
      <c r="G422" t="s">
        <v>108</v>
      </c>
      <c r="H422" t="s">
        <v>29</v>
      </c>
      <c r="I422">
        <v>16</v>
      </c>
      <c r="J422">
        <v>118.2</v>
      </c>
      <c r="K422" t="s">
        <v>1026</v>
      </c>
      <c r="L422" t="s">
        <v>1027</v>
      </c>
      <c r="O422">
        <v>40</v>
      </c>
      <c r="T422" t="s">
        <v>347</v>
      </c>
      <c r="U422" t="s">
        <v>79</v>
      </c>
      <c r="V422" t="s">
        <v>38</v>
      </c>
      <c r="X422" t="s">
        <v>1028</v>
      </c>
      <c r="Z422" t="s">
        <v>116</v>
      </c>
      <c r="AA422" t="s">
        <v>1029</v>
      </c>
    </row>
    <row r="423" spans="1:27" x14ac:dyDescent="0.3">
      <c r="A423">
        <v>483936</v>
      </c>
      <c r="B423">
        <v>249464</v>
      </c>
      <c r="D423">
        <v>0</v>
      </c>
      <c r="E423" t="s">
        <v>107</v>
      </c>
      <c r="F423" s="9">
        <v>45412</v>
      </c>
      <c r="G423" t="s">
        <v>108</v>
      </c>
      <c r="H423" t="s">
        <v>29</v>
      </c>
      <c r="I423">
        <v>16</v>
      </c>
      <c r="J423">
        <v>118.2</v>
      </c>
      <c r="K423" t="s">
        <v>1026</v>
      </c>
      <c r="L423" t="s">
        <v>1027</v>
      </c>
      <c r="O423">
        <v>40</v>
      </c>
      <c r="T423" t="s">
        <v>268</v>
      </c>
      <c r="U423" t="s">
        <v>79</v>
      </c>
      <c r="V423" t="s">
        <v>38</v>
      </c>
      <c r="X423" t="s">
        <v>1028</v>
      </c>
      <c r="Z423" t="s">
        <v>116</v>
      </c>
      <c r="AA423" t="s">
        <v>1030</v>
      </c>
    </row>
    <row r="424" spans="1:27" x14ac:dyDescent="0.3">
      <c r="A424">
        <v>500441</v>
      </c>
      <c r="B424">
        <v>265969</v>
      </c>
      <c r="D424">
        <v>0</v>
      </c>
      <c r="E424" t="s">
        <v>107</v>
      </c>
      <c r="F424" s="9">
        <v>45412</v>
      </c>
      <c r="G424" t="s">
        <v>108</v>
      </c>
      <c r="H424" t="s">
        <v>29</v>
      </c>
      <c r="I424">
        <v>16</v>
      </c>
      <c r="J424">
        <v>118.2</v>
      </c>
      <c r="K424" t="s">
        <v>1026</v>
      </c>
      <c r="L424" t="s">
        <v>1027</v>
      </c>
      <c r="O424">
        <v>70</v>
      </c>
      <c r="T424" t="s">
        <v>317</v>
      </c>
      <c r="U424" t="s">
        <v>37</v>
      </c>
      <c r="V424" t="s">
        <v>668</v>
      </c>
      <c r="X424" t="s">
        <v>1028</v>
      </c>
      <c r="Z424" t="s">
        <v>116</v>
      </c>
      <c r="AA424" t="s">
        <v>1031</v>
      </c>
    </row>
    <row r="425" spans="1:27" x14ac:dyDescent="0.3">
      <c r="A425">
        <v>516948</v>
      </c>
      <c r="B425">
        <v>96346</v>
      </c>
      <c r="D425">
        <v>0</v>
      </c>
      <c r="E425" t="s">
        <v>107</v>
      </c>
      <c r="F425" s="9">
        <v>45412</v>
      </c>
      <c r="G425" t="s">
        <v>108</v>
      </c>
      <c r="H425" t="s">
        <v>344</v>
      </c>
      <c r="I425">
        <v>16</v>
      </c>
      <c r="J425">
        <v>120.1</v>
      </c>
      <c r="K425" t="s">
        <v>1032</v>
      </c>
      <c r="L425" t="s">
        <v>1033</v>
      </c>
      <c r="T425" t="s">
        <v>268</v>
      </c>
      <c r="U425" t="s">
        <v>37</v>
      </c>
      <c r="V425" t="s">
        <v>668</v>
      </c>
      <c r="X425" t="s">
        <v>1034</v>
      </c>
      <c r="Z425" t="s">
        <v>116</v>
      </c>
      <c r="AA425" t="s">
        <v>1035</v>
      </c>
    </row>
    <row r="426" spans="1:27" x14ac:dyDescent="0.3">
      <c r="A426">
        <v>549963</v>
      </c>
      <c r="B426">
        <v>282478</v>
      </c>
      <c r="D426">
        <v>0</v>
      </c>
      <c r="E426" t="s">
        <v>107</v>
      </c>
      <c r="F426" s="9">
        <v>45412</v>
      </c>
      <c r="G426" t="s">
        <v>108</v>
      </c>
      <c r="H426" t="s">
        <v>29</v>
      </c>
      <c r="I426">
        <v>16</v>
      </c>
      <c r="J426">
        <v>120.9</v>
      </c>
      <c r="K426" t="s">
        <v>1022</v>
      </c>
      <c r="L426" t="s">
        <v>1023</v>
      </c>
      <c r="O426">
        <v>40</v>
      </c>
      <c r="T426" t="s">
        <v>268</v>
      </c>
      <c r="U426" t="s">
        <v>79</v>
      </c>
      <c r="V426" t="s">
        <v>38</v>
      </c>
      <c r="X426" t="s">
        <v>1024</v>
      </c>
      <c r="Z426" t="s">
        <v>116</v>
      </c>
      <c r="AA426" t="s">
        <v>1036</v>
      </c>
    </row>
    <row r="427" spans="1:27" x14ac:dyDescent="0.3">
      <c r="A427">
        <v>566475</v>
      </c>
      <c r="B427">
        <v>298990</v>
      </c>
      <c r="D427">
        <v>0</v>
      </c>
      <c r="E427" t="s">
        <v>107</v>
      </c>
      <c r="F427" s="9">
        <v>45412</v>
      </c>
      <c r="G427" t="s">
        <v>108</v>
      </c>
      <c r="H427" t="s">
        <v>29</v>
      </c>
      <c r="I427">
        <v>16</v>
      </c>
      <c r="J427">
        <v>121.5</v>
      </c>
      <c r="K427" t="s">
        <v>1022</v>
      </c>
      <c r="L427" t="s">
        <v>1023</v>
      </c>
      <c r="O427">
        <v>200</v>
      </c>
      <c r="T427" t="s">
        <v>347</v>
      </c>
      <c r="U427" t="s">
        <v>79</v>
      </c>
      <c r="V427" t="s">
        <v>33</v>
      </c>
      <c r="X427" t="s">
        <v>1024</v>
      </c>
      <c r="Z427" t="s">
        <v>116</v>
      </c>
      <c r="AA427" t="s">
        <v>1037</v>
      </c>
    </row>
    <row r="428" spans="1:27" x14ac:dyDescent="0.3">
      <c r="A428">
        <v>566474</v>
      </c>
      <c r="B428">
        <v>298989</v>
      </c>
      <c r="D428">
        <v>0</v>
      </c>
      <c r="E428" t="s">
        <v>107</v>
      </c>
      <c r="F428" s="9">
        <v>45412</v>
      </c>
      <c r="G428" t="s">
        <v>108</v>
      </c>
      <c r="H428" t="s">
        <v>29</v>
      </c>
      <c r="I428">
        <v>16</v>
      </c>
      <c r="J428">
        <v>121.5</v>
      </c>
      <c r="K428" t="s">
        <v>1022</v>
      </c>
      <c r="L428" t="s">
        <v>1023</v>
      </c>
      <c r="O428">
        <v>200</v>
      </c>
      <c r="T428" t="s">
        <v>268</v>
      </c>
      <c r="U428" t="s">
        <v>79</v>
      </c>
      <c r="V428" t="s">
        <v>33</v>
      </c>
      <c r="X428" t="s">
        <v>1024</v>
      </c>
      <c r="Z428" t="s">
        <v>116</v>
      </c>
      <c r="AA428" t="s">
        <v>1038</v>
      </c>
    </row>
    <row r="429" spans="1:27" x14ac:dyDescent="0.3">
      <c r="A429">
        <v>582987</v>
      </c>
      <c r="B429">
        <v>315502</v>
      </c>
      <c r="D429">
        <v>0</v>
      </c>
      <c r="E429" t="s">
        <v>107</v>
      </c>
      <c r="F429" s="9">
        <v>45412</v>
      </c>
      <c r="G429" t="s">
        <v>108</v>
      </c>
      <c r="H429" t="s">
        <v>29</v>
      </c>
      <c r="I429">
        <v>16</v>
      </c>
      <c r="J429">
        <v>124.2</v>
      </c>
      <c r="K429" t="s">
        <v>1039</v>
      </c>
      <c r="L429" t="s">
        <v>1040</v>
      </c>
      <c r="O429">
        <v>15</v>
      </c>
      <c r="T429" t="s">
        <v>347</v>
      </c>
      <c r="U429" t="s">
        <v>144</v>
      </c>
      <c r="V429" t="s">
        <v>33</v>
      </c>
      <c r="X429" t="s">
        <v>1041</v>
      </c>
      <c r="Z429" t="s">
        <v>116</v>
      </c>
      <c r="AA429" t="s">
        <v>1042</v>
      </c>
    </row>
    <row r="430" spans="1:27" x14ac:dyDescent="0.3">
      <c r="A430">
        <v>599502</v>
      </c>
      <c r="B430">
        <v>332017</v>
      </c>
      <c r="D430">
        <v>0</v>
      </c>
      <c r="E430" t="s">
        <v>107</v>
      </c>
      <c r="F430" s="9">
        <v>45412</v>
      </c>
      <c r="G430" t="s">
        <v>108</v>
      </c>
      <c r="H430" t="s">
        <v>29</v>
      </c>
      <c r="I430">
        <v>16</v>
      </c>
      <c r="J430">
        <v>124.2</v>
      </c>
      <c r="K430" t="s">
        <v>1039</v>
      </c>
      <c r="L430" t="s">
        <v>1040</v>
      </c>
      <c r="O430">
        <v>30</v>
      </c>
      <c r="T430" t="s">
        <v>317</v>
      </c>
      <c r="U430" t="s">
        <v>37</v>
      </c>
      <c r="V430" t="s">
        <v>38</v>
      </c>
      <c r="X430" t="s">
        <v>1041</v>
      </c>
      <c r="Z430" t="s">
        <v>116</v>
      </c>
      <c r="AA430" t="s">
        <v>1043</v>
      </c>
    </row>
    <row r="431" spans="1:27" x14ac:dyDescent="0.3">
      <c r="A431">
        <v>616019</v>
      </c>
      <c r="B431">
        <v>348534</v>
      </c>
      <c r="D431">
        <v>0</v>
      </c>
      <c r="E431" t="s">
        <v>107</v>
      </c>
      <c r="F431" s="9">
        <v>45412</v>
      </c>
      <c r="G431" t="s">
        <v>108</v>
      </c>
      <c r="H431" t="s">
        <v>29</v>
      </c>
      <c r="I431">
        <v>16</v>
      </c>
      <c r="J431">
        <v>124.7</v>
      </c>
      <c r="K431" t="s">
        <v>1039</v>
      </c>
      <c r="L431" t="s">
        <v>1040</v>
      </c>
      <c r="O431">
        <v>40</v>
      </c>
      <c r="T431" t="s">
        <v>317</v>
      </c>
      <c r="U431" t="s">
        <v>37</v>
      </c>
      <c r="V431" t="s">
        <v>609</v>
      </c>
      <c r="X431" t="s">
        <v>1041</v>
      </c>
      <c r="Z431" t="s">
        <v>116</v>
      </c>
      <c r="AA431" t="s">
        <v>1044</v>
      </c>
    </row>
    <row r="432" spans="1:27" x14ac:dyDescent="0.3">
      <c r="A432">
        <v>665577</v>
      </c>
      <c r="B432">
        <v>365055</v>
      </c>
      <c r="D432">
        <v>0</v>
      </c>
      <c r="E432" t="s">
        <v>107</v>
      </c>
      <c r="F432" s="9">
        <v>45412</v>
      </c>
      <c r="G432" t="s">
        <v>108</v>
      </c>
      <c r="H432" t="s">
        <v>29</v>
      </c>
      <c r="I432">
        <v>16</v>
      </c>
      <c r="J432">
        <v>125.7</v>
      </c>
      <c r="K432" t="s">
        <v>605</v>
      </c>
      <c r="L432" t="s">
        <v>606</v>
      </c>
      <c r="O432">
        <v>20</v>
      </c>
      <c r="T432" t="s">
        <v>268</v>
      </c>
      <c r="U432" t="s">
        <v>144</v>
      </c>
      <c r="V432" t="s">
        <v>33</v>
      </c>
      <c r="X432" t="s">
        <v>607</v>
      </c>
      <c r="Z432" t="s">
        <v>116</v>
      </c>
      <c r="AA432" t="s">
        <v>1045</v>
      </c>
    </row>
    <row r="433" spans="1:27" x14ac:dyDescent="0.3">
      <c r="A433">
        <v>715148</v>
      </c>
      <c r="B433">
        <v>381581</v>
      </c>
      <c r="D433">
        <v>0</v>
      </c>
      <c r="E433" t="s">
        <v>107</v>
      </c>
      <c r="F433" s="9">
        <v>45412</v>
      </c>
      <c r="G433" t="s">
        <v>108</v>
      </c>
      <c r="H433" t="s">
        <v>29</v>
      </c>
      <c r="I433">
        <v>16</v>
      </c>
      <c r="J433">
        <v>133.65</v>
      </c>
      <c r="K433" t="s">
        <v>611</v>
      </c>
      <c r="L433" t="s">
        <v>612</v>
      </c>
      <c r="O433">
        <v>40</v>
      </c>
      <c r="T433" t="s">
        <v>347</v>
      </c>
      <c r="U433" t="s">
        <v>79</v>
      </c>
      <c r="V433" t="s">
        <v>33</v>
      </c>
      <c r="X433" t="s">
        <v>615</v>
      </c>
      <c r="Z433" t="s">
        <v>116</v>
      </c>
      <c r="AA433" t="s">
        <v>1046</v>
      </c>
    </row>
    <row r="434" spans="1:27" x14ac:dyDescent="0.3">
      <c r="A434">
        <v>715147</v>
      </c>
      <c r="B434">
        <v>381580</v>
      </c>
      <c r="D434">
        <v>0</v>
      </c>
      <c r="E434" t="s">
        <v>107</v>
      </c>
      <c r="F434" s="9">
        <v>45412</v>
      </c>
      <c r="G434" t="s">
        <v>108</v>
      </c>
      <c r="H434" t="s">
        <v>29</v>
      </c>
      <c r="I434">
        <v>16</v>
      </c>
      <c r="J434">
        <v>133.65</v>
      </c>
      <c r="K434" t="s">
        <v>611</v>
      </c>
      <c r="L434" t="s">
        <v>612</v>
      </c>
      <c r="O434">
        <v>40</v>
      </c>
      <c r="T434" t="s">
        <v>268</v>
      </c>
      <c r="U434" t="s">
        <v>79</v>
      </c>
      <c r="V434" t="s">
        <v>33</v>
      </c>
      <c r="X434" t="s">
        <v>615</v>
      </c>
      <c r="Z434" t="s">
        <v>116</v>
      </c>
      <c r="AA434" t="s">
        <v>1047</v>
      </c>
    </row>
    <row r="435" spans="1:27" x14ac:dyDescent="0.3">
      <c r="A435">
        <v>731674</v>
      </c>
      <c r="B435">
        <v>96353</v>
      </c>
      <c r="D435">
        <v>0</v>
      </c>
      <c r="E435" t="s">
        <v>107</v>
      </c>
      <c r="F435" s="9">
        <v>45412</v>
      </c>
      <c r="G435" t="s">
        <v>108</v>
      </c>
      <c r="H435" t="s">
        <v>344</v>
      </c>
      <c r="I435">
        <v>16</v>
      </c>
      <c r="J435">
        <v>136.75</v>
      </c>
      <c r="K435" t="s">
        <v>1048</v>
      </c>
      <c r="L435" t="s">
        <v>1049</v>
      </c>
      <c r="T435" t="s">
        <v>317</v>
      </c>
      <c r="U435" t="s">
        <v>37</v>
      </c>
      <c r="V435" t="s">
        <v>609</v>
      </c>
      <c r="X435" t="s">
        <v>1050</v>
      </c>
      <c r="Z435" t="s">
        <v>116</v>
      </c>
      <c r="AA435" t="s">
        <v>1051</v>
      </c>
    </row>
    <row r="436" spans="1:27" x14ac:dyDescent="0.3">
      <c r="A436">
        <v>748201</v>
      </c>
      <c r="B436">
        <v>96352</v>
      </c>
      <c r="D436">
        <v>0</v>
      </c>
      <c r="E436" t="s">
        <v>107</v>
      </c>
      <c r="F436" s="9">
        <v>45412</v>
      </c>
      <c r="G436" t="s">
        <v>108</v>
      </c>
      <c r="H436" t="s">
        <v>344</v>
      </c>
      <c r="I436">
        <v>16</v>
      </c>
      <c r="J436">
        <v>136.69999999999999</v>
      </c>
      <c r="K436" t="s">
        <v>1048</v>
      </c>
      <c r="L436" t="s">
        <v>1049</v>
      </c>
      <c r="T436" t="s">
        <v>613</v>
      </c>
      <c r="U436" t="s">
        <v>79</v>
      </c>
      <c r="V436" t="s">
        <v>33</v>
      </c>
      <c r="W436" s="10" t="s">
        <v>1052</v>
      </c>
      <c r="X436" t="s">
        <v>1050</v>
      </c>
      <c r="Z436" t="s">
        <v>116</v>
      </c>
      <c r="AA436" t="s">
        <v>1053</v>
      </c>
    </row>
    <row r="437" spans="1:27" x14ac:dyDescent="0.3">
      <c r="A437">
        <v>272181</v>
      </c>
      <c r="B437">
        <v>79747</v>
      </c>
      <c r="D437">
        <v>0</v>
      </c>
      <c r="E437" t="s">
        <v>107</v>
      </c>
      <c r="F437" s="9">
        <v>45389</v>
      </c>
      <c r="G437" t="s">
        <v>108</v>
      </c>
      <c r="H437" t="s">
        <v>29</v>
      </c>
      <c r="I437">
        <v>16</v>
      </c>
      <c r="J437">
        <v>116.8</v>
      </c>
      <c r="K437" t="s">
        <v>1054</v>
      </c>
      <c r="L437" t="s">
        <v>1055</v>
      </c>
      <c r="O437">
        <v>20</v>
      </c>
      <c r="T437" t="s">
        <v>317</v>
      </c>
      <c r="U437" t="s">
        <v>37</v>
      </c>
      <c r="V437" t="s">
        <v>668</v>
      </c>
      <c r="W437" s="10" t="s">
        <v>1056</v>
      </c>
      <c r="X437" t="s">
        <v>1057</v>
      </c>
      <c r="Z437" t="s">
        <v>116</v>
      </c>
    </row>
    <row r="438" spans="1:27" x14ac:dyDescent="0.3">
      <c r="A438">
        <v>272182</v>
      </c>
      <c r="B438">
        <v>79748</v>
      </c>
      <c r="D438">
        <v>0</v>
      </c>
      <c r="E438" t="s">
        <v>107</v>
      </c>
      <c r="F438" s="9">
        <v>45389</v>
      </c>
      <c r="G438" t="s">
        <v>108</v>
      </c>
      <c r="H438" t="s">
        <v>29</v>
      </c>
      <c r="I438">
        <v>16</v>
      </c>
      <c r="J438">
        <v>116.4</v>
      </c>
      <c r="K438" t="s">
        <v>1017</v>
      </c>
      <c r="L438" t="s">
        <v>1018</v>
      </c>
      <c r="O438">
        <v>70</v>
      </c>
      <c r="T438" t="s">
        <v>613</v>
      </c>
      <c r="U438" t="s">
        <v>79</v>
      </c>
      <c r="V438" t="s">
        <v>33</v>
      </c>
      <c r="W438" s="10" t="s">
        <v>1058</v>
      </c>
      <c r="X438" t="s">
        <v>1059</v>
      </c>
      <c r="Z438" t="s">
        <v>116</v>
      </c>
    </row>
    <row r="439" spans="1:27" x14ac:dyDescent="0.3">
      <c r="A439">
        <v>272183</v>
      </c>
      <c r="B439">
        <v>79749</v>
      </c>
      <c r="D439">
        <v>0</v>
      </c>
      <c r="E439" t="s">
        <v>107</v>
      </c>
      <c r="F439" s="9">
        <v>45389</v>
      </c>
      <c r="G439" t="s">
        <v>108</v>
      </c>
      <c r="H439" t="s">
        <v>29</v>
      </c>
      <c r="I439">
        <v>16</v>
      </c>
      <c r="J439">
        <v>116.16</v>
      </c>
      <c r="K439" t="s">
        <v>1014</v>
      </c>
      <c r="L439" t="s">
        <v>1015</v>
      </c>
      <c r="T439" t="s">
        <v>317</v>
      </c>
      <c r="U439" t="s">
        <v>37</v>
      </c>
      <c r="V439" t="s">
        <v>668</v>
      </c>
      <c r="W439" s="10" t="s">
        <v>1060</v>
      </c>
      <c r="X439" t="s">
        <v>1061</v>
      </c>
      <c r="Z439" t="s">
        <v>116</v>
      </c>
    </row>
    <row r="440" spans="1:27" x14ac:dyDescent="0.3">
      <c r="A440">
        <v>272184</v>
      </c>
      <c r="B440">
        <v>79750</v>
      </c>
      <c r="D440">
        <v>0</v>
      </c>
      <c r="E440" t="s">
        <v>107</v>
      </c>
      <c r="F440" s="9">
        <v>45389</v>
      </c>
      <c r="G440" t="s">
        <v>108</v>
      </c>
      <c r="H440" t="s">
        <v>29</v>
      </c>
      <c r="I440">
        <v>16</v>
      </c>
      <c r="J440">
        <v>115.8</v>
      </c>
      <c r="K440" t="s">
        <v>600</v>
      </c>
      <c r="L440" t="s">
        <v>601</v>
      </c>
      <c r="O440">
        <v>100</v>
      </c>
      <c r="T440" t="s">
        <v>613</v>
      </c>
      <c r="U440" t="s">
        <v>79</v>
      </c>
      <c r="V440" t="s">
        <v>33</v>
      </c>
      <c r="W440" s="10" t="s">
        <v>1062</v>
      </c>
      <c r="X440" t="s">
        <v>1063</v>
      </c>
      <c r="Z440" t="s">
        <v>116</v>
      </c>
    </row>
    <row r="441" spans="1:27" x14ac:dyDescent="0.3">
      <c r="A441">
        <v>272185</v>
      </c>
      <c r="B441">
        <v>79751</v>
      </c>
      <c r="D441">
        <v>0</v>
      </c>
      <c r="E441" t="s">
        <v>107</v>
      </c>
      <c r="F441" s="9">
        <v>45389</v>
      </c>
      <c r="G441" t="s">
        <v>108</v>
      </c>
      <c r="H441" t="s">
        <v>29</v>
      </c>
      <c r="I441">
        <v>16</v>
      </c>
      <c r="J441">
        <v>115.8</v>
      </c>
      <c r="K441" t="s">
        <v>600</v>
      </c>
      <c r="L441" t="s">
        <v>601</v>
      </c>
      <c r="O441">
        <v>30</v>
      </c>
      <c r="T441" t="s">
        <v>317</v>
      </c>
      <c r="U441" t="s">
        <v>37</v>
      </c>
      <c r="V441" t="s">
        <v>668</v>
      </c>
      <c r="W441" s="10" t="s">
        <v>1060</v>
      </c>
      <c r="X441" t="s">
        <v>1063</v>
      </c>
      <c r="Z441" t="s">
        <v>116</v>
      </c>
    </row>
    <row r="442" spans="1:27" x14ac:dyDescent="0.3">
      <c r="A442">
        <v>272186</v>
      </c>
      <c r="B442">
        <v>79752</v>
      </c>
      <c r="D442">
        <v>0</v>
      </c>
      <c r="E442" t="s">
        <v>107</v>
      </c>
      <c r="F442" s="9">
        <v>45389</v>
      </c>
      <c r="G442" t="s">
        <v>108</v>
      </c>
      <c r="H442" t="s">
        <v>29</v>
      </c>
      <c r="I442">
        <v>16</v>
      </c>
      <c r="J442">
        <v>115.3</v>
      </c>
      <c r="K442" t="s">
        <v>1064</v>
      </c>
      <c r="L442" t="s">
        <v>1065</v>
      </c>
      <c r="O442">
        <v>20</v>
      </c>
      <c r="T442" t="s">
        <v>317</v>
      </c>
      <c r="U442" t="s">
        <v>37</v>
      </c>
      <c r="V442" t="s">
        <v>668</v>
      </c>
      <c r="W442" s="10" t="s">
        <v>1056</v>
      </c>
      <c r="X442" t="s">
        <v>1066</v>
      </c>
      <c r="Z442" t="s">
        <v>116</v>
      </c>
    </row>
    <row r="443" spans="1:27" x14ac:dyDescent="0.3">
      <c r="A443">
        <v>272187</v>
      </c>
      <c r="B443">
        <v>79753</v>
      </c>
      <c r="D443">
        <v>0</v>
      </c>
      <c r="E443" t="s">
        <v>107</v>
      </c>
      <c r="F443" s="9">
        <v>45389</v>
      </c>
      <c r="G443" t="s">
        <v>108</v>
      </c>
      <c r="H443" t="s">
        <v>29</v>
      </c>
      <c r="I443">
        <v>16</v>
      </c>
      <c r="J443">
        <v>114.16</v>
      </c>
      <c r="K443" t="s">
        <v>1067</v>
      </c>
      <c r="L443" t="s">
        <v>1068</v>
      </c>
      <c r="O443">
        <v>20</v>
      </c>
      <c r="T443" t="s">
        <v>317</v>
      </c>
      <c r="U443" t="s">
        <v>37</v>
      </c>
      <c r="V443" t="s">
        <v>668</v>
      </c>
      <c r="W443" s="10" t="s">
        <v>1060</v>
      </c>
      <c r="X443" t="s">
        <v>1069</v>
      </c>
      <c r="Z443" t="s">
        <v>116</v>
      </c>
    </row>
    <row r="444" spans="1:27" x14ac:dyDescent="0.3">
      <c r="A444">
        <v>272188</v>
      </c>
      <c r="B444">
        <v>79754</v>
      </c>
      <c r="D444">
        <v>0</v>
      </c>
      <c r="E444" t="s">
        <v>107</v>
      </c>
      <c r="F444" s="9">
        <v>45389</v>
      </c>
      <c r="G444" t="s">
        <v>108</v>
      </c>
      <c r="H444" t="s">
        <v>29</v>
      </c>
      <c r="I444">
        <v>16</v>
      </c>
      <c r="J444">
        <v>113.8</v>
      </c>
      <c r="K444" t="s">
        <v>1011</v>
      </c>
      <c r="L444" t="s">
        <v>1012</v>
      </c>
      <c r="O444">
        <v>15</v>
      </c>
      <c r="T444" t="s">
        <v>317</v>
      </c>
      <c r="U444" t="s">
        <v>37</v>
      </c>
      <c r="V444" t="s">
        <v>668</v>
      </c>
      <c r="W444" s="10" t="s">
        <v>1070</v>
      </c>
      <c r="X444" t="s">
        <v>1071</v>
      </c>
      <c r="Z444" t="s">
        <v>116</v>
      </c>
    </row>
    <row r="445" spans="1:27" x14ac:dyDescent="0.3">
      <c r="A445">
        <v>288781</v>
      </c>
      <c r="B445">
        <v>96347</v>
      </c>
      <c r="D445">
        <v>0</v>
      </c>
      <c r="E445" t="s">
        <v>107</v>
      </c>
      <c r="F445" s="9">
        <v>45391</v>
      </c>
      <c r="G445" t="s">
        <v>108</v>
      </c>
      <c r="H445" t="s">
        <v>29</v>
      </c>
      <c r="I445">
        <v>16</v>
      </c>
      <c r="J445">
        <v>121.2</v>
      </c>
      <c r="K445" t="s">
        <v>1022</v>
      </c>
      <c r="L445" t="s">
        <v>1023</v>
      </c>
      <c r="O445">
        <v>20</v>
      </c>
      <c r="T445" t="s">
        <v>317</v>
      </c>
      <c r="U445" t="s">
        <v>37</v>
      </c>
      <c r="V445" t="s">
        <v>609</v>
      </c>
      <c r="X445" t="s">
        <v>1072</v>
      </c>
      <c r="Z445" t="s">
        <v>116</v>
      </c>
    </row>
    <row r="446" spans="1:27" x14ac:dyDescent="0.3">
      <c r="A446">
        <v>288782</v>
      </c>
      <c r="B446">
        <v>96348</v>
      </c>
      <c r="D446">
        <v>0</v>
      </c>
      <c r="E446" t="s">
        <v>107</v>
      </c>
      <c r="F446" s="9">
        <v>45391</v>
      </c>
      <c r="G446" t="s">
        <v>108</v>
      </c>
      <c r="H446" t="s">
        <v>29</v>
      </c>
      <c r="I446">
        <v>16</v>
      </c>
      <c r="J446">
        <v>124.30800000000001</v>
      </c>
      <c r="K446" t="s">
        <v>1039</v>
      </c>
      <c r="L446" t="s">
        <v>1040</v>
      </c>
      <c r="O446">
        <v>10</v>
      </c>
      <c r="T446" t="s">
        <v>268</v>
      </c>
      <c r="U446" t="s">
        <v>79</v>
      </c>
      <c r="V446" t="s">
        <v>609</v>
      </c>
      <c r="X446" t="s">
        <v>1073</v>
      </c>
      <c r="Z446" t="s">
        <v>116</v>
      </c>
    </row>
    <row r="447" spans="1:27" x14ac:dyDescent="0.3">
      <c r="A447">
        <v>797793</v>
      </c>
      <c r="B447">
        <v>398112</v>
      </c>
      <c r="D447">
        <v>0</v>
      </c>
      <c r="E447" t="s">
        <v>107</v>
      </c>
      <c r="F447" s="9">
        <v>45416</v>
      </c>
      <c r="G447" t="s">
        <v>108</v>
      </c>
      <c r="H447" t="s">
        <v>29</v>
      </c>
      <c r="I447">
        <v>16</v>
      </c>
      <c r="J447">
        <v>219.19</v>
      </c>
      <c r="K447" t="s">
        <v>689</v>
      </c>
      <c r="L447" t="s">
        <v>690</v>
      </c>
      <c r="O447">
        <v>80</v>
      </c>
      <c r="T447" t="s">
        <v>317</v>
      </c>
      <c r="U447" t="s">
        <v>37</v>
      </c>
      <c r="V447" t="s">
        <v>38</v>
      </c>
      <c r="X447" t="s">
        <v>851</v>
      </c>
      <c r="Z447" t="s">
        <v>852</v>
      </c>
      <c r="AA447" t="s">
        <v>1074</v>
      </c>
    </row>
    <row r="448" spans="1:27" x14ac:dyDescent="0.3">
      <c r="A448">
        <v>814328</v>
      </c>
      <c r="B448">
        <v>414647</v>
      </c>
      <c r="D448">
        <v>0</v>
      </c>
      <c r="E448" t="s">
        <v>107</v>
      </c>
      <c r="F448" s="9">
        <v>45416</v>
      </c>
      <c r="G448" t="s">
        <v>108</v>
      </c>
      <c r="H448" t="s">
        <v>29</v>
      </c>
      <c r="I448">
        <v>16</v>
      </c>
      <c r="J448">
        <v>219.18600000000001</v>
      </c>
      <c r="K448" t="s">
        <v>689</v>
      </c>
      <c r="L448" t="s">
        <v>690</v>
      </c>
      <c r="O448">
        <v>1</v>
      </c>
      <c r="T448" t="s">
        <v>268</v>
      </c>
      <c r="U448" t="s">
        <v>49</v>
      </c>
      <c r="V448" t="s">
        <v>38</v>
      </c>
      <c r="X448" t="s">
        <v>851</v>
      </c>
      <c r="Z448" t="s">
        <v>852</v>
      </c>
      <c r="AA448" t="s">
        <v>1075</v>
      </c>
    </row>
    <row r="449" spans="1:27" x14ac:dyDescent="0.3">
      <c r="A449">
        <v>830866</v>
      </c>
      <c r="B449">
        <v>431185</v>
      </c>
      <c r="D449">
        <v>0</v>
      </c>
      <c r="E449" t="s">
        <v>107</v>
      </c>
      <c r="F449" s="9">
        <v>45416</v>
      </c>
      <c r="G449" t="s">
        <v>108</v>
      </c>
      <c r="H449" t="s">
        <v>29</v>
      </c>
      <c r="I449">
        <v>16</v>
      </c>
      <c r="J449">
        <v>219.18799999999999</v>
      </c>
      <c r="K449" t="s">
        <v>689</v>
      </c>
      <c r="L449" t="s">
        <v>690</v>
      </c>
      <c r="O449">
        <v>130</v>
      </c>
      <c r="T449" t="s">
        <v>347</v>
      </c>
      <c r="U449" t="s">
        <v>79</v>
      </c>
      <c r="V449" t="s">
        <v>38</v>
      </c>
      <c r="X449" t="s">
        <v>851</v>
      </c>
      <c r="Z449" t="s">
        <v>852</v>
      </c>
      <c r="AA449" t="s">
        <v>1076</v>
      </c>
    </row>
    <row r="450" spans="1:27" x14ac:dyDescent="0.3">
      <c r="A450">
        <v>830865</v>
      </c>
      <c r="B450">
        <v>431184</v>
      </c>
      <c r="D450">
        <v>0</v>
      </c>
      <c r="E450" t="s">
        <v>107</v>
      </c>
      <c r="F450" s="9">
        <v>45416</v>
      </c>
      <c r="G450" t="s">
        <v>108</v>
      </c>
      <c r="H450" t="s">
        <v>29</v>
      </c>
      <c r="I450">
        <v>16</v>
      </c>
      <c r="J450">
        <v>219.18799999999999</v>
      </c>
      <c r="K450" t="s">
        <v>689</v>
      </c>
      <c r="L450" t="s">
        <v>690</v>
      </c>
      <c r="O450">
        <v>130</v>
      </c>
      <c r="T450" t="s">
        <v>268</v>
      </c>
      <c r="U450" t="s">
        <v>79</v>
      </c>
      <c r="V450" t="s">
        <v>38</v>
      </c>
      <c r="X450" t="s">
        <v>851</v>
      </c>
      <c r="Z450" t="s">
        <v>852</v>
      </c>
      <c r="AA450" t="s">
        <v>1077</v>
      </c>
    </row>
    <row r="451" spans="1:27" x14ac:dyDescent="0.3">
      <c r="A451">
        <v>847405</v>
      </c>
      <c r="B451">
        <v>447724</v>
      </c>
      <c r="D451">
        <v>0</v>
      </c>
      <c r="E451" t="s">
        <v>107</v>
      </c>
      <c r="F451" s="9">
        <v>45416</v>
      </c>
      <c r="G451" t="s">
        <v>108</v>
      </c>
      <c r="H451" t="s">
        <v>29</v>
      </c>
      <c r="I451">
        <v>16</v>
      </c>
      <c r="J451">
        <v>219.6</v>
      </c>
      <c r="K451" t="s">
        <v>689</v>
      </c>
      <c r="L451" t="s">
        <v>690</v>
      </c>
      <c r="O451">
        <v>60</v>
      </c>
      <c r="T451" t="s">
        <v>347</v>
      </c>
      <c r="U451" t="s">
        <v>79</v>
      </c>
      <c r="V451" t="s">
        <v>33</v>
      </c>
      <c r="X451" t="s">
        <v>851</v>
      </c>
      <c r="Z451" t="s">
        <v>852</v>
      </c>
      <c r="AA451" t="s">
        <v>1078</v>
      </c>
    </row>
    <row r="452" spans="1:27" x14ac:dyDescent="0.3">
      <c r="A452">
        <v>847404</v>
      </c>
      <c r="B452">
        <v>447723</v>
      </c>
      <c r="D452">
        <v>0</v>
      </c>
      <c r="E452" t="s">
        <v>107</v>
      </c>
      <c r="F452" s="9">
        <v>45416</v>
      </c>
      <c r="G452" t="s">
        <v>108</v>
      </c>
      <c r="H452" t="s">
        <v>29</v>
      </c>
      <c r="I452">
        <v>16</v>
      </c>
      <c r="J452">
        <v>219.6</v>
      </c>
      <c r="K452" t="s">
        <v>689</v>
      </c>
      <c r="L452" t="s">
        <v>690</v>
      </c>
      <c r="O452">
        <v>60</v>
      </c>
      <c r="T452" t="s">
        <v>268</v>
      </c>
      <c r="U452" t="s">
        <v>79</v>
      </c>
      <c r="V452" t="s">
        <v>33</v>
      </c>
      <c r="X452" t="s">
        <v>851</v>
      </c>
      <c r="Z452" t="s">
        <v>852</v>
      </c>
      <c r="AA452" t="s">
        <v>1079</v>
      </c>
    </row>
    <row r="453" spans="1:27" x14ac:dyDescent="0.3">
      <c r="A453">
        <v>863946</v>
      </c>
      <c r="B453">
        <v>464265</v>
      </c>
      <c r="D453">
        <v>0</v>
      </c>
      <c r="E453" t="s">
        <v>107</v>
      </c>
      <c r="F453" s="9">
        <v>45416</v>
      </c>
      <c r="G453" t="s">
        <v>108</v>
      </c>
      <c r="H453" t="s">
        <v>29</v>
      </c>
      <c r="I453">
        <v>16</v>
      </c>
      <c r="J453">
        <v>219.65</v>
      </c>
      <c r="K453" t="s">
        <v>689</v>
      </c>
      <c r="L453" t="s">
        <v>690</v>
      </c>
      <c r="O453">
        <v>50</v>
      </c>
      <c r="T453" t="s">
        <v>347</v>
      </c>
      <c r="U453" t="s">
        <v>37</v>
      </c>
      <c r="V453" t="s">
        <v>609</v>
      </c>
      <c r="X453" t="s">
        <v>851</v>
      </c>
      <c r="Z453" t="s">
        <v>852</v>
      </c>
      <c r="AA453" t="s">
        <v>1080</v>
      </c>
    </row>
    <row r="454" spans="1:27" x14ac:dyDescent="0.3">
      <c r="A454">
        <v>863945</v>
      </c>
      <c r="B454">
        <v>464264</v>
      </c>
      <c r="D454">
        <v>0</v>
      </c>
      <c r="E454" t="s">
        <v>107</v>
      </c>
      <c r="F454" s="9">
        <v>45416</v>
      </c>
      <c r="G454" t="s">
        <v>108</v>
      </c>
      <c r="H454" t="s">
        <v>29</v>
      </c>
      <c r="I454">
        <v>16</v>
      </c>
      <c r="J454">
        <v>219.65</v>
      </c>
      <c r="K454" t="s">
        <v>689</v>
      </c>
      <c r="L454" t="s">
        <v>690</v>
      </c>
      <c r="O454">
        <v>50</v>
      </c>
      <c r="T454" t="s">
        <v>268</v>
      </c>
      <c r="U454" t="s">
        <v>37</v>
      </c>
      <c r="V454" t="s">
        <v>609</v>
      </c>
      <c r="X454" t="s">
        <v>851</v>
      </c>
      <c r="Z454" t="s">
        <v>852</v>
      </c>
      <c r="AA454" t="s">
        <v>1081</v>
      </c>
    </row>
    <row r="455" spans="1:27" x14ac:dyDescent="0.3">
      <c r="A455">
        <v>94065560</v>
      </c>
      <c r="B455">
        <v>480868</v>
      </c>
      <c r="D455">
        <v>0</v>
      </c>
      <c r="E455" t="s">
        <v>107</v>
      </c>
      <c r="F455" s="9">
        <v>45475</v>
      </c>
      <c r="G455" t="s">
        <v>968</v>
      </c>
      <c r="H455" t="s">
        <v>442</v>
      </c>
      <c r="I455">
        <v>16</v>
      </c>
      <c r="J455">
        <v>238.4</v>
      </c>
      <c r="K455" t="s">
        <v>711</v>
      </c>
      <c r="L455" t="s">
        <v>121</v>
      </c>
      <c r="T455" t="s">
        <v>347</v>
      </c>
      <c r="U455" t="s">
        <v>79</v>
      </c>
      <c r="V455" t="s">
        <v>62</v>
      </c>
      <c r="Z455" t="s">
        <v>852</v>
      </c>
      <c r="AA455" t="s">
        <v>1082</v>
      </c>
    </row>
    <row r="456" spans="1:27" x14ac:dyDescent="0.3">
      <c r="A456">
        <v>94094064</v>
      </c>
      <c r="B456">
        <v>480867</v>
      </c>
      <c r="D456">
        <v>0</v>
      </c>
      <c r="E456" t="s">
        <v>107</v>
      </c>
      <c r="F456" s="9">
        <v>45475</v>
      </c>
      <c r="G456" t="s">
        <v>968</v>
      </c>
      <c r="H456" t="s">
        <v>442</v>
      </c>
      <c r="I456">
        <v>16</v>
      </c>
      <c r="J456">
        <v>238.4</v>
      </c>
      <c r="K456" t="s">
        <v>711</v>
      </c>
      <c r="L456" t="s">
        <v>121</v>
      </c>
      <c r="T456" t="s">
        <v>268</v>
      </c>
      <c r="U456" t="s">
        <v>79</v>
      </c>
      <c r="V456" t="s">
        <v>62</v>
      </c>
      <c r="Z456" t="s">
        <v>852</v>
      </c>
      <c r="AA456" t="s">
        <v>1083</v>
      </c>
    </row>
    <row r="457" spans="1:27" x14ac:dyDescent="0.3">
      <c r="A457">
        <v>897155</v>
      </c>
      <c r="B457">
        <v>497474</v>
      </c>
      <c r="D457">
        <v>0</v>
      </c>
      <c r="E457" t="s">
        <v>107</v>
      </c>
      <c r="F457" s="9">
        <v>45418</v>
      </c>
      <c r="G457" t="s">
        <v>108</v>
      </c>
      <c r="H457" t="s">
        <v>29</v>
      </c>
      <c r="I457">
        <v>16</v>
      </c>
      <c r="J457">
        <v>238.4</v>
      </c>
      <c r="K457" t="s">
        <v>711</v>
      </c>
      <c r="L457" t="s">
        <v>121</v>
      </c>
      <c r="O457">
        <v>40</v>
      </c>
      <c r="T457" t="s">
        <v>347</v>
      </c>
      <c r="U457" t="s">
        <v>37</v>
      </c>
      <c r="V457" t="s">
        <v>609</v>
      </c>
      <c r="X457" t="s">
        <v>1084</v>
      </c>
      <c r="Z457" t="s">
        <v>852</v>
      </c>
      <c r="AA457" t="s">
        <v>1085</v>
      </c>
    </row>
    <row r="458" spans="1:27" x14ac:dyDescent="0.3">
      <c r="A458">
        <v>897154</v>
      </c>
      <c r="B458">
        <v>497473</v>
      </c>
      <c r="D458">
        <v>0</v>
      </c>
      <c r="E458" t="s">
        <v>107</v>
      </c>
      <c r="F458" s="9">
        <v>45418</v>
      </c>
      <c r="G458" t="s">
        <v>108</v>
      </c>
      <c r="H458" t="s">
        <v>29</v>
      </c>
      <c r="I458">
        <v>16</v>
      </c>
      <c r="J458">
        <v>238.4</v>
      </c>
      <c r="K458" t="s">
        <v>711</v>
      </c>
      <c r="L458" t="s">
        <v>121</v>
      </c>
      <c r="O458">
        <v>40</v>
      </c>
      <c r="T458" t="s">
        <v>268</v>
      </c>
      <c r="U458" t="s">
        <v>37</v>
      </c>
      <c r="V458" t="s">
        <v>609</v>
      </c>
      <c r="X458" t="s">
        <v>1084</v>
      </c>
      <c r="Z458" t="s">
        <v>852</v>
      </c>
      <c r="AA458" t="s">
        <v>1086</v>
      </c>
    </row>
    <row r="459" spans="1:27" x14ac:dyDescent="0.3">
      <c r="A459">
        <v>930380</v>
      </c>
      <c r="B459">
        <v>514092</v>
      </c>
      <c r="D459">
        <v>0</v>
      </c>
      <c r="E459" t="s">
        <v>107</v>
      </c>
      <c r="F459" s="9">
        <v>45420</v>
      </c>
      <c r="G459" t="s">
        <v>108</v>
      </c>
      <c r="H459" t="s">
        <v>29</v>
      </c>
      <c r="I459">
        <v>16</v>
      </c>
      <c r="J459">
        <v>229.32900000000001</v>
      </c>
      <c r="K459" t="s">
        <v>120</v>
      </c>
      <c r="L459" t="s">
        <v>705</v>
      </c>
      <c r="O459">
        <v>60</v>
      </c>
      <c r="T459" t="s">
        <v>317</v>
      </c>
      <c r="U459" t="s">
        <v>37</v>
      </c>
      <c r="V459" t="s">
        <v>38</v>
      </c>
      <c r="X459" t="s">
        <v>993</v>
      </c>
      <c r="Z459" t="s">
        <v>852</v>
      </c>
      <c r="AA459" t="s">
        <v>1087</v>
      </c>
    </row>
    <row r="460" spans="1:27" x14ac:dyDescent="0.3">
      <c r="A460">
        <v>947003</v>
      </c>
      <c r="B460">
        <v>530715</v>
      </c>
      <c r="D460">
        <v>0</v>
      </c>
      <c r="E460" t="s">
        <v>107</v>
      </c>
      <c r="F460" s="9">
        <v>45420</v>
      </c>
      <c r="G460" t="s">
        <v>108</v>
      </c>
      <c r="H460" t="s">
        <v>29</v>
      </c>
      <c r="I460">
        <v>16</v>
      </c>
      <c r="J460">
        <v>229.33799999999999</v>
      </c>
      <c r="K460" t="s">
        <v>120</v>
      </c>
      <c r="L460" t="s">
        <v>705</v>
      </c>
      <c r="O460">
        <v>60</v>
      </c>
      <c r="T460" t="s">
        <v>347</v>
      </c>
      <c r="U460" t="s">
        <v>37</v>
      </c>
      <c r="V460" t="s">
        <v>609</v>
      </c>
      <c r="X460" t="s">
        <v>993</v>
      </c>
      <c r="Z460" t="s">
        <v>852</v>
      </c>
      <c r="AA460" t="s">
        <v>1088</v>
      </c>
    </row>
    <row r="461" spans="1:27" x14ac:dyDescent="0.3">
      <c r="A461">
        <v>947002</v>
      </c>
      <c r="B461">
        <v>530714</v>
      </c>
      <c r="D461">
        <v>0</v>
      </c>
      <c r="E461" t="s">
        <v>107</v>
      </c>
      <c r="F461" s="9">
        <v>45420</v>
      </c>
      <c r="G461" t="s">
        <v>108</v>
      </c>
      <c r="H461" t="s">
        <v>29</v>
      </c>
      <c r="I461">
        <v>16</v>
      </c>
      <c r="J461">
        <v>229.33799999999999</v>
      </c>
      <c r="K461" t="s">
        <v>120</v>
      </c>
      <c r="L461" t="s">
        <v>705</v>
      </c>
      <c r="O461">
        <v>60</v>
      </c>
      <c r="T461" t="s">
        <v>268</v>
      </c>
      <c r="U461" t="s">
        <v>37</v>
      </c>
      <c r="V461" t="s">
        <v>609</v>
      </c>
      <c r="X461" t="s">
        <v>993</v>
      </c>
      <c r="Z461" t="s">
        <v>852</v>
      </c>
      <c r="AA461" t="s">
        <v>1089</v>
      </c>
    </row>
    <row r="462" spans="1:27" x14ac:dyDescent="0.3">
      <c r="A462">
        <v>963627</v>
      </c>
      <c r="B462">
        <v>547339</v>
      </c>
      <c r="D462">
        <v>0</v>
      </c>
      <c r="E462" t="s">
        <v>107</v>
      </c>
      <c r="F462" s="9">
        <v>45420</v>
      </c>
      <c r="G462" t="s">
        <v>108</v>
      </c>
      <c r="H462" t="s">
        <v>29</v>
      </c>
      <c r="I462">
        <v>16</v>
      </c>
      <c r="J462">
        <v>229.4</v>
      </c>
      <c r="K462" t="s">
        <v>120</v>
      </c>
      <c r="L462" t="s">
        <v>705</v>
      </c>
      <c r="O462">
        <v>300</v>
      </c>
      <c r="T462" t="s">
        <v>347</v>
      </c>
      <c r="U462" t="s">
        <v>79</v>
      </c>
      <c r="V462" t="s">
        <v>38</v>
      </c>
      <c r="X462" t="s">
        <v>993</v>
      </c>
      <c r="Z462" t="s">
        <v>852</v>
      </c>
      <c r="AA462" t="s">
        <v>1090</v>
      </c>
    </row>
    <row r="463" spans="1:27" x14ac:dyDescent="0.3">
      <c r="A463">
        <v>963626</v>
      </c>
      <c r="B463">
        <v>547338</v>
      </c>
      <c r="D463">
        <v>0</v>
      </c>
      <c r="E463" t="s">
        <v>107</v>
      </c>
      <c r="F463" s="9">
        <v>45420</v>
      </c>
      <c r="G463" t="s">
        <v>108</v>
      </c>
      <c r="H463" t="s">
        <v>29</v>
      </c>
      <c r="I463">
        <v>16</v>
      </c>
      <c r="J463">
        <v>229.4</v>
      </c>
      <c r="K463" t="s">
        <v>120</v>
      </c>
      <c r="L463" t="s">
        <v>705</v>
      </c>
      <c r="O463">
        <v>300</v>
      </c>
      <c r="T463" t="s">
        <v>268</v>
      </c>
      <c r="U463" t="s">
        <v>79</v>
      </c>
      <c r="V463" t="s">
        <v>38</v>
      </c>
      <c r="X463" t="s">
        <v>993</v>
      </c>
      <c r="Z463" t="s">
        <v>852</v>
      </c>
      <c r="AA463" t="s">
        <v>1091</v>
      </c>
    </row>
    <row r="464" spans="1:27" x14ac:dyDescent="0.3">
      <c r="A464">
        <v>996879</v>
      </c>
      <c r="B464">
        <v>563966</v>
      </c>
      <c r="D464">
        <v>0</v>
      </c>
      <c r="E464" t="s">
        <v>107</v>
      </c>
      <c r="F464" s="9">
        <v>45420</v>
      </c>
      <c r="G464" t="s">
        <v>108</v>
      </c>
      <c r="H464" t="s">
        <v>29</v>
      </c>
      <c r="I464">
        <v>16</v>
      </c>
      <c r="J464">
        <v>230.107</v>
      </c>
      <c r="K464" t="s">
        <v>120</v>
      </c>
      <c r="L464" t="s">
        <v>705</v>
      </c>
      <c r="O464">
        <v>60</v>
      </c>
      <c r="T464" t="s">
        <v>347</v>
      </c>
      <c r="U464" t="s">
        <v>37</v>
      </c>
      <c r="V464" t="s">
        <v>609</v>
      </c>
      <c r="X464" t="s">
        <v>993</v>
      </c>
      <c r="Z464" t="s">
        <v>852</v>
      </c>
      <c r="AA464" t="s">
        <v>1092</v>
      </c>
    </row>
    <row r="465" spans="1:27" x14ac:dyDescent="0.3">
      <c r="A465">
        <v>996878</v>
      </c>
      <c r="B465">
        <v>563965</v>
      </c>
      <c r="D465">
        <v>0</v>
      </c>
      <c r="E465" t="s">
        <v>107</v>
      </c>
      <c r="F465" s="9">
        <v>45420</v>
      </c>
      <c r="G465" t="s">
        <v>108</v>
      </c>
      <c r="H465" t="s">
        <v>29</v>
      </c>
      <c r="I465">
        <v>16</v>
      </c>
      <c r="J465">
        <v>230.107</v>
      </c>
      <c r="K465" t="s">
        <v>120</v>
      </c>
      <c r="L465" t="s">
        <v>705</v>
      </c>
      <c r="O465">
        <v>60</v>
      </c>
      <c r="T465" t="s">
        <v>268</v>
      </c>
      <c r="U465" t="s">
        <v>37</v>
      </c>
      <c r="V465" t="s">
        <v>609</v>
      </c>
      <c r="X465" t="s">
        <v>993</v>
      </c>
      <c r="Z465" t="s">
        <v>852</v>
      </c>
      <c r="AA465" t="s">
        <v>1093</v>
      </c>
    </row>
    <row r="466" spans="1:27" x14ac:dyDescent="0.3">
      <c r="A466">
        <v>1013507</v>
      </c>
      <c r="B466">
        <v>580594</v>
      </c>
      <c r="D466">
        <v>0</v>
      </c>
      <c r="E466" t="s">
        <v>107</v>
      </c>
      <c r="F466" s="9">
        <v>45420</v>
      </c>
      <c r="G466" t="s">
        <v>108</v>
      </c>
      <c r="H466" t="s">
        <v>29</v>
      </c>
      <c r="I466">
        <v>16</v>
      </c>
      <c r="J466">
        <v>230.107</v>
      </c>
      <c r="K466" t="s">
        <v>120</v>
      </c>
      <c r="L466" t="s">
        <v>705</v>
      </c>
      <c r="O466">
        <v>60</v>
      </c>
      <c r="T466" t="s">
        <v>317</v>
      </c>
      <c r="U466" t="s">
        <v>37</v>
      </c>
      <c r="V466" t="s">
        <v>609</v>
      </c>
      <c r="X466" t="s">
        <v>993</v>
      </c>
      <c r="Z466" t="s">
        <v>852</v>
      </c>
      <c r="AA466" t="s">
        <v>1094</v>
      </c>
    </row>
    <row r="467" spans="1:27" x14ac:dyDescent="0.3">
      <c r="A467">
        <v>1030139</v>
      </c>
      <c r="B467">
        <v>597226</v>
      </c>
      <c r="D467">
        <v>0</v>
      </c>
      <c r="E467" t="s">
        <v>107</v>
      </c>
      <c r="F467" s="9">
        <v>45421</v>
      </c>
      <c r="G467" t="s">
        <v>108</v>
      </c>
      <c r="H467" t="s">
        <v>29</v>
      </c>
      <c r="I467">
        <v>16</v>
      </c>
      <c r="J467">
        <v>246.7</v>
      </c>
      <c r="K467" t="s">
        <v>1095</v>
      </c>
      <c r="L467" t="s">
        <v>1096</v>
      </c>
      <c r="O467">
        <v>200</v>
      </c>
      <c r="T467" t="s">
        <v>347</v>
      </c>
      <c r="U467" t="s">
        <v>37</v>
      </c>
      <c r="V467" t="s">
        <v>668</v>
      </c>
      <c r="X467" t="s">
        <v>1097</v>
      </c>
      <c r="Z467" t="s">
        <v>852</v>
      </c>
      <c r="AA467" t="s">
        <v>1098</v>
      </c>
    </row>
    <row r="468" spans="1:27" x14ac:dyDescent="0.3">
      <c r="A468">
        <v>1030138</v>
      </c>
      <c r="B468">
        <v>597225</v>
      </c>
      <c r="D468">
        <v>0</v>
      </c>
      <c r="E468" t="s">
        <v>107</v>
      </c>
      <c r="F468" s="9">
        <v>45421</v>
      </c>
      <c r="G468" t="s">
        <v>108</v>
      </c>
      <c r="H468" t="s">
        <v>29</v>
      </c>
      <c r="I468">
        <v>16</v>
      </c>
      <c r="J468">
        <v>246.7</v>
      </c>
      <c r="K468" t="s">
        <v>1095</v>
      </c>
      <c r="L468" t="s">
        <v>1096</v>
      </c>
      <c r="O468">
        <v>200</v>
      </c>
      <c r="T468" t="s">
        <v>268</v>
      </c>
      <c r="U468" t="s">
        <v>37</v>
      </c>
      <c r="V468" t="s">
        <v>668</v>
      </c>
      <c r="X468" t="s">
        <v>1097</v>
      </c>
      <c r="Z468" t="s">
        <v>852</v>
      </c>
      <c r="AA468" t="s">
        <v>1099</v>
      </c>
    </row>
    <row r="469" spans="1:27" x14ac:dyDescent="0.3">
      <c r="A469">
        <v>246070532</v>
      </c>
      <c r="B469">
        <v>628805</v>
      </c>
      <c r="D469">
        <v>1</v>
      </c>
      <c r="E469" t="s">
        <v>107</v>
      </c>
      <c r="F469" s="9">
        <v>45696</v>
      </c>
      <c r="G469" t="s">
        <v>351</v>
      </c>
      <c r="H469" t="s">
        <v>109</v>
      </c>
      <c r="I469">
        <v>25</v>
      </c>
      <c r="J469">
        <v>332.77499999999998</v>
      </c>
      <c r="K469" t="s">
        <v>345</v>
      </c>
      <c r="L469" t="s">
        <v>346</v>
      </c>
      <c r="T469" t="s">
        <v>569</v>
      </c>
      <c r="U469" t="s">
        <v>113</v>
      </c>
      <c r="V469" t="s">
        <v>38</v>
      </c>
      <c r="X469" t="s">
        <v>1100</v>
      </c>
      <c r="Z469" t="s">
        <v>349</v>
      </c>
      <c r="AA469" t="s">
        <v>1101</v>
      </c>
    </row>
    <row r="470" spans="1:27" x14ac:dyDescent="0.3">
      <c r="A470">
        <v>94740526</v>
      </c>
      <c r="B470">
        <v>740003</v>
      </c>
      <c r="D470">
        <v>0</v>
      </c>
      <c r="E470" t="s">
        <v>107</v>
      </c>
      <c r="F470" s="9">
        <v>45501</v>
      </c>
      <c r="G470" t="s">
        <v>884</v>
      </c>
      <c r="H470" t="s">
        <v>29</v>
      </c>
      <c r="I470">
        <v>1</v>
      </c>
      <c r="J470">
        <v>335.24099999999999</v>
      </c>
      <c r="K470" t="s">
        <v>1102</v>
      </c>
      <c r="L470" t="s">
        <v>907</v>
      </c>
      <c r="T470" t="s">
        <v>569</v>
      </c>
      <c r="U470" t="s">
        <v>812</v>
      </c>
      <c r="V470" t="s">
        <v>609</v>
      </c>
      <c r="W470" s="10" t="s">
        <v>1103</v>
      </c>
      <c r="X470" t="s">
        <v>1104</v>
      </c>
      <c r="Z470" t="s">
        <v>892</v>
      </c>
      <c r="AA470" t="s">
        <v>1105</v>
      </c>
    </row>
    <row r="471" spans="1:27" x14ac:dyDescent="0.3">
      <c r="A471">
        <v>94802054</v>
      </c>
      <c r="B471">
        <v>801531</v>
      </c>
      <c r="D471">
        <v>0</v>
      </c>
      <c r="E471" t="s">
        <v>107</v>
      </c>
      <c r="F471" s="9">
        <v>45501</v>
      </c>
      <c r="G471" t="s">
        <v>884</v>
      </c>
      <c r="H471" t="s">
        <v>29</v>
      </c>
      <c r="I471">
        <v>1</v>
      </c>
      <c r="J471">
        <v>335.2</v>
      </c>
      <c r="K471" t="s">
        <v>1102</v>
      </c>
      <c r="L471" t="s">
        <v>907</v>
      </c>
      <c r="O471">
        <v>100</v>
      </c>
      <c r="T471" t="s">
        <v>347</v>
      </c>
      <c r="U471" t="s">
        <v>566</v>
      </c>
      <c r="V471" t="s">
        <v>609</v>
      </c>
      <c r="W471" s="10" t="s">
        <v>1106</v>
      </c>
      <c r="X471" t="s">
        <v>1107</v>
      </c>
      <c r="Z471" t="s">
        <v>892</v>
      </c>
      <c r="AA471" t="s">
        <v>1108</v>
      </c>
    </row>
    <row r="472" spans="1:27" x14ac:dyDescent="0.3">
      <c r="A472">
        <v>94863584</v>
      </c>
      <c r="B472">
        <v>863061</v>
      </c>
      <c r="D472">
        <v>0</v>
      </c>
      <c r="E472" t="s">
        <v>107</v>
      </c>
      <c r="F472" s="9">
        <v>45501</v>
      </c>
      <c r="G472" t="s">
        <v>884</v>
      </c>
      <c r="H472" t="s">
        <v>29</v>
      </c>
      <c r="I472">
        <v>1</v>
      </c>
      <c r="J472">
        <v>335.125</v>
      </c>
      <c r="K472" t="s">
        <v>1102</v>
      </c>
      <c r="L472" t="s">
        <v>907</v>
      </c>
      <c r="T472" t="s">
        <v>317</v>
      </c>
      <c r="U472" t="s">
        <v>812</v>
      </c>
      <c r="V472" t="s">
        <v>609</v>
      </c>
      <c r="X472" t="s">
        <v>1109</v>
      </c>
      <c r="Z472" t="s">
        <v>892</v>
      </c>
      <c r="AA472" t="s">
        <v>1110</v>
      </c>
    </row>
    <row r="473" spans="1:27" x14ac:dyDescent="0.3">
      <c r="A473">
        <v>94925117</v>
      </c>
      <c r="B473">
        <v>924594</v>
      </c>
      <c r="D473">
        <v>0</v>
      </c>
      <c r="E473" t="s">
        <v>107</v>
      </c>
      <c r="F473" s="9">
        <v>45501</v>
      </c>
      <c r="G473" t="s">
        <v>884</v>
      </c>
      <c r="H473" t="s">
        <v>29</v>
      </c>
      <c r="I473">
        <v>1</v>
      </c>
      <c r="J473">
        <v>335.08</v>
      </c>
      <c r="K473" t="s">
        <v>1102</v>
      </c>
      <c r="L473" t="s">
        <v>907</v>
      </c>
      <c r="T473" t="s">
        <v>347</v>
      </c>
      <c r="U473" t="s">
        <v>566</v>
      </c>
      <c r="V473" t="s">
        <v>609</v>
      </c>
      <c r="W473" s="10" t="s">
        <v>1111</v>
      </c>
      <c r="X473" t="s">
        <v>1112</v>
      </c>
      <c r="Z473" t="s">
        <v>892</v>
      </c>
      <c r="AA473" t="s">
        <v>1113</v>
      </c>
    </row>
    <row r="474" spans="1:27" x14ac:dyDescent="0.3">
      <c r="A474">
        <v>94925116</v>
      </c>
      <c r="B474">
        <v>924593</v>
      </c>
      <c r="D474">
        <v>0</v>
      </c>
      <c r="E474" t="s">
        <v>107</v>
      </c>
      <c r="F474" s="9">
        <v>45501</v>
      </c>
      <c r="G474" t="s">
        <v>884</v>
      </c>
      <c r="H474" t="s">
        <v>29</v>
      </c>
      <c r="I474">
        <v>1</v>
      </c>
      <c r="J474">
        <v>335.08</v>
      </c>
      <c r="K474" t="s">
        <v>1102</v>
      </c>
      <c r="L474" t="s">
        <v>907</v>
      </c>
      <c r="T474" t="s">
        <v>268</v>
      </c>
      <c r="U474" t="s">
        <v>566</v>
      </c>
      <c r="V474" t="s">
        <v>609</v>
      </c>
      <c r="W474" s="10" t="s">
        <v>1111</v>
      </c>
      <c r="X474" t="s">
        <v>1112</v>
      </c>
      <c r="Z474" t="s">
        <v>892</v>
      </c>
      <c r="AA474" t="s">
        <v>1114</v>
      </c>
    </row>
    <row r="475" spans="1:27" x14ac:dyDescent="0.3">
      <c r="A475">
        <v>94986650</v>
      </c>
      <c r="B475">
        <v>986127</v>
      </c>
      <c r="D475">
        <v>0</v>
      </c>
      <c r="E475" t="s">
        <v>107</v>
      </c>
      <c r="F475" s="9">
        <v>45501</v>
      </c>
      <c r="G475" t="s">
        <v>884</v>
      </c>
      <c r="H475" t="s">
        <v>29</v>
      </c>
      <c r="I475">
        <v>1</v>
      </c>
      <c r="J475">
        <v>335.06</v>
      </c>
      <c r="K475" t="s">
        <v>1102</v>
      </c>
      <c r="L475" t="s">
        <v>907</v>
      </c>
      <c r="O475">
        <v>15</v>
      </c>
      <c r="T475" t="s">
        <v>347</v>
      </c>
      <c r="U475" t="s">
        <v>49</v>
      </c>
      <c r="V475" t="s">
        <v>609</v>
      </c>
      <c r="X475" t="s">
        <v>1115</v>
      </c>
      <c r="Z475" t="s">
        <v>892</v>
      </c>
      <c r="AA475" t="s">
        <v>1116</v>
      </c>
    </row>
    <row r="476" spans="1:27" x14ac:dyDescent="0.3">
      <c r="A476">
        <v>246058477</v>
      </c>
      <c r="B476">
        <v>1047663</v>
      </c>
      <c r="D476">
        <v>1</v>
      </c>
      <c r="E476" t="s">
        <v>107</v>
      </c>
      <c r="F476" s="9">
        <v>45668</v>
      </c>
      <c r="G476" t="s">
        <v>658</v>
      </c>
      <c r="H476" t="s">
        <v>344</v>
      </c>
      <c r="I476">
        <v>1</v>
      </c>
      <c r="J476">
        <v>335.05</v>
      </c>
      <c r="K476" t="s">
        <v>1102</v>
      </c>
      <c r="L476" t="s">
        <v>907</v>
      </c>
      <c r="T476" t="s">
        <v>347</v>
      </c>
      <c r="U476" t="s">
        <v>94</v>
      </c>
      <c r="V476" t="s">
        <v>609</v>
      </c>
      <c r="X476" t="s">
        <v>1117</v>
      </c>
      <c r="Z476" t="s">
        <v>892</v>
      </c>
      <c r="AA476" t="s">
        <v>1118</v>
      </c>
    </row>
    <row r="477" spans="1:27" x14ac:dyDescent="0.3">
      <c r="A477">
        <v>95109724</v>
      </c>
      <c r="B477">
        <v>1109201</v>
      </c>
      <c r="D477">
        <v>0</v>
      </c>
      <c r="E477" t="s">
        <v>107</v>
      </c>
      <c r="F477" s="9">
        <v>45501</v>
      </c>
      <c r="G477" t="s">
        <v>884</v>
      </c>
      <c r="H477" t="s">
        <v>29</v>
      </c>
      <c r="I477">
        <v>1</v>
      </c>
      <c r="J477">
        <v>335.03</v>
      </c>
      <c r="K477" t="s">
        <v>1102</v>
      </c>
      <c r="L477" t="s">
        <v>907</v>
      </c>
      <c r="O477">
        <v>40</v>
      </c>
      <c r="T477" t="s">
        <v>347</v>
      </c>
      <c r="U477" t="s">
        <v>79</v>
      </c>
      <c r="V477" t="s">
        <v>609</v>
      </c>
      <c r="X477" t="s">
        <v>1119</v>
      </c>
      <c r="Z477" t="s">
        <v>892</v>
      </c>
      <c r="AA477" t="s">
        <v>1120</v>
      </c>
    </row>
    <row r="478" spans="1:27" x14ac:dyDescent="0.3">
      <c r="A478">
        <v>95171264</v>
      </c>
      <c r="B478">
        <v>1170741</v>
      </c>
      <c r="D478">
        <v>0</v>
      </c>
      <c r="E478" t="s">
        <v>107</v>
      </c>
      <c r="F478" s="9">
        <v>45501</v>
      </c>
      <c r="G478" t="s">
        <v>884</v>
      </c>
      <c r="H478" t="s">
        <v>29</v>
      </c>
      <c r="I478">
        <v>1</v>
      </c>
      <c r="J478">
        <v>334.98</v>
      </c>
      <c r="K478" t="s">
        <v>1102</v>
      </c>
      <c r="L478" t="s">
        <v>907</v>
      </c>
      <c r="T478" t="s">
        <v>268</v>
      </c>
      <c r="U478" t="s">
        <v>566</v>
      </c>
      <c r="V478" t="s">
        <v>609</v>
      </c>
      <c r="X478" t="s">
        <v>1121</v>
      </c>
      <c r="Z478" t="s">
        <v>892</v>
      </c>
      <c r="AA478" t="s">
        <v>1122</v>
      </c>
    </row>
    <row r="479" spans="1:27" x14ac:dyDescent="0.3">
      <c r="A479">
        <v>95294351</v>
      </c>
      <c r="B479">
        <v>1293828</v>
      </c>
      <c r="D479">
        <v>0</v>
      </c>
      <c r="E479" t="s">
        <v>107</v>
      </c>
      <c r="F479" s="9">
        <v>45501</v>
      </c>
      <c r="G479" t="s">
        <v>884</v>
      </c>
      <c r="H479" t="s">
        <v>29</v>
      </c>
      <c r="I479">
        <v>1</v>
      </c>
      <c r="J479">
        <v>334.97500000000002</v>
      </c>
      <c r="K479" t="s">
        <v>1102</v>
      </c>
      <c r="L479" t="s">
        <v>907</v>
      </c>
      <c r="T479" t="s">
        <v>268</v>
      </c>
      <c r="U479" t="s">
        <v>37</v>
      </c>
      <c r="V479" t="s">
        <v>609</v>
      </c>
      <c r="X479" t="s">
        <v>1123</v>
      </c>
      <c r="Z479" t="s">
        <v>892</v>
      </c>
      <c r="AA479" t="s">
        <v>1124</v>
      </c>
    </row>
    <row r="480" spans="1:27" x14ac:dyDescent="0.3">
      <c r="A480">
        <v>95355898</v>
      </c>
      <c r="B480">
        <v>1355375</v>
      </c>
      <c r="D480">
        <v>0</v>
      </c>
      <c r="E480" t="s">
        <v>107</v>
      </c>
      <c r="F480" s="9">
        <v>45501</v>
      </c>
      <c r="G480" t="s">
        <v>884</v>
      </c>
      <c r="H480" t="s">
        <v>29</v>
      </c>
      <c r="I480">
        <v>1</v>
      </c>
      <c r="J480">
        <v>334.96</v>
      </c>
      <c r="K480" t="s">
        <v>1102</v>
      </c>
      <c r="L480" t="s">
        <v>907</v>
      </c>
      <c r="O480">
        <v>15</v>
      </c>
      <c r="T480" t="s">
        <v>268</v>
      </c>
      <c r="U480" t="s">
        <v>566</v>
      </c>
      <c r="V480" t="s">
        <v>609</v>
      </c>
      <c r="X480" t="s">
        <v>1125</v>
      </c>
      <c r="Z480" t="s">
        <v>892</v>
      </c>
      <c r="AA480" t="s">
        <v>1126</v>
      </c>
    </row>
    <row r="481" spans="1:27" x14ac:dyDescent="0.3">
      <c r="A481">
        <v>95417447</v>
      </c>
      <c r="B481">
        <v>1416924</v>
      </c>
      <c r="D481">
        <v>0</v>
      </c>
      <c r="E481" t="s">
        <v>107</v>
      </c>
      <c r="F481" s="9">
        <v>45501</v>
      </c>
      <c r="G481" t="s">
        <v>884</v>
      </c>
      <c r="H481" t="s">
        <v>29</v>
      </c>
      <c r="I481">
        <v>1</v>
      </c>
      <c r="J481">
        <v>334.95499999999998</v>
      </c>
      <c r="K481" t="s">
        <v>1102</v>
      </c>
      <c r="L481" t="s">
        <v>907</v>
      </c>
      <c r="O481">
        <v>30</v>
      </c>
      <c r="T481" t="s">
        <v>268</v>
      </c>
      <c r="U481" t="s">
        <v>49</v>
      </c>
      <c r="V481" t="s">
        <v>609</v>
      </c>
      <c r="X481" t="s">
        <v>1127</v>
      </c>
      <c r="Z481" t="s">
        <v>892</v>
      </c>
      <c r="AA481" t="s">
        <v>1128</v>
      </c>
    </row>
    <row r="482" spans="1:27" x14ac:dyDescent="0.3">
      <c r="A482">
        <v>95478999</v>
      </c>
      <c r="B482">
        <v>1478476</v>
      </c>
      <c r="D482">
        <v>0</v>
      </c>
      <c r="E482" t="s">
        <v>107</v>
      </c>
      <c r="F482" s="9">
        <v>45501</v>
      </c>
      <c r="G482" t="s">
        <v>884</v>
      </c>
      <c r="H482" t="s">
        <v>29</v>
      </c>
      <c r="I482">
        <v>1</v>
      </c>
      <c r="J482">
        <v>334.935</v>
      </c>
      <c r="K482" t="s">
        <v>1102</v>
      </c>
      <c r="L482" t="s">
        <v>907</v>
      </c>
      <c r="O482">
        <v>20</v>
      </c>
      <c r="T482" t="s">
        <v>347</v>
      </c>
      <c r="U482" t="s">
        <v>566</v>
      </c>
      <c r="V482" t="s">
        <v>609</v>
      </c>
      <c r="X482" t="s">
        <v>1129</v>
      </c>
      <c r="Z482" t="s">
        <v>892</v>
      </c>
      <c r="AA482" t="s">
        <v>1130</v>
      </c>
    </row>
    <row r="483" spans="1:27" x14ac:dyDescent="0.3">
      <c r="A483">
        <v>95478998</v>
      </c>
      <c r="B483">
        <v>1478475</v>
      </c>
      <c r="D483">
        <v>0</v>
      </c>
      <c r="E483" t="s">
        <v>107</v>
      </c>
      <c r="F483" s="9">
        <v>45501</v>
      </c>
      <c r="G483" t="s">
        <v>884</v>
      </c>
      <c r="H483" t="s">
        <v>29</v>
      </c>
      <c r="I483">
        <v>1</v>
      </c>
      <c r="J483">
        <v>334.935</v>
      </c>
      <c r="K483" t="s">
        <v>1102</v>
      </c>
      <c r="L483" t="s">
        <v>907</v>
      </c>
      <c r="O483">
        <v>20</v>
      </c>
      <c r="T483" t="s">
        <v>268</v>
      </c>
      <c r="U483" t="s">
        <v>566</v>
      </c>
      <c r="V483" t="s">
        <v>609</v>
      </c>
      <c r="X483" t="s">
        <v>1129</v>
      </c>
      <c r="Z483" t="s">
        <v>892</v>
      </c>
      <c r="AA483" t="s">
        <v>1131</v>
      </c>
    </row>
    <row r="484" spans="1:27" x14ac:dyDescent="0.3">
      <c r="A484">
        <v>95540551</v>
      </c>
      <c r="B484">
        <v>1540028</v>
      </c>
      <c r="D484">
        <v>0</v>
      </c>
      <c r="E484" t="s">
        <v>107</v>
      </c>
      <c r="F484" s="9">
        <v>45501</v>
      </c>
      <c r="G484" t="s">
        <v>884</v>
      </c>
      <c r="H484" t="s">
        <v>29</v>
      </c>
      <c r="I484">
        <v>1</v>
      </c>
      <c r="J484">
        <v>334.92</v>
      </c>
      <c r="K484" t="s">
        <v>1102</v>
      </c>
      <c r="L484" t="s">
        <v>907</v>
      </c>
      <c r="T484" t="s">
        <v>1132</v>
      </c>
      <c r="U484" t="s">
        <v>933</v>
      </c>
      <c r="V484" t="s">
        <v>609</v>
      </c>
      <c r="W484" s="10" t="s">
        <v>1133</v>
      </c>
      <c r="X484" t="s">
        <v>1134</v>
      </c>
      <c r="Z484" t="s">
        <v>892</v>
      </c>
      <c r="AA484" t="s">
        <v>1135</v>
      </c>
    </row>
    <row r="485" spans="1:27" x14ac:dyDescent="0.3">
      <c r="A485">
        <v>95663662</v>
      </c>
      <c r="B485">
        <v>1601585</v>
      </c>
      <c r="D485">
        <v>0</v>
      </c>
      <c r="E485" t="s">
        <v>107</v>
      </c>
      <c r="F485" s="9">
        <v>45501</v>
      </c>
      <c r="G485" t="s">
        <v>884</v>
      </c>
      <c r="H485" t="s">
        <v>29</v>
      </c>
      <c r="I485">
        <v>1</v>
      </c>
      <c r="J485">
        <v>334.85</v>
      </c>
      <c r="K485" t="s">
        <v>1102</v>
      </c>
      <c r="L485" t="s">
        <v>907</v>
      </c>
      <c r="O485">
        <v>20</v>
      </c>
      <c r="T485" t="s">
        <v>317</v>
      </c>
      <c r="U485" t="s">
        <v>812</v>
      </c>
      <c r="V485" t="s">
        <v>609</v>
      </c>
      <c r="X485" t="s">
        <v>1136</v>
      </c>
      <c r="Z485" t="s">
        <v>892</v>
      </c>
      <c r="AA485" t="s">
        <v>1137</v>
      </c>
    </row>
    <row r="486" spans="1:27" x14ac:dyDescent="0.3">
      <c r="A486">
        <v>95786782</v>
      </c>
      <c r="B486">
        <v>1724705</v>
      </c>
      <c r="D486">
        <v>0</v>
      </c>
      <c r="E486" t="s">
        <v>107</v>
      </c>
      <c r="F486" s="9">
        <v>45501</v>
      </c>
      <c r="G486" t="s">
        <v>884</v>
      </c>
      <c r="H486" t="s">
        <v>29</v>
      </c>
      <c r="I486">
        <v>1</v>
      </c>
      <c r="J486">
        <v>333.55599999999998</v>
      </c>
      <c r="K486" t="s">
        <v>1102</v>
      </c>
      <c r="L486" t="s">
        <v>890</v>
      </c>
      <c r="T486" t="s">
        <v>569</v>
      </c>
      <c r="U486" t="s">
        <v>812</v>
      </c>
      <c r="V486" t="s">
        <v>609</v>
      </c>
      <c r="W486" s="10" t="s">
        <v>1138</v>
      </c>
      <c r="X486" t="s">
        <v>1139</v>
      </c>
      <c r="Z486" t="s">
        <v>892</v>
      </c>
      <c r="AA486" t="s">
        <v>1140</v>
      </c>
    </row>
    <row r="487" spans="1:27" x14ac:dyDescent="0.3">
      <c r="A487">
        <v>245835465</v>
      </c>
      <c r="B487">
        <v>1786270</v>
      </c>
      <c r="D487">
        <v>1</v>
      </c>
      <c r="E487" t="s">
        <v>107</v>
      </c>
      <c r="F487" s="9">
        <v>45668</v>
      </c>
      <c r="G487" t="s">
        <v>658</v>
      </c>
      <c r="H487" t="s">
        <v>344</v>
      </c>
      <c r="I487">
        <v>1</v>
      </c>
      <c r="J487">
        <v>333.15</v>
      </c>
      <c r="K487" t="s">
        <v>1102</v>
      </c>
      <c r="L487" t="s">
        <v>890</v>
      </c>
      <c r="T487" t="s">
        <v>268</v>
      </c>
      <c r="U487" t="s">
        <v>37</v>
      </c>
      <c r="V487" t="s">
        <v>609</v>
      </c>
      <c r="X487" t="s">
        <v>1141</v>
      </c>
      <c r="Z487" t="s">
        <v>892</v>
      </c>
      <c r="AA487" t="s">
        <v>1142</v>
      </c>
    </row>
    <row r="488" spans="1:27" x14ac:dyDescent="0.3">
      <c r="A488">
        <v>96156181</v>
      </c>
      <c r="B488">
        <v>1847840</v>
      </c>
      <c r="D488">
        <v>0</v>
      </c>
      <c r="E488" t="s">
        <v>107</v>
      </c>
      <c r="F488" s="9">
        <v>45501</v>
      </c>
      <c r="G488" t="s">
        <v>884</v>
      </c>
      <c r="H488" t="s">
        <v>29</v>
      </c>
      <c r="I488">
        <v>1</v>
      </c>
      <c r="J488">
        <v>332.76</v>
      </c>
      <c r="K488" t="s">
        <v>1102</v>
      </c>
      <c r="L488" t="s">
        <v>890</v>
      </c>
      <c r="T488" t="s">
        <v>317</v>
      </c>
      <c r="U488" t="s">
        <v>144</v>
      </c>
      <c r="V488" t="s">
        <v>668</v>
      </c>
      <c r="W488" s="10" t="s">
        <v>1143</v>
      </c>
      <c r="X488" t="s">
        <v>1144</v>
      </c>
      <c r="Z488" t="s">
        <v>892</v>
      </c>
      <c r="AA488" t="s">
        <v>1145</v>
      </c>
    </row>
    <row r="489" spans="1:27" x14ac:dyDescent="0.3">
      <c r="A489">
        <v>96340898</v>
      </c>
      <c r="B489">
        <v>1909414</v>
      </c>
      <c r="D489">
        <v>0</v>
      </c>
      <c r="E489" t="s">
        <v>107</v>
      </c>
      <c r="F489" s="9">
        <v>45501</v>
      </c>
      <c r="G489" t="s">
        <v>884</v>
      </c>
      <c r="H489" t="s">
        <v>29</v>
      </c>
      <c r="I489">
        <v>1</v>
      </c>
      <c r="J489">
        <v>332.75</v>
      </c>
      <c r="K489" t="s">
        <v>1102</v>
      </c>
      <c r="L489" t="s">
        <v>890</v>
      </c>
      <c r="T489" t="s">
        <v>317</v>
      </c>
      <c r="U489" t="s">
        <v>144</v>
      </c>
      <c r="V489" t="s">
        <v>33</v>
      </c>
      <c r="W489" s="10" t="s">
        <v>1143</v>
      </c>
      <c r="X489" t="s">
        <v>1146</v>
      </c>
      <c r="Z489" t="s">
        <v>892</v>
      </c>
      <c r="AA489" t="s">
        <v>1147</v>
      </c>
    </row>
    <row r="490" spans="1:27" x14ac:dyDescent="0.3">
      <c r="A490">
        <v>96464050</v>
      </c>
      <c r="B490">
        <v>1970991</v>
      </c>
      <c r="D490">
        <v>0</v>
      </c>
      <c r="E490" t="s">
        <v>107</v>
      </c>
      <c r="F490" s="9">
        <v>45501</v>
      </c>
      <c r="G490" t="s">
        <v>884</v>
      </c>
      <c r="H490" t="s">
        <v>29</v>
      </c>
      <c r="I490">
        <v>1</v>
      </c>
      <c r="J490">
        <v>332.56</v>
      </c>
      <c r="K490" t="s">
        <v>1102</v>
      </c>
      <c r="L490" t="s">
        <v>890</v>
      </c>
      <c r="T490" t="s">
        <v>317</v>
      </c>
      <c r="U490" t="s">
        <v>144</v>
      </c>
      <c r="V490" t="s">
        <v>609</v>
      </c>
      <c r="W490" s="10" t="s">
        <v>1148</v>
      </c>
      <c r="X490" t="s">
        <v>1149</v>
      </c>
      <c r="Z490" t="s">
        <v>892</v>
      </c>
      <c r="AA490" t="s">
        <v>1150</v>
      </c>
    </row>
    <row r="491" spans="1:27" x14ac:dyDescent="0.3">
      <c r="A491">
        <v>245723960</v>
      </c>
      <c r="B491">
        <v>2032571</v>
      </c>
      <c r="D491">
        <v>1</v>
      </c>
      <c r="E491" t="s">
        <v>107</v>
      </c>
      <c r="F491" s="9">
        <v>45668</v>
      </c>
      <c r="G491" t="s">
        <v>658</v>
      </c>
      <c r="H491" t="s">
        <v>344</v>
      </c>
      <c r="I491">
        <v>1</v>
      </c>
      <c r="J491">
        <v>332.5</v>
      </c>
      <c r="K491" t="s">
        <v>1102</v>
      </c>
      <c r="L491" t="s">
        <v>890</v>
      </c>
      <c r="T491" t="s">
        <v>317</v>
      </c>
      <c r="U491" t="s">
        <v>37</v>
      </c>
      <c r="V491" t="s">
        <v>609</v>
      </c>
      <c r="X491" t="s">
        <v>1151</v>
      </c>
      <c r="Z491" t="s">
        <v>892</v>
      </c>
      <c r="AA491" t="s">
        <v>1152</v>
      </c>
    </row>
    <row r="492" spans="1:27" x14ac:dyDescent="0.3">
      <c r="A492">
        <v>94679003</v>
      </c>
      <c r="B492">
        <v>678480</v>
      </c>
      <c r="D492">
        <v>0</v>
      </c>
      <c r="E492" t="s">
        <v>107</v>
      </c>
      <c r="F492" s="9">
        <v>45503</v>
      </c>
      <c r="G492" t="s">
        <v>351</v>
      </c>
      <c r="H492" t="s">
        <v>29</v>
      </c>
      <c r="I492">
        <v>10</v>
      </c>
      <c r="J492">
        <v>65.5</v>
      </c>
      <c r="K492" t="s">
        <v>1102</v>
      </c>
      <c r="L492" t="s">
        <v>1153</v>
      </c>
      <c r="O492">
        <v>1</v>
      </c>
      <c r="T492" t="s">
        <v>317</v>
      </c>
      <c r="U492" t="s">
        <v>37</v>
      </c>
      <c r="V492" t="s">
        <v>668</v>
      </c>
      <c r="X492" t="s">
        <v>1154</v>
      </c>
      <c r="Z492" t="s">
        <v>687</v>
      </c>
      <c r="AA492" t="s">
        <v>1155</v>
      </c>
    </row>
    <row r="493" spans="1:27" x14ac:dyDescent="0.3">
      <c r="A493">
        <v>94679023</v>
      </c>
      <c r="B493">
        <v>678491</v>
      </c>
      <c r="D493">
        <v>0</v>
      </c>
      <c r="E493" t="s">
        <v>107</v>
      </c>
      <c r="F493" s="9">
        <v>45503</v>
      </c>
      <c r="G493" t="s">
        <v>351</v>
      </c>
      <c r="H493" t="s">
        <v>29</v>
      </c>
      <c r="I493">
        <v>10</v>
      </c>
      <c r="J493">
        <v>64.900000000000006</v>
      </c>
      <c r="K493" t="s">
        <v>1102</v>
      </c>
      <c r="L493" t="s">
        <v>1156</v>
      </c>
      <c r="O493">
        <v>100</v>
      </c>
      <c r="T493" t="s">
        <v>317</v>
      </c>
      <c r="U493" t="s">
        <v>37</v>
      </c>
      <c r="V493" t="s">
        <v>668</v>
      </c>
      <c r="W493" s="10" t="s">
        <v>975</v>
      </c>
      <c r="X493" t="s">
        <v>1157</v>
      </c>
      <c r="Z493" t="s">
        <v>687</v>
      </c>
      <c r="AA493" t="s">
        <v>1158</v>
      </c>
    </row>
    <row r="494" spans="1:27" x14ac:dyDescent="0.3">
      <c r="A494">
        <v>94679043</v>
      </c>
      <c r="B494">
        <v>678511</v>
      </c>
      <c r="D494">
        <v>0</v>
      </c>
      <c r="E494" t="s">
        <v>107</v>
      </c>
      <c r="F494" s="9">
        <v>45503</v>
      </c>
      <c r="G494" t="s">
        <v>351</v>
      </c>
      <c r="H494" t="s">
        <v>29</v>
      </c>
      <c r="I494">
        <v>10</v>
      </c>
      <c r="J494">
        <v>64.11</v>
      </c>
      <c r="K494" t="s">
        <v>1102</v>
      </c>
      <c r="L494" t="s">
        <v>1159</v>
      </c>
      <c r="O494">
        <v>50</v>
      </c>
      <c r="T494" t="s">
        <v>317</v>
      </c>
      <c r="U494" t="s">
        <v>37</v>
      </c>
      <c r="V494" t="s">
        <v>668</v>
      </c>
      <c r="W494" s="10" t="s">
        <v>1160</v>
      </c>
      <c r="X494" t="s">
        <v>1161</v>
      </c>
      <c r="Z494" t="s">
        <v>687</v>
      </c>
      <c r="AA494" t="s">
        <v>1162</v>
      </c>
    </row>
    <row r="495" spans="1:27" x14ac:dyDescent="0.3">
      <c r="A495">
        <v>94679069</v>
      </c>
      <c r="B495">
        <v>678537</v>
      </c>
      <c r="D495">
        <v>0</v>
      </c>
      <c r="E495" t="s">
        <v>107</v>
      </c>
      <c r="F495" s="9">
        <v>45503</v>
      </c>
      <c r="G495" t="s">
        <v>351</v>
      </c>
      <c r="H495" t="s">
        <v>29</v>
      </c>
      <c r="I495">
        <v>10</v>
      </c>
      <c r="J495">
        <v>63.395000000000003</v>
      </c>
      <c r="K495" t="s">
        <v>1102</v>
      </c>
      <c r="L495" t="s">
        <v>1163</v>
      </c>
      <c r="O495">
        <v>20</v>
      </c>
      <c r="T495" t="s">
        <v>317</v>
      </c>
      <c r="U495" t="s">
        <v>37</v>
      </c>
      <c r="V495" t="s">
        <v>668</v>
      </c>
      <c r="W495" s="10" t="s">
        <v>1164</v>
      </c>
      <c r="X495" t="s">
        <v>1165</v>
      </c>
      <c r="Z495" t="s">
        <v>687</v>
      </c>
      <c r="AA495" t="s">
        <v>1166</v>
      </c>
    </row>
    <row r="496" spans="1:27" x14ac:dyDescent="0.3">
      <c r="A496">
        <v>94679100</v>
      </c>
      <c r="B496">
        <v>678568</v>
      </c>
      <c r="D496">
        <v>0</v>
      </c>
      <c r="E496" t="s">
        <v>107</v>
      </c>
      <c r="F496" s="9">
        <v>45503</v>
      </c>
      <c r="G496" t="s">
        <v>351</v>
      </c>
      <c r="H496" t="s">
        <v>29</v>
      </c>
      <c r="I496">
        <v>10</v>
      </c>
      <c r="J496">
        <v>62.7</v>
      </c>
      <c r="K496" t="s">
        <v>1102</v>
      </c>
      <c r="L496" t="s">
        <v>979</v>
      </c>
      <c r="O496">
        <v>35</v>
      </c>
      <c r="T496" t="s">
        <v>317</v>
      </c>
      <c r="U496" t="s">
        <v>37</v>
      </c>
      <c r="V496" t="s">
        <v>668</v>
      </c>
      <c r="X496" t="s">
        <v>1167</v>
      </c>
      <c r="Z496" t="s">
        <v>687</v>
      </c>
      <c r="AA496" t="s">
        <v>1168</v>
      </c>
    </row>
    <row r="497" spans="1:27" x14ac:dyDescent="0.3">
      <c r="A497">
        <v>94679343</v>
      </c>
      <c r="B497">
        <v>678640</v>
      </c>
      <c r="D497">
        <v>0</v>
      </c>
      <c r="E497" t="s">
        <v>107</v>
      </c>
      <c r="F497" s="9">
        <v>45504</v>
      </c>
      <c r="G497" t="s">
        <v>351</v>
      </c>
      <c r="H497" t="s">
        <v>29</v>
      </c>
      <c r="I497">
        <v>10</v>
      </c>
      <c r="J497">
        <v>53.69</v>
      </c>
      <c r="K497" t="s">
        <v>1102</v>
      </c>
      <c r="L497" t="s">
        <v>1169</v>
      </c>
      <c r="O497">
        <v>2</v>
      </c>
      <c r="T497" t="s">
        <v>317</v>
      </c>
      <c r="U497" t="s">
        <v>49</v>
      </c>
      <c r="V497" t="s">
        <v>668</v>
      </c>
      <c r="W497" s="10" t="s">
        <v>1170</v>
      </c>
      <c r="X497" t="s">
        <v>1171</v>
      </c>
      <c r="Z497" t="s">
        <v>687</v>
      </c>
      <c r="AA497" t="s">
        <v>1172</v>
      </c>
    </row>
    <row r="498" spans="1:27" x14ac:dyDescent="0.3">
      <c r="A498">
        <v>94679417</v>
      </c>
      <c r="B498">
        <v>678714</v>
      </c>
      <c r="D498">
        <v>0</v>
      </c>
      <c r="E498" t="s">
        <v>107</v>
      </c>
      <c r="F498" s="9">
        <v>45504</v>
      </c>
      <c r="G498" t="s">
        <v>351</v>
      </c>
      <c r="H498" t="s">
        <v>29</v>
      </c>
      <c r="I498">
        <v>10</v>
      </c>
      <c r="J498">
        <v>53.69</v>
      </c>
      <c r="K498" t="s">
        <v>1102</v>
      </c>
      <c r="L498" t="s">
        <v>1169</v>
      </c>
      <c r="O498">
        <v>150</v>
      </c>
      <c r="T498" t="s">
        <v>317</v>
      </c>
      <c r="U498" t="s">
        <v>37</v>
      </c>
      <c r="V498" t="s">
        <v>668</v>
      </c>
      <c r="W498" s="10" t="s">
        <v>975</v>
      </c>
      <c r="X498" t="s">
        <v>1173</v>
      </c>
      <c r="Z498" t="s">
        <v>687</v>
      </c>
      <c r="AA498" t="s">
        <v>1174</v>
      </c>
    </row>
    <row r="499" spans="1:27" x14ac:dyDescent="0.3">
      <c r="A499">
        <v>94679495</v>
      </c>
      <c r="B499">
        <v>678792</v>
      </c>
      <c r="D499">
        <v>0</v>
      </c>
      <c r="E499" t="s">
        <v>107</v>
      </c>
      <c r="F499" s="9">
        <v>45504</v>
      </c>
      <c r="G499" t="s">
        <v>351</v>
      </c>
      <c r="H499" t="s">
        <v>29</v>
      </c>
      <c r="I499">
        <v>10</v>
      </c>
      <c r="J499">
        <v>53.6</v>
      </c>
      <c r="K499" t="s">
        <v>1102</v>
      </c>
      <c r="L499" t="s">
        <v>1169</v>
      </c>
      <c r="O499">
        <v>50</v>
      </c>
      <c r="T499" t="s">
        <v>347</v>
      </c>
      <c r="U499" t="s">
        <v>79</v>
      </c>
      <c r="V499" t="s">
        <v>38</v>
      </c>
      <c r="X499" t="s">
        <v>1173</v>
      </c>
      <c r="Z499" t="s">
        <v>687</v>
      </c>
      <c r="AA499" t="s">
        <v>1175</v>
      </c>
    </row>
    <row r="500" spans="1:27" x14ac:dyDescent="0.3">
      <c r="A500">
        <v>94679494</v>
      </c>
      <c r="B500">
        <v>678791</v>
      </c>
      <c r="D500">
        <v>0</v>
      </c>
      <c r="E500" t="s">
        <v>107</v>
      </c>
      <c r="F500" s="9">
        <v>45504</v>
      </c>
      <c r="G500" t="s">
        <v>351</v>
      </c>
      <c r="H500" t="s">
        <v>29</v>
      </c>
      <c r="I500">
        <v>10</v>
      </c>
      <c r="J500">
        <v>53.6</v>
      </c>
      <c r="K500" t="s">
        <v>1102</v>
      </c>
      <c r="L500" t="s">
        <v>1169</v>
      </c>
      <c r="O500">
        <v>50</v>
      </c>
      <c r="T500" t="s">
        <v>268</v>
      </c>
      <c r="U500" t="s">
        <v>79</v>
      </c>
      <c r="V500" t="s">
        <v>38</v>
      </c>
      <c r="X500" t="s">
        <v>1173</v>
      </c>
      <c r="Z500" t="s">
        <v>687</v>
      </c>
      <c r="AA500" t="s">
        <v>1176</v>
      </c>
    </row>
    <row r="501" spans="1:27" x14ac:dyDescent="0.3">
      <c r="A501">
        <v>94679574</v>
      </c>
      <c r="B501">
        <v>678871</v>
      </c>
      <c r="D501">
        <v>0</v>
      </c>
      <c r="E501" t="s">
        <v>107</v>
      </c>
      <c r="F501" s="9">
        <v>45504</v>
      </c>
      <c r="G501" t="s">
        <v>351</v>
      </c>
      <c r="H501" t="s">
        <v>29</v>
      </c>
      <c r="I501">
        <v>10</v>
      </c>
      <c r="J501">
        <v>52.62</v>
      </c>
      <c r="K501" t="s">
        <v>1102</v>
      </c>
      <c r="L501" t="s">
        <v>1177</v>
      </c>
      <c r="O501">
        <v>100</v>
      </c>
      <c r="T501" t="s">
        <v>317</v>
      </c>
      <c r="U501" t="s">
        <v>37</v>
      </c>
      <c r="V501" t="s">
        <v>668</v>
      </c>
      <c r="W501" s="10" t="s">
        <v>1178</v>
      </c>
      <c r="X501" t="s">
        <v>1179</v>
      </c>
      <c r="Z501" t="s">
        <v>687</v>
      </c>
      <c r="AA501" t="s">
        <v>1180</v>
      </c>
    </row>
    <row r="502" spans="1:27" x14ac:dyDescent="0.3">
      <c r="A502">
        <v>246071296</v>
      </c>
      <c r="B502">
        <v>2278647</v>
      </c>
      <c r="D502">
        <v>1</v>
      </c>
      <c r="E502" t="s">
        <v>107</v>
      </c>
      <c r="F502" s="9">
        <v>45749</v>
      </c>
      <c r="G502" t="s">
        <v>351</v>
      </c>
      <c r="H502" t="s">
        <v>344</v>
      </c>
      <c r="I502">
        <v>13</v>
      </c>
      <c r="J502">
        <v>51.79</v>
      </c>
      <c r="K502" t="s">
        <v>672</v>
      </c>
      <c r="L502" t="s">
        <v>673</v>
      </c>
      <c r="T502" t="s">
        <v>317</v>
      </c>
      <c r="U502" t="s">
        <v>37</v>
      </c>
      <c r="V502" t="s">
        <v>668</v>
      </c>
      <c r="X502" t="s">
        <v>1181</v>
      </c>
      <c r="Y502">
        <v>908266</v>
      </c>
      <c r="Z502" t="s">
        <v>675</v>
      </c>
      <c r="AA502" t="s">
        <v>1182</v>
      </c>
    </row>
    <row r="503" spans="1:27" x14ac:dyDescent="0.3">
      <c r="A503">
        <v>219955983</v>
      </c>
      <c r="B503">
        <v>2340191</v>
      </c>
      <c r="D503">
        <v>0</v>
      </c>
      <c r="E503" t="s">
        <v>107</v>
      </c>
      <c r="F503" s="9">
        <v>45528</v>
      </c>
      <c r="G503" t="s">
        <v>884</v>
      </c>
      <c r="H503" t="s">
        <v>29</v>
      </c>
      <c r="I503">
        <v>7</v>
      </c>
      <c r="J503">
        <v>427.875</v>
      </c>
      <c r="K503" t="s">
        <v>1183</v>
      </c>
      <c r="L503" t="s">
        <v>886</v>
      </c>
      <c r="T503" t="s">
        <v>569</v>
      </c>
      <c r="U503" t="s">
        <v>37</v>
      </c>
      <c r="V503" t="s">
        <v>668</v>
      </c>
      <c r="X503" t="s">
        <v>1184</v>
      </c>
      <c r="Z503" t="s">
        <v>670</v>
      </c>
      <c r="AA503" t="s">
        <v>1185</v>
      </c>
    </row>
    <row r="504" spans="1:27" x14ac:dyDescent="0.3">
      <c r="A504">
        <v>220017532</v>
      </c>
      <c r="B504">
        <v>2401740</v>
      </c>
      <c r="D504">
        <v>0</v>
      </c>
      <c r="E504" t="s">
        <v>107</v>
      </c>
      <c r="F504" s="9">
        <v>45528</v>
      </c>
      <c r="G504" t="s">
        <v>884</v>
      </c>
      <c r="H504" t="s">
        <v>29</v>
      </c>
      <c r="I504">
        <v>7</v>
      </c>
      <c r="J504">
        <v>427.875</v>
      </c>
      <c r="K504" t="s">
        <v>1183</v>
      </c>
      <c r="L504" t="s">
        <v>886</v>
      </c>
      <c r="O504">
        <v>300</v>
      </c>
      <c r="T504" t="s">
        <v>347</v>
      </c>
      <c r="U504" t="s">
        <v>79</v>
      </c>
      <c r="V504" t="s">
        <v>668</v>
      </c>
      <c r="X504" t="s">
        <v>1186</v>
      </c>
      <c r="Z504" t="s">
        <v>670</v>
      </c>
      <c r="AA504" t="s">
        <v>1187</v>
      </c>
    </row>
    <row r="505" spans="1:27" x14ac:dyDescent="0.3">
      <c r="A505">
        <v>220017531</v>
      </c>
      <c r="B505">
        <v>2401739</v>
      </c>
      <c r="D505">
        <v>0</v>
      </c>
      <c r="E505" t="s">
        <v>107</v>
      </c>
      <c r="F505" s="9">
        <v>45528</v>
      </c>
      <c r="G505" t="s">
        <v>884</v>
      </c>
      <c r="H505" t="s">
        <v>29</v>
      </c>
      <c r="I505">
        <v>7</v>
      </c>
      <c r="J505">
        <v>427.875</v>
      </c>
      <c r="K505" t="s">
        <v>1183</v>
      </c>
      <c r="L505" t="s">
        <v>886</v>
      </c>
      <c r="O505">
        <v>300</v>
      </c>
      <c r="T505" t="s">
        <v>268</v>
      </c>
      <c r="U505" t="s">
        <v>79</v>
      </c>
      <c r="V505" t="s">
        <v>668</v>
      </c>
      <c r="X505" t="s">
        <v>1186</v>
      </c>
      <c r="Z505" t="s">
        <v>670</v>
      </c>
      <c r="AA505" t="s">
        <v>1188</v>
      </c>
    </row>
    <row r="506" spans="1:27" x14ac:dyDescent="0.3">
      <c r="A506">
        <v>220079081</v>
      </c>
      <c r="B506">
        <v>2463289</v>
      </c>
      <c r="D506">
        <v>0</v>
      </c>
      <c r="E506" t="s">
        <v>107</v>
      </c>
      <c r="F506" s="9">
        <v>45528</v>
      </c>
      <c r="G506" t="s">
        <v>884</v>
      </c>
      <c r="H506" t="s">
        <v>29</v>
      </c>
      <c r="I506">
        <v>7</v>
      </c>
      <c r="J506">
        <v>427.78</v>
      </c>
      <c r="K506" t="s">
        <v>1183</v>
      </c>
      <c r="L506" t="s">
        <v>886</v>
      </c>
      <c r="O506">
        <v>350</v>
      </c>
      <c r="T506" t="s">
        <v>317</v>
      </c>
      <c r="U506" t="s">
        <v>37</v>
      </c>
      <c r="V506" t="s">
        <v>668</v>
      </c>
      <c r="X506" t="s">
        <v>1189</v>
      </c>
      <c r="Z506" t="s">
        <v>670</v>
      </c>
      <c r="AA506" t="s">
        <v>1190</v>
      </c>
    </row>
    <row r="507" spans="1:27" x14ac:dyDescent="0.3">
      <c r="A507">
        <v>220140634</v>
      </c>
      <c r="B507">
        <v>2524842</v>
      </c>
      <c r="D507">
        <v>0</v>
      </c>
      <c r="E507" t="s">
        <v>107</v>
      </c>
      <c r="F507" s="9">
        <v>45528</v>
      </c>
      <c r="G507" t="s">
        <v>884</v>
      </c>
      <c r="H507" t="s">
        <v>29</v>
      </c>
      <c r="I507">
        <v>7</v>
      </c>
      <c r="J507">
        <v>427.65</v>
      </c>
      <c r="K507" t="s">
        <v>1183</v>
      </c>
      <c r="L507" t="s">
        <v>886</v>
      </c>
      <c r="O507">
        <v>30</v>
      </c>
      <c r="T507" t="s">
        <v>347</v>
      </c>
      <c r="U507" t="s">
        <v>37</v>
      </c>
      <c r="V507" t="s">
        <v>668</v>
      </c>
      <c r="X507" t="s">
        <v>1191</v>
      </c>
      <c r="Z507" t="s">
        <v>670</v>
      </c>
      <c r="AA507" t="s">
        <v>1192</v>
      </c>
    </row>
    <row r="508" spans="1:27" x14ac:dyDescent="0.3">
      <c r="A508">
        <v>220140633</v>
      </c>
      <c r="B508">
        <v>2524841</v>
      </c>
      <c r="D508">
        <v>0</v>
      </c>
      <c r="E508" t="s">
        <v>107</v>
      </c>
      <c r="F508" s="9">
        <v>45528</v>
      </c>
      <c r="G508" t="s">
        <v>884</v>
      </c>
      <c r="H508" t="s">
        <v>29</v>
      </c>
      <c r="I508">
        <v>7</v>
      </c>
      <c r="J508">
        <v>427.65</v>
      </c>
      <c r="K508" t="s">
        <v>1183</v>
      </c>
      <c r="L508" t="s">
        <v>886</v>
      </c>
      <c r="O508">
        <v>30</v>
      </c>
      <c r="T508" t="s">
        <v>268</v>
      </c>
      <c r="U508" t="s">
        <v>37</v>
      </c>
      <c r="V508" t="s">
        <v>668</v>
      </c>
      <c r="X508" t="s">
        <v>1191</v>
      </c>
      <c r="Z508" t="s">
        <v>670</v>
      </c>
      <c r="AA508" t="s">
        <v>1193</v>
      </c>
    </row>
    <row r="509" spans="1:27" x14ac:dyDescent="0.3">
      <c r="A509">
        <v>220263741</v>
      </c>
      <c r="B509">
        <v>2586396</v>
      </c>
      <c r="D509">
        <v>0</v>
      </c>
      <c r="E509" t="s">
        <v>107</v>
      </c>
      <c r="F509" s="9">
        <v>45528</v>
      </c>
      <c r="G509" t="s">
        <v>884</v>
      </c>
      <c r="H509" t="s">
        <v>29</v>
      </c>
      <c r="I509">
        <v>7</v>
      </c>
      <c r="J509">
        <v>427.62</v>
      </c>
      <c r="K509" t="s">
        <v>1183</v>
      </c>
      <c r="L509" t="s">
        <v>886</v>
      </c>
      <c r="O509">
        <v>200</v>
      </c>
      <c r="T509" t="s">
        <v>317</v>
      </c>
      <c r="U509" t="s">
        <v>37</v>
      </c>
      <c r="V509" t="s">
        <v>668</v>
      </c>
      <c r="X509" t="s">
        <v>1194</v>
      </c>
      <c r="Z509" t="s">
        <v>670</v>
      </c>
      <c r="AA509" t="s">
        <v>1195</v>
      </c>
    </row>
    <row r="510" spans="1:27" x14ac:dyDescent="0.3">
      <c r="A510">
        <v>220325298</v>
      </c>
      <c r="B510">
        <v>2647953</v>
      </c>
      <c r="D510">
        <v>0</v>
      </c>
      <c r="E510" t="s">
        <v>107</v>
      </c>
      <c r="F510" s="9">
        <v>45528</v>
      </c>
      <c r="G510" t="s">
        <v>884</v>
      </c>
      <c r="H510" t="s">
        <v>29</v>
      </c>
      <c r="I510">
        <v>7</v>
      </c>
      <c r="J510">
        <v>427.48</v>
      </c>
      <c r="K510" t="s">
        <v>1183</v>
      </c>
      <c r="L510" t="s">
        <v>886</v>
      </c>
      <c r="O510">
        <v>100</v>
      </c>
      <c r="T510" t="s">
        <v>347</v>
      </c>
      <c r="U510" t="s">
        <v>49</v>
      </c>
      <c r="V510" t="s">
        <v>668</v>
      </c>
      <c r="X510" t="s">
        <v>1196</v>
      </c>
      <c r="Z510" t="s">
        <v>670</v>
      </c>
      <c r="AA510" t="s">
        <v>1197</v>
      </c>
    </row>
    <row r="511" spans="1:27" x14ac:dyDescent="0.3">
      <c r="A511">
        <v>220386857</v>
      </c>
      <c r="B511">
        <v>2709512</v>
      </c>
      <c r="D511">
        <v>0</v>
      </c>
      <c r="E511" t="s">
        <v>107</v>
      </c>
      <c r="F511" s="9">
        <v>45528</v>
      </c>
      <c r="G511" t="s">
        <v>884</v>
      </c>
      <c r="H511" t="s">
        <v>29</v>
      </c>
      <c r="I511">
        <v>7</v>
      </c>
      <c r="J511">
        <v>427.41</v>
      </c>
      <c r="K511" t="s">
        <v>1183</v>
      </c>
      <c r="L511" t="s">
        <v>886</v>
      </c>
      <c r="O511">
        <v>2</v>
      </c>
      <c r="T511" t="s">
        <v>268</v>
      </c>
      <c r="U511" t="s">
        <v>37</v>
      </c>
      <c r="V511" t="s">
        <v>668</v>
      </c>
      <c r="X511" t="s">
        <v>1198</v>
      </c>
      <c r="Z511" t="s">
        <v>670</v>
      </c>
      <c r="AA511" t="s">
        <v>1199</v>
      </c>
    </row>
    <row r="512" spans="1:27" x14ac:dyDescent="0.3">
      <c r="A512">
        <v>220448418</v>
      </c>
      <c r="B512">
        <v>2771073</v>
      </c>
      <c r="D512">
        <v>0</v>
      </c>
      <c r="E512" t="s">
        <v>107</v>
      </c>
      <c r="F512" s="9">
        <v>45528</v>
      </c>
      <c r="G512" t="s">
        <v>884</v>
      </c>
      <c r="H512" t="s">
        <v>29</v>
      </c>
      <c r="I512">
        <v>7</v>
      </c>
      <c r="J512">
        <v>427.34500000000003</v>
      </c>
      <c r="K512" t="s">
        <v>1183</v>
      </c>
      <c r="L512" t="s">
        <v>886</v>
      </c>
      <c r="T512" t="s">
        <v>317</v>
      </c>
      <c r="U512" t="s">
        <v>37</v>
      </c>
      <c r="V512" t="s">
        <v>668</v>
      </c>
      <c r="X512" t="s">
        <v>1200</v>
      </c>
      <c r="Z512" t="s">
        <v>670</v>
      </c>
      <c r="AA512" t="s">
        <v>1201</v>
      </c>
    </row>
    <row r="513" spans="1:27" x14ac:dyDescent="0.3">
      <c r="A513">
        <v>220509981</v>
      </c>
      <c r="B513">
        <v>2832636</v>
      </c>
      <c r="D513">
        <v>0</v>
      </c>
      <c r="E513" t="s">
        <v>107</v>
      </c>
      <c r="F513" s="9">
        <v>45528</v>
      </c>
      <c r="G513" t="s">
        <v>884</v>
      </c>
      <c r="H513" t="s">
        <v>29</v>
      </c>
      <c r="I513">
        <v>7</v>
      </c>
      <c r="J513">
        <v>426.50200000000001</v>
      </c>
      <c r="K513" t="s">
        <v>942</v>
      </c>
      <c r="L513" t="s">
        <v>943</v>
      </c>
      <c r="O513">
        <v>50</v>
      </c>
      <c r="T513" t="s">
        <v>569</v>
      </c>
      <c r="U513" t="s">
        <v>37</v>
      </c>
      <c r="V513" t="s">
        <v>668</v>
      </c>
      <c r="X513" t="s">
        <v>1202</v>
      </c>
      <c r="Z513" t="s">
        <v>670</v>
      </c>
      <c r="AA513" t="s">
        <v>1203</v>
      </c>
    </row>
    <row r="514" spans="1:27" x14ac:dyDescent="0.3">
      <c r="A514">
        <v>220571547</v>
      </c>
      <c r="B514">
        <v>2894202</v>
      </c>
      <c r="D514">
        <v>0</v>
      </c>
      <c r="E514" t="s">
        <v>107</v>
      </c>
      <c r="F514" s="9">
        <v>45528</v>
      </c>
      <c r="G514" t="s">
        <v>884</v>
      </c>
      <c r="H514" t="s">
        <v>29</v>
      </c>
      <c r="I514">
        <v>7</v>
      </c>
      <c r="J514">
        <v>426.495</v>
      </c>
      <c r="K514" t="s">
        <v>942</v>
      </c>
      <c r="L514" t="s">
        <v>943</v>
      </c>
      <c r="T514" t="s">
        <v>347</v>
      </c>
      <c r="U514" t="s">
        <v>79</v>
      </c>
      <c r="V514" t="s">
        <v>668</v>
      </c>
      <c r="X514" t="s">
        <v>1204</v>
      </c>
      <c r="Z514" t="s">
        <v>670</v>
      </c>
      <c r="AA514" t="s">
        <v>1205</v>
      </c>
    </row>
    <row r="515" spans="1:27" x14ac:dyDescent="0.3">
      <c r="A515">
        <v>220571546</v>
      </c>
      <c r="B515">
        <v>2894201</v>
      </c>
      <c r="D515">
        <v>0</v>
      </c>
      <c r="E515" t="s">
        <v>107</v>
      </c>
      <c r="F515" s="9">
        <v>45528</v>
      </c>
      <c r="G515" t="s">
        <v>884</v>
      </c>
      <c r="H515" t="s">
        <v>29</v>
      </c>
      <c r="I515">
        <v>7</v>
      </c>
      <c r="J515">
        <v>426.495</v>
      </c>
      <c r="K515" t="s">
        <v>942</v>
      </c>
      <c r="L515" t="s">
        <v>943</v>
      </c>
      <c r="T515" t="s">
        <v>268</v>
      </c>
      <c r="U515" t="s">
        <v>79</v>
      </c>
      <c r="V515" t="s">
        <v>668</v>
      </c>
      <c r="X515" t="s">
        <v>1204</v>
      </c>
      <c r="Z515" t="s">
        <v>670</v>
      </c>
      <c r="AA515" t="s">
        <v>1206</v>
      </c>
    </row>
    <row r="516" spans="1:27" x14ac:dyDescent="0.3">
      <c r="A516">
        <v>220633113</v>
      </c>
      <c r="B516">
        <v>2955768</v>
      </c>
      <c r="D516">
        <v>0</v>
      </c>
      <c r="E516" t="s">
        <v>107</v>
      </c>
      <c r="F516" s="9">
        <v>45528</v>
      </c>
      <c r="G516" t="s">
        <v>884</v>
      </c>
      <c r="H516" t="s">
        <v>29</v>
      </c>
      <c r="I516">
        <v>7</v>
      </c>
      <c r="J516">
        <v>426.435</v>
      </c>
      <c r="K516" t="s">
        <v>942</v>
      </c>
      <c r="L516" t="s">
        <v>943</v>
      </c>
      <c r="T516" t="s">
        <v>317</v>
      </c>
      <c r="U516" t="s">
        <v>37</v>
      </c>
      <c r="V516" t="s">
        <v>668</v>
      </c>
      <c r="X516" t="s">
        <v>1207</v>
      </c>
      <c r="Z516" t="s">
        <v>670</v>
      </c>
      <c r="AA516" t="s">
        <v>1208</v>
      </c>
    </row>
    <row r="517" spans="1:27" x14ac:dyDescent="0.3">
      <c r="A517">
        <v>220694682</v>
      </c>
      <c r="B517">
        <v>3017337</v>
      </c>
      <c r="D517">
        <v>0</v>
      </c>
      <c r="E517" t="s">
        <v>107</v>
      </c>
      <c r="F517" s="9">
        <v>45528</v>
      </c>
      <c r="G517" t="s">
        <v>884</v>
      </c>
      <c r="H517" t="s">
        <v>29</v>
      </c>
      <c r="I517">
        <v>7</v>
      </c>
      <c r="J517">
        <v>426.44</v>
      </c>
      <c r="K517" t="s">
        <v>942</v>
      </c>
      <c r="L517" t="s">
        <v>943</v>
      </c>
      <c r="T517" t="s">
        <v>268</v>
      </c>
      <c r="U517" t="s">
        <v>812</v>
      </c>
      <c r="V517" t="s">
        <v>668</v>
      </c>
      <c r="X517" t="s">
        <v>1209</v>
      </c>
      <c r="Z517" t="s">
        <v>670</v>
      </c>
      <c r="AA517" t="s">
        <v>1210</v>
      </c>
    </row>
    <row r="518" spans="1:27" x14ac:dyDescent="0.3">
      <c r="A518">
        <v>220756253</v>
      </c>
      <c r="B518">
        <v>3078908</v>
      </c>
      <c r="D518">
        <v>0</v>
      </c>
      <c r="E518" t="s">
        <v>107</v>
      </c>
      <c r="F518" s="9">
        <v>45528</v>
      </c>
      <c r="G518" t="s">
        <v>884</v>
      </c>
      <c r="H518" t="s">
        <v>29</v>
      </c>
      <c r="I518">
        <v>7</v>
      </c>
      <c r="J518">
        <v>426.41500000000002</v>
      </c>
      <c r="K518" t="s">
        <v>942</v>
      </c>
      <c r="L518" t="s">
        <v>943</v>
      </c>
      <c r="O518">
        <v>200</v>
      </c>
      <c r="T518" t="s">
        <v>317</v>
      </c>
      <c r="U518" t="s">
        <v>37</v>
      </c>
      <c r="V518" t="s">
        <v>668</v>
      </c>
      <c r="X518" t="s">
        <v>1211</v>
      </c>
      <c r="Z518" t="s">
        <v>670</v>
      </c>
      <c r="AA518" t="s">
        <v>1212</v>
      </c>
    </row>
    <row r="519" spans="1:27" x14ac:dyDescent="0.3">
      <c r="A519">
        <v>220817827</v>
      </c>
      <c r="B519">
        <v>3140482</v>
      </c>
      <c r="D519">
        <v>0</v>
      </c>
      <c r="E519" t="s">
        <v>107</v>
      </c>
      <c r="F519" s="9">
        <v>45528</v>
      </c>
      <c r="G519" t="s">
        <v>884</v>
      </c>
      <c r="H519" t="s">
        <v>29</v>
      </c>
      <c r="I519">
        <v>7</v>
      </c>
      <c r="J519">
        <v>426.32</v>
      </c>
      <c r="K519" t="s">
        <v>942</v>
      </c>
      <c r="L519" t="s">
        <v>943</v>
      </c>
      <c r="T519" t="s">
        <v>347</v>
      </c>
      <c r="U519" t="s">
        <v>37</v>
      </c>
      <c r="V519" t="s">
        <v>668</v>
      </c>
      <c r="X519" t="s">
        <v>1213</v>
      </c>
      <c r="Z519" t="s">
        <v>670</v>
      </c>
      <c r="AA519" t="s">
        <v>1214</v>
      </c>
    </row>
    <row r="520" spans="1:27" x14ac:dyDescent="0.3">
      <c r="A520">
        <v>220817826</v>
      </c>
      <c r="B520">
        <v>3140481</v>
      </c>
      <c r="D520">
        <v>0</v>
      </c>
      <c r="E520" t="s">
        <v>107</v>
      </c>
      <c r="F520" s="9">
        <v>45528</v>
      </c>
      <c r="G520" t="s">
        <v>884</v>
      </c>
      <c r="H520" t="s">
        <v>29</v>
      </c>
      <c r="I520">
        <v>7</v>
      </c>
      <c r="J520">
        <v>426.32</v>
      </c>
      <c r="K520" t="s">
        <v>942</v>
      </c>
      <c r="L520" t="s">
        <v>943</v>
      </c>
      <c r="T520" t="s">
        <v>268</v>
      </c>
      <c r="U520" t="s">
        <v>37</v>
      </c>
      <c r="V520" t="s">
        <v>668</v>
      </c>
      <c r="X520" t="s">
        <v>1213</v>
      </c>
      <c r="Z520" t="s">
        <v>670</v>
      </c>
      <c r="AA520" t="s">
        <v>1215</v>
      </c>
    </row>
    <row r="521" spans="1:27" x14ac:dyDescent="0.3">
      <c r="A521">
        <v>220879402</v>
      </c>
      <c r="B521">
        <v>3202057</v>
      </c>
      <c r="D521">
        <v>0</v>
      </c>
      <c r="E521" t="s">
        <v>107</v>
      </c>
      <c r="F521" s="9">
        <v>45528</v>
      </c>
      <c r="G521" t="s">
        <v>884</v>
      </c>
      <c r="H521" t="s">
        <v>29</v>
      </c>
      <c r="I521">
        <v>7</v>
      </c>
      <c r="J521">
        <v>426.29</v>
      </c>
      <c r="K521" t="s">
        <v>942</v>
      </c>
      <c r="L521" t="s">
        <v>943</v>
      </c>
      <c r="T521" t="s">
        <v>347</v>
      </c>
      <c r="U521" t="s">
        <v>79</v>
      </c>
      <c r="V521" t="s">
        <v>668</v>
      </c>
      <c r="W521" s="10" t="s">
        <v>1216</v>
      </c>
      <c r="X521" t="s">
        <v>1217</v>
      </c>
      <c r="Z521" t="s">
        <v>670</v>
      </c>
      <c r="AA521" t="s">
        <v>1218</v>
      </c>
    </row>
    <row r="522" spans="1:27" x14ac:dyDescent="0.3">
      <c r="A522">
        <v>220879401</v>
      </c>
      <c r="B522">
        <v>3202056</v>
      </c>
      <c r="D522">
        <v>0</v>
      </c>
      <c r="E522" t="s">
        <v>107</v>
      </c>
      <c r="F522" s="9">
        <v>45528</v>
      </c>
      <c r="G522" t="s">
        <v>884</v>
      </c>
      <c r="H522" t="s">
        <v>29</v>
      </c>
      <c r="I522">
        <v>7</v>
      </c>
      <c r="J522">
        <v>426.29</v>
      </c>
      <c r="K522" t="s">
        <v>942</v>
      </c>
      <c r="L522" t="s">
        <v>943</v>
      </c>
      <c r="T522" t="s">
        <v>268</v>
      </c>
      <c r="U522" t="s">
        <v>79</v>
      </c>
      <c r="V522" t="s">
        <v>668</v>
      </c>
      <c r="W522" s="10" t="s">
        <v>1216</v>
      </c>
      <c r="X522" t="s">
        <v>1217</v>
      </c>
      <c r="Z522" t="s">
        <v>670</v>
      </c>
      <c r="AA522" t="s">
        <v>1219</v>
      </c>
    </row>
    <row r="523" spans="1:27" x14ac:dyDescent="0.3">
      <c r="A523">
        <v>220940978</v>
      </c>
      <c r="B523">
        <v>3263633</v>
      </c>
      <c r="D523">
        <v>0</v>
      </c>
      <c r="E523" t="s">
        <v>107</v>
      </c>
      <c r="F523" s="9">
        <v>45528</v>
      </c>
      <c r="G523" t="s">
        <v>884</v>
      </c>
      <c r="H523" t="s">
        <v>29</v>
      </c>
      <c r="I523">
        <v>7</v>
      </c>
      <c r="J523">
        <v>426.27</v>
      </c>
      <c r="K523" t="s">
        <v>942</v>
      </c>
      <c r="L523" t="s">
        <v>943</v>
      </c>
      <c r="T523" t="s">
        <v>112</v>
      </c>
      <c r="U523" t="s">
        <v>37</v>
      </c>
      <c r="V523" t="s">
        <v>668</v>
      </c>
      <c r="X523" t="s">
        <v>1220</v>
      </c>
      <c r="Z523" t="s">
        <v>670</v>
      </c>
      <c r="AA523" t="s">
        <v>1221</v>
      </c>
    </row>
    <row r="524" spans="1:27" x14ac:dyDescent="0.3">
      <c r="A524">
        <v>221002557</v>
      </c>
      <c r="B524">
        <v>3325212</v>
      </c>
      <c r="D524">
        <v>0</v>
      </c>
      <c r="E524" t="s">
        <v>107</v>
      </c>
      <c r="F524" s="9">
        <v>45528</v>
      </c>
      <c r="G524" t="s">
        <v>884</v>
      </c>
      <c r="H524" t="s">
        <v>29</v>
      </c>
      <c r="I524">
        <v>7</v>
      </c>
      <c r="J524">
        <v>425.71</v>
      </c>
      <c r="K524" t="s">
        <v>1222</v>
      </c>
      <c r="L524" t="s">
        <v>1223</v>
      </c>
      <c r="T524" t="s">
        <v>569</v>
      </c>
      <c r="U524" t="s">
        <v>37</v>
      </c>
      <c r="V524" t="s">
        <v>668</v>
      </c>
      <c r="X524" t="s">
        <v>1224</v>
      </c>
      <c r="Z524" t="s">
        <v>670</v>
      </c>
      <c r="AA524" t="s">
        <v>1225</v>
      </c>
    </row>
    <row r="525" spans="1:27" x14ac:dyDescent="0.3">
      <c r="A525">
        <v>221064139</v>
      </c>
      <c r="B525">
        <v>3386794</v>
      </c>
      <c r="D525">
        <v>0</v>
      </c>
      <c r="E525" t="s">
        <v>107</v>
      </c>
      <c r="F525" s="9">
        <v>45528</v>
      </c>
      <c r="G525" t="s">
        <v>884</v>
      </c>
      <c r="H525" t="s">
        <v>29</v>
      </c>
      <c r="I525">
        <v>7</v>
      </c>
      <c r="J525">
        <v>425.7</v>
      </c>
      <c r="K525" t="s">
        <v>1222</v>
      </c>
      <c r="L525" t="s">
        <v>1223</v>
      </c>
      <c r="O525">
        <v>100</v>
      </c>
      <c r="T525" t="s">
        <v>347</v>
      </c>
      <c r="U525" t="s">
        <v>79</v>
      </c>
      <c r="V525" t="s">
        <v>668</v>
      </c>
      <c r="X525" t="s">
        <v>1226</v>
      </c>
      <c r="Z525" t="s">
        <v>670</v>
      </c>
      <c r="AA525" t="s">
        <v>1227</v>
      </c>
    </row>
    <row r="526" spans="1:27" x14ac:dyDescent="0.3">
      <c r="A526">
        <v>221064138</v>
      </c>
      <c r="B526">
        <v>3386793</v>
      </c>
      <c r="D526">
        <v>0</v>
      </c>
      <c r="E526" t="s">
        <v>107</v>
      </c>
      <c r="F526" s="9">
        <v>45528</v>
      </c>
      <c r="G526" t="s">
        <v>884</v>
      </c>
      <c r="H526" t="s">
        <v>29</v>
      </c>
      <c r="I526">
        <v>7</v>
      </c>
      <c r="J526">
        <v>425.7</v>
      </c>
      <c r="K526" t="s">
        <v>1222</v>
      </c>
      <c r="L526" t="s">
        <v>1223</v>
      </c>
      <c r="O526">
        <v>100</v>
      </c>
      <c r="T526" t="s">
        <v>268</v>
      </c>
      <c r="U526" t="s">
        <v>79</v>
      </c>
      <c r="V526" t="s">
        <v>668</v>
      </c>
      <c r="X526" t="s">
        <v>1226</v>
      </c>
      <c r="Z526" t="s">
        <v>670</v>
      </c>
      <c r="AA526" t="s">
        <v>1228</v>
      </c>
    </row>
    <row r="527" spans="1:27" x14ac:dyDescent="0.3">
      <c r="A527">
        <v>221125721</v>
      </c>
      <c r="B527">
        <v>3448376</v>
      </c>
      <c r="D527">
        <v>0</v>
      </c>
      <c r="E527" t="s">
        <v>107</v>
      </c>
      <c r="F527" s="9">
        <v>45528</v>
      </c>
      <c r="G527" t="s">
        <v>884</v>
      </c>
      <c r="H527" t="s">
        <v>29</v>
      </c>
      <c r="I527">
        <v>7</v>
      </c>
      <c r="J527">
        <v>425.7</v>
      </c>
      <c r="K527" t="s">
        <v>1222</v>
      </c>
      <c r="L527" t="s">
        <v>1223</v>
      </c>
      <c r="T527" t="s">
        <v>268</v>
      </c>
      <c r="U527" t="s">
        <v>566</v>
      </c>
      <c r="V527" t="s">
        <v>609</v>
      </c>
      <c r="X527" t="s">
        <v>1229</v>
      </c>
      <c r="Z527" t="s">
        <v>670</v>
      </c>
      <c r="AA527" t="s">
        <v>1230</v>
      </c>
    </row>
    <row r="528" spans="1:27" x14ac:dyDescent="0.3">
      <c r="A528">
        <v>221187307</v>
      </c>
      <c r="B528">
        <v>3509962</v>
      </c>
      <c r="D528">
        <v>0</v>
      </c>
      <c r="E528" t="s">
        <v>107</v>
      </c>
      <c r="F528" s="9">
        <v>45528</v>
      </c>
      <c r="G528" t="s">
        <v>884</v>
      </c>
      <c r="H528" t="s">
        <v>29</v>
      </c>
      <c r="I528">
        <v>7</v>
      </c>
      <c r="J528">
        <v>425.63</v>
      </c>
      <c r="K528" t="s">
        <v>1222</v>
      </c>
      <c r="L528" t="s">
        <v>1223</v>
      </c>
      <c r="T528" t="s">
        <v>347</v>
      </c>
      <c r="U528" t="s">
        <v>37</v>
      </c>
      <c r="V528" t="s">
        <v>668</v>
      </c>
      <c r="W528" s="10" t="s">
        <v>1231</v>
      </c>
      <c r="X528" t="s">
        <v>1232</v>
      </c>
      <c r="Z528" t="s">
        <v>670</v>
      </c>
      <c r="AA528" t="s">
        <v>1233</v>
      </c>
    </row>
    <row r="529" spans="1:27" x14ac:dyDescent="0.3">
      <c r="A529">
        <v>221187306</v>
      </c>
      <c r="B529">
        <v>3509961</v>
      </c>
      <c r="D529">
        <v>0</v>
      </c>
      <c r="E529" t="s">
        <v>107</v>
      </c>
      <c r="F529" s="9">
        <v>45528</v>
      </c>
      <c r="G529" t="s">
        <v>884</v>
      </c>
      <c r="H529" t="s">
        <v>29</v>
      </c>
      <c r="I529">
        <v>7</v>
      </c>
      <c r="J529">
        <v>425.63</v>
      </c>
      <c r="K529" t="s">
        <v>1222</v>
      </c>
      <c r="L529" t="s">
        <v>1223</v>
      </c>
      <c r="T529" t="s">
        <v>268</v>
      </c>
      <c r="U529" t="s">
        <v>37</v>
      </c>
      <c r="V529" t="s">
        <v>668</v>
      </c>
      <c r="W529" s="10" t="s">
        <v>1231</v>
      </c>
      <c r="X529" t="s">
        <v>1232</v>
      </c>
      <c r="Z529" t="s">
        <v>670</v>
      </c>
      <c r="AA529" t="s">
        <v>1234</v>
      </c>
    </row>
    <row r="530" spans="1:27" x14ac:dyDescent="0.3">
      <c r="A530">
        <v>221248894</v>
      </c>
      <c r="B530">
        <v>3571549</v>
      </c>
      <c r="D530">
        <v>0</v>
      </c>
      <c r="E530" t="s">
        <v>107</v>
      </c>
      <c r="F530" s="9">
        <v>45528</v>
      </c>
      <c r="G530" t="s">
        <v>884</v>
      </c>
      <c r="H530" t="s">
        <v>29</v>
      </c>
      <c r="I530">
        <v>7</v>
      </c>
      <c r="J530">
        <v>425.63</v>
      </c>
      <c r="K530" t="s">
        <v>1222</v>
      </c>
      <c r="L530" t="s">
        <v>1223</v>
      </c>
      <c r="T530" t="s">
        <v>347</v>
      </c>
      <c r="U530" t="s">
        <v>79</v>
      </c>
      <c r="V530" t="s">
        <v>668</v>
      </c>
      <c r="X530" t="s">
        <v>1235</v>
      </c>
      <c r="Z530" t="s">
        <v>670</v>
      </c>
      <c r="AA530" t="s">
        <v>1236</v>
      </c>
    </row>
    <row r="531" spans="1:27" x14ac:dyDescent="0.3">
      <c r="A531">
        <v>221248893</v>
      </c>
      <c r="B531">
        <v>3571548</v>
      </c>
      <c r="D531">
        <v>0</v>
      </c>
      <c r="E531" t="s">
        <v>107</v>
      </c>
      <c r="F531" s="9">
        <v>45528</v>
      </c>
      <c r="G531" t="s">
        <v>884</v>
      </c>
      <c r="H531" t="s">
        <v>29</v>
      </c>
      <c r="I531">
        <v>7</v>
      </c>
      <c r="J531">
        <v>425.63</v>
      </c>
      <c r="K531" t="s">
        <v>1222</v>
      </c>
      <c r="L531" t="s">
        <v>1223</v>
      </c>
      <c r="T531" t="s">
        <v>268</v>
      </c>
      <c r="U531" t="s">
        <v>79</v>
      </c>
      <c r="V531" t="s">
        <v>668</v>
      </c>
      <c r="X531" t="s">
        <v>1235</v>
      </c>
      <c r="Z531" t="s">
        <v>670</v>
      </c>
      <c r="AA531" t="s">
        <v>1237</v>
      </c>
    </row>
    <row r="532" spans="1:27" x14ac:dyDescent="0.3">
      <c r="A532">
        <v>221310482</v>
      </c>
      <c r="B532">
        <v>3633137</v>
      </c>
      <c r="D532">
        <v>0</v>
      </c>
      <c r="E532" t="s">
        <v>107</v>
      </c>
      <c r="F532" s="9">
        <v>45528</v>
      </c>
      <c r="G532" t="s">
        <v>884</v>
      </c>
      <c r="H532" t="s">
        <v>29</v>
      </c>
      <c r="I532">
        <v>7</v>
      </c>
      <c r="J532">
        <v>425.58</v>
      </c>
      <c r="K532" t="s">
        <v>1222</v>
      </c>
      <c r="L532" t="s">
        <v>1223</v>
      </c>
      <c r="T532" t="s">
        <v>112</v>
      </c>
      <c r="U532" t="s">
        <v>37</v>
      </c>
      <c r="V532" t="s">
        <v>668</v>
      </c>
      <c r="X532" t="s">
        <v>1238</v>
      </c>
      <c r="Z532" t="s">
        <v>670</v>
      </c>
      <c r="AA532" t="s">
        <v>1239</v>
      </c>
    </row>
    <row r="533" spans="1:27" x14ac:dyDescent="0.3">
      <c r="A533">
        <v>221372073</v>
      </c>
      <c r="B533">
        <v>3694728</v>
      </c>
      <c r="D533">
        <v>0</v>
      </c>
      <c r="E533" t="s">
        <v>107</v>
      </c>
      <c r="F533" s="9">
        <v>45528</v>
      </c>
      <c r="G533" t="s">
        <v>884</v>
      </c>
      <c r="H533" t="s">
        <v>29</v>
      </c>
      <c r="I533">
        <v>7</v>
      </c>
      <c r="J533">
        <v>425.15800000000002</v>
      </c>
      <c r="K533" t="s">
        <v>1240</v>
      </c>
      <c r="L533" t="s">
        <v>1241</v>
      </c>
      <c r="T533" t="s">
        <v>569</v>
      </c>
      <c r="U533" t="s">
        <v>37</v>
      </c>
      <c r="V533" t="s">
        <v>668</v>
      </c>
      <c r="X533" t="s">
        <v>1242</v>
      </c>
      <c r="Z533" t="s">
        <v>670</v>
      </c>
      <c r="AA533" t="s">
        <v>1243</v>
      </c>
    </row>
    <row r="534" spans="1:27" x14ac:dyDescent="0.3">
      <c r="A534">
        <v>221433666</v>
      </c>
      <c r="B534">
        <v>3756321</v>
      </c>
      <c r="D534">
        <v>0</v>
      </c>
      <c r="E534" t="s">
        <v>107</v>
      </c>
      <c r="F534" s="9">
        <v>45528</v>
      </c>
      <c r="G534" t="s">
        <v>884</v>
      </c>
      <c r="H534" t="s">
        <v>29</v>
      </c>
      <c r="I534">
        <v>7</v>
      </c>
      <c r="J534">
        <v>425.13499999999999</v>
      </c>
      <c r="K534" t="s">
        <v>1240</v>
      </c>
      <c r="L534" t="s">
        <v>1241</v>
      </c>
      <c r="T534" t="s">
        <v>569</v>
      </c>
      <c r="U534" t="s">
        <v>566</v>
      </c>
      <c r="V534" t="s">
        <v>609</v>
      </c>
      <c r="X534" t="s">
        <v>1244</v>
      </c>
      <c r="Z534" t="s">
        <v>670</v>
      </c>
      <c r="AA534" t="s">
        <v>1245</v>
      </c>
    </row>
    <row r="535" spans="1:27" x14ac:dyDescent="0.3">
      <c r="A535">
        <v>221495262</v>
      </c>
      <c r="B535">
        <v>3817917</v>
      </c>
      <c r="D535">
        <v>0</v>
      </c>
      <c r="E535" t="s">
        <v>107</v>
      </c>
      <c r="F535" s="9">
        <v>45528</v>
      </c>
      <c r="G535" t="s">
        <v>884</v>
      </c>
      <c r="H535" t="s">
        <v>29</v>
      </c>
      <c r="I535">
        <v>7</v>
      </c>
      <c r="J535">
        <v>425.11500000000001</v>
      </c>
      <c r="K535" t="s">
        <v>1240</v>
      </c>
      <c r="L535" t="s">
        <v>1241</v>
      </c>
      <c r="T535" t="s">
        <v>347</v>
      </c>
      <c r="U535" t="s">
        <v>37</v>
      </c>
      <c r="V535" t="s">
        <v>668</v>
      </c>
      <c r="W535" s="10" t="s">
        <v>1246</v>
      </c>
      <c r="X535" t="s">
        <v>1247</v>
      </c>
      <c r="Z535" t="s">
        <v>670</v>
      </c>
      <c r="AA535" t="s">
        <v>1248</v>
      </c>
    </row>
    <row r="536" spans="1:27" x14ac:dyDescent="0.3">
      <c r="A536">
        <v>221495261</v>
      </c>
      <c r="B536">
        <v>3817916</v>
      </c>
      <c r="D536">
        <v>0</v>
      </c>
      <c r="E536" t="s">
        <v>107</v>
      </c>
      <c r="F536" s="9">
        <v>45528</v>
      </c>
      <c r="G536" t="s">
        <v>884</v>
      </c>
      <c r="H536" t="s">
        <v>29</v>
      </c>
      <c r="I536">
        <v>7</v>
      </c>
      <c r="J536">
        <v>425.11500000000001</v>
      </c>
      <c r="K536" t="s">
        <v>1240</v>
      </c>
      <c r="L536" t="s">
        <v>1241</v>
      </c>
      <c r="T536" t="s">
        <v>268</v>
      </c>
      <c r="U536" t="s">
        <v>37</v>
      </c>
      <c r="V536" t="s">
        <v>668</v>
      </c>
      <c r="W536" s="10" t="s">
        <v>1246</v>
      </c>
      <c r="X536" t="s">
        <v>1247</v>
      </c>
      <c r="Z536" t="s">
        <v>670</v>
      </c>
      <c r="AA536" t="s">
        <v>1249</v>
      </c>
    </row>
    <row r="537" spans="1:27" x14ac:dyDescent="0.3">
      <c r="A537">
        <v>221618457</v>
      </c>
      <c r="B537">
        <v>3941112</v>
      </c>
      <c r="D537">
        <v>0</v>
      </c>
      <c r="E537" t="s">
        <v>107</v>
      </c>
      <c r="F537" s="9">
        <v>45528</v>
      </c>
      <c r="G537" t="s">
        <v>884</v>
      </c>
      <c r="H537" t="s">
        <v>29</v>
      </c>
      <c r="I537">
        <v>7</v>
      </c>
      <c r="J537">
        <v>425.1</v>
      </c>
      <c r="K537" t="s">
        <v>1240</v>
      </c>
      <c r="L537" t="s">
        <v>1241</v>
      </c>
      <c r="T537" t="s">
        <v>112</v>
      </c>
      <c r="U537" t="s">
        <v>37</v>
      </c>
      <c r="V537" t="s">
        <v>668</v>
      </c>
      <c r="X537" t="s">
        <v>1250</v>
      </c>
      <c r="Z537" t="s">
        <v>670</v>
      </c>
      <c r="AA537" t="s">
        <v>1251</v>
      </c>
    </row>
    <row r="538" spans="1:27" x14ac:dyDescent="0.3">
      <c r="A538">
        <v>221680058</v>
      </c>
      <c r="B538">
        <v>4002713</v>
      </c>
      <c r="D538">
        <v>0</v>
      </c>
      <c r="E538" t="s">
        <v>107</v>
      </c>
      <c r="F538" s="9">
        <v>45528</v>
      </c>
      <c r="G538" t="s">
        <v>884</v>
      </c>
      <c r="H538" t="s">
        <v>29</v>
      </c>
      <c r="I538">
        <v>7</v>
      </c>
      <c r="J538">
        <v>425.08499999999998</v>
      </c>
      <c r="K538" t="s">
        <v>1240</v>
      </c>
      <c r="L538" t="s">
        <v>1241</v>
      </c>
      <c r="T538" t="s">
        <v>112</v>
      </c>
      <c r="U538" t="s">
        <v>566</v>
      </c>
      <c r="V538" t="s">
        <v>609</v>
      </c>
      <c r="X538" t="s">
        <v>1252</v>
      </c>
      <c r="Z538" t="s">
        <v>670</v>
      </c>
      <c r="AA538" t="s">
        <v>1253</v>
      </c>
    </row>
    <row r="539" spans="1:27" x14ac:dyDescent="0.3">
      <c r="A539">
        <v>246071491</v>
      </c>
      <c r="B539">
        <v>2278650</v>
      </c>
      <c r="D539">
        <v>1</v>
      </c>
      <c r="E539" t="s">
        <v>107</v>
      </c>
      <c r="F539" s="9">
        <v>45752</v>
      </c>
      <c r="G539" t="s">
        <v>351</v>
      </c>
      <c r="H539" t="s">
        <v>344</v>
      </c>
      <c r="I539">
        <v>13</v>
      </c>
      <c r="J539">
        <v>23.29</v>
      </c>
      <c r="K539" t="s">
        <v>679</v>
      </c>
      <c r="L539" t="s">
        <v>680</v>
      </c>
      <c r="T539" t="s">
        <v>317</v>
      </c>
      <c r="U539" t="s">
        <v>37</v>
      </c>
      <c r="V539" t="s">
        <v>668</v>
      </c>
      <c r="X539" t="s">
        <v>1254</v>
      </c>
      <c r="Z539" t="s">
        <v>675</v>
      </c>
      <c r="AA539" t="s">
        <v>1255</v>
      </c>
    </row>
    <row r="540" spans="1:27" x14ac:dyDescent="0.3">
      <c r="A540">
        <v>219210287</v>
      </c>
      <c r="B540">
        <v>2094085</v>
      </c>
      <c r="D540">
        <v>0</v>
      </c>
      <c r="E540" t="s">
        <v>107</v>
      </c>
      <c r="F540" s="9">
        <v>45508</v>
      </c>
      <c r="G540" t="s">
        <v>884</v>
      </c>
      <c r="H540" t="s">
        <v>29</v>
      </c>
      <c r="I540">
        <v>7</v>
      </c>
      <c r="J540">
        <v>416.21300000000002</v>
      </c>
      <c r="K540" t="s">
        <v>1256</v>
      </c>
      <c r="L540" t="s">
        <v>1257</v>
      </c>
      <c r="T540" t="s">
        <v>569</v>
      </c>
      <c r="U540" t="s">
        <v>37</v>
      </c>
      <c r="V540" t="s">
        <v>668</v>
      </c>
      <c r="X540" t="s">
        <v>1258</v>
      </c>
      <c r="Z540" t="s">
        <v>1259</v>
      </c>
      <c r="AA540" t="s">
        <v>1260</v>
      </c>
    </row>
    <row r="541" spans="1:27" x14ac:dyDescent="0.3">
      <c r="A541">
        <v>219271805</v>
      </c>
      <c r="B541">
        <v>2155603</v>
      </c>
      <c r="D541">
        <v>0</v>
      </c>
      <c r="E541" t="s">
        <v>107</v>
      </c>
      <c r="F541" s="9">
        <v>45508</v>
      </c>
      <c r="G541" t="s">
        <v>884</v>
      </c>
      <c r="H541" t="s">
        <v>29</v>
      </c>
      <c r="I541">
        <v>7</v>
      </c>
      <c r="J541">
        <v>416.16</v>
      </c>
      <c r="K541" t="s">
        <v>1256</v>
      </c>
      <c r="L541" t="s">
        <v>1257</v>
      </c>
      <c r="O541">
        <v>70</v>
      </c>
      <c r="T541" t="s">
        <v>317</v>
      </c>
      <c r="U541" t="s">
        <v>37</v>
      </c>
      <c r="V541" t="s">
        <v>609</v>
      </c>
      <c r="X541" t="s">
        <v>1261</v>
      </c>
      <c r="Z541" t="s">
        <v>1259</v>
      </c>
      <c r="AA541" t="s">
        <v>1262</v>
      </c>
    </row>
    <row r="542" spans="1:27" x14ac:dyDescent="0.3">
      <c r="A542">
        <v>219333326</v>
      </c>
      <c r="B542">
        <v>2217124</v>
      </c>
      <c r="D542">
        <v>0</v>
      </c>
      <c r="E542" t="s">
        <v>107</v>
      </c>
      <c r="F542" s="9">
        <v>45508</v>
      </c>
      <c r="G542" t="s">
        <v>884</v>
      </c>
      <c r="H542" t="s">
        <v>29</v>
      </c>
      <c r="I542">
        <v>7</v>
      </c>
      <c r="J542">
        <v>415.99</v>
      </c>
      <c r="K542" t="s">
        <v>1256</v>
      </c>
      <c r="L542" t="s">
        <v>1257</v>
      </c>
      <c r="O542">
        <v>100</v>
      </c>
      <c r="T542" t="s">
        <v>347</v>
      </c>
      <c r="U542" t="s">
        <v>79</v>
      </c>
      <c r="V542" t="s">
        <v>668</v>
      </c>
      <c r="X542" t="s">
        <v>1263</v>
      </c>
      <c r="Z542" t="s">
        <v>1259</v>
      </c>
      <c r="AA542" t="s">
        <v>1264</v>
      </c>
    </row>
    <row r="543" spans="1:27" x14ac:dyDescent="0.3">
      <c r="A543">
        <v>219333325</v>
      </c>
      <c r="B543">
        <v>2217123</v>
      </c>
      <c r="D543">
        <v>0</v>
      </c>
      <c r="E543" t="s">
        <v>107</v>
      </c>
      <c r="F543" s="9">
        <v>45508</v>
      </c>
      <c r="G543" t="s">
        <v>884</v>
      </c>
      <c r="H543" t="s">
        <v>29</v>
      </c>
      <c r="I543">
        <v>7</v>
      </c>
      <c r="J543">
        <v>415.99</v>
      </c>
      <c r="K543" t="s">
        <v>1256</v>
      </c>
      <c r="L543" t="s">
        <v>1257</v>
      </c>
      <c r="O543">
        <v>100</v>
      </c>
      <c r="T543" t="s">
        <v>268</v>
      </c>
      <c r="U543" t="s">
        <v>79</v>
      </c>
      <c r="V543" t="s">
        <v>668</v>
      </c>
      <c r="X543" t="s">
        <v>1263</v>
      </c>
      <c r="Z543" t="s">
        <v>1259</v>
      </c>
      <c r="AA543" t="s">
        <v>1265</v>
      </c>
    </row>
    <row r="544" spans="1:27" x14ac:dyDescent="0.3">
      <c r="A544">
        <v>219394847</v>
      </c>
      <c r="B544">
        <v>2278645</v>
      </c>
      <c r="D544">
        <v>0</v>
      </c>
      <c r="E544" t="s">
        <v>107</v>
      </c>
      <c r="F544" s="9">
        <v>45508</v>
      </c>
      <c r="G544" t="s">
        <v>884</v>
      </c>
      <c r="H544" t="s">
        <v>29</v>
      </c>
      <c r="I544">
        <v>7</v>
      </c>
      <c r="J544">
        <v>415.95</v>
      </c>
      <c r="K544" t="s">
        <v>1256</v>
      </c>
      <c r="L544" t="s">
        <v>1257</v>
      </c>
      <c r="T544" t="s">
        <v>112</v>
      </c>
      <c r="U544" t="s">
        <v>37</v>
      </c>
      <c r="V544" t="s">
        <v>668</v>
      </c>
      <c r="X544" t="s">
        <v>1266</v>
      </c>
      <c r="Z544" t="s">
        <v>1259</v>
      </c>
      <c r="AA544" t="s">
        <v>1267</v>
      </c>
    </row>
    <row r="545" spans="1:27" x14ac:dyDescent="0.3">
      <c r="A545">
        <v>246876204</v>
      </c>
      <c r="B545">
        <v>4064258</v>
      </c>
      <c r="D545">
        <v>1</v>
      </c>
      <c r="E545" t="s">
        <v>107</v>
      </c>
      <c r="F545" s="9">
        <v>45762</v>
      </c>
      <c r="G545" t="s">
        <v>658</v>
      </c>
      <c r="H545" t="s">
        <v>344</v>
      </c>
      <c r="I545">
        <v>7</v>
      </c>
      <c r="J545">
        <v>439.31700000000001</v>
      </c>
      <c r="K545" t="s">
        <v>999</v>
      </c>
      <c r="L545" t="s">
        <v>1000</v>
      </c>
      <c r="T545" t="s">
        <v>347</v>
      </c>
      <c r="U545" t="s">
        <v>79</v>
      </c>
      <c r="V545" t="s">
        <v>668</v>
      </c>
      <c r="X545" t="s">
        <v>1268</v>
      </c>
      <c r="Z545" t="s">
        <v>670</v>
      </c>
      <c r="AA545" t="s">
        <v>1269</v>
      </c>
    </row>
    <row r="546" spans="1:27" x14ac:dyDescent="0.3">
      <c r="A546">
        <v>246764675</v>
      </c>
      <c r="B546">
        <v>4064257</v>
      </c>
      <c r="D546">
        <v>1</v>
      </c>
      <c r="E546" t="s">
        <v>107</v>
      </c>
      <c r="F546" s="9">
        <v>45762</v>
      </c>
      <c r="G546" t="s">
        <v>658</v>
      </c>
      <c r="H546" t="s">
        <v>344</v>
      </c>
      <c r="I546">
        <v>7</v>
      </c>
      <c r="J546">
        <v>439.31700000000001</v>
      </c>
      <c r="K546" t="s">
        <v>999</v>
      </c>
      <c r="L546" t="s">
        <v>1000</v>
      </c>
      <c r="T546" t="s">
        <v>268</v>
      </c>
      <c r="U546" t="s">
        <v>79</v>
      </c>
      <c r="V546" t="s">
        <v>668</v>
      </c>
      <c r="X546" t="s">
        <v>1270</v>
      </c>
      <c r="Z546" t="s">
        <v>670</v>
      </c>
      <c r="AA546" t="s">
        <v>1271</v>
      </c>
    </row>
    <row r="547" spans="1:27" x14ac:dyDescent="0.3">
      <c r="A547">
        <v>246541620</v>
      </c>
      <c r="B547">
        <v>4125805</v>
      </c>
      <c r="D547">
        <v>1</v>
      </c>
      <c r="E547" t="s">
        <v>107</v>
      </c>
      <c r="F547" s="9">
        <v>45762</v>
      </c>
      <c r="G547" t="s">
        <v>658</v>
      </c>
      <c r="H547" t="s">
        <v>344</v>
      </c>
      <c r="I547">
        <v>7</v>
      </c>
      <c r="J547">
        <v>439.32499999999999</v>
      </c>
      <c r="K547" t="s">
        <v>999</v>
      </c>
      <c r="L547" t="s">
        <v>1000</v>
      </c>
      <c r="T547" t="s">
        <v>112</v>
      </c>
      <c r="U547" t="s">
        <v>37</v>
      </c>
      <c r="V547" t="s">
        <v>609</v>
      </c>
      <c r="X547" t="s">
        <v>1272</v>
      </c>
      <c r="Z547" t="s">
        <v>670</v>
      </c>
      <c r="AA547" t="s">
        <v>1273</v>
      </c>
    </row>
    <row r="548" spans="1:27" x14ac:dyDescent="0.3">
      <c r="A548">
        <v>246207045</v>
      </c>
      <c r="B548">
        <v>4187355</v>
      </c>
      <c r="D548">
        <v>1</v>
      </c>
      <c r="E548" t="s">
        <v>107</v>
      </c>
      <c r="F548" s="9">
        <v>45762</v>
      </c>
      <c r="G548" t="s">
        <v>658</v>
      </c>
      <c r="H548" t="s">
        <v>344</v>
      </c>
      <c r="I548">
        <v>7</v>
      </c>
      <c r="J548">
        <v>439.32499999999999</v>
      </c>
      <c r="K548" t="s">
        <v>999</v>
      </c>
      <c r="L548" t="s">
        <v>1000</v>
      </c>
      <c r="T548" t="s">
        <v>112</v>
      </c>
      <c r="U548" t="s">
        <v>566</v>
      </c>
      <c r="V548" t="s">
        <v>668</v>
      </c>
      <c r="X548" t="s">
        <v>1274</v>
      </c>
      <c r="Z548" t="s">
        <v>670</v>
      </c>
      <c r="AA548" t="s">
        <v>1275</v>
      </c>
    </row>
    <row r="549" spans="1:27" x14ac:dyDescent="0.3">
      <c r="A549">
        <v>246653147</v>
      </c>
      <c r="B549">
        <v>4248910</v>
      </c>
      <c r="D549">
        <v>1</v>
      </c>
      <c r="E549" t="s">
        <v>107</v>
      </c>
      <c r="F549" s="9">
        <v>45762</v>
      </c>
      <c r="G549" t="s">
        <v>658</v>
      </c>
      <c r="H549" t="s">
        <v>344</v>
      </c>
      <c r="I549">
        <v>7</v>
      </c>
      <c r="J549">
        <v>439.42500000000001</v>
      </c>
      <c r="K549" t="s">
        <v>999</v>
      </c>
      <c r="L549" t="s">
        <v>1000</v>
      </c>
      <c r="T549" t="s">
        <v>347</v>
      </c>
      <c r="U549" t="s">
        <v>812</v>
      </c>
      <c r="V549" t="s">
        <v>668</v>
      </c>
      <c r="X549" t="s">
        <v>1276</v>
      </c>
      <c r="Z549" t="s">
        <v>670</v>
      </c>
      <c r="AA549" t="s">
        <v>1277</v>
      </c>
    </row>
    <row r="550" spans="1:27" x14ac:dyDescent="0.3">
      <c r="A550">
        <v>247210797</v>
      </c>
      <c r="B550">
        <v>4310467</v>
      </c>
      <c r="D550">
        <v>1</v>
      </c>
      <c r="E550" t="s">
        <v>107</v>
      </c>
      <c r="F550" s="9">
        <v>45762</v>
      </c>
      <c r="G550" t="s">
        <v>658</v>
      </c>
      <c r="H550" t="s">
        <v>344</v>
      </c>
      <c r="I550">
        <v>7</v>
      </c>
      <c r="J550">
        <v>439.40499999999997</v>
      </c>
      <c r="K550" t="s">
        <v>999</v>
      </c>
      <c r="L550" t="s">
        <v>1000</v>
      </c>
      <c r="T550" t="s">
        <v>317</v>
      </c>
      <c r="U550" t="s">
        <v>37</v>
      </c>
      <c r="V550" t="s">
        <v>38</v>
      </c>
      <c r="X550" t="s">
        <v>1278</v>
      </c>
      <c r="Z550" t="s">
        <v>670</v>
      </c>
      <c r="AA550" t="s">
        <v>1279</v>
      </c>
    </row>
    <row r="551" spans="1:27" x14ac:dyDescent="0.3">
      <c r="A551">
        <v>247099265</v>
      </c>
      <c r="B551">
        <v>4372028</v>
      </c>
      <c r="D551">
        <v>1</v>
      </c>
      <c r="E551" t="s">
        <v>107</v>
      </c>
      <c r="F551" s="9">
        <v>45762</v>
      </c>
      <c r="G551" t="s">
        <v>658</v>
      </c>
      <c r="H551" t="s">
        <v>344</v>
      </c>
      <c r="I551">
        <v>7</v>
      </c>
      <c r="J551">
        <v>439.46499999999997</v>
      </c>
      <c r="K551" t="s">
        <v>999</v>
      </c>
      <c r="L551" t="s">
        <v>1000</v>
      </c>
      <c r="T551" t="s">
        <v>347</v>
      </c>
      <c r="U551" t="s">
        <v>32</v>
      </c>
      <c r="V551" t="s">
        <v>668</v>
      </c>
      <c r="X551" t="s">
        <v>1280</v>
      </c>
      <c r="Z551" t="s">
        <v>670</v>
      </c>
      <c r="AA551" t="s">
        <v>1281</v>
      </c>
    </row>
    <row r="552" spans="1:27" x14ac:dyDescent="0.3">
      <c r="A552">
        <v>246987734</v>
      </c>
      <c r="B552">
        <v>4372027</v>
      </c>
      <c r="D552">
        <v>1</v>
      </c>
      <c r="E552" t="s">
        <v>107</v>
      </c>
      <c r="F552" s="9">
        <v>45762</v>
      </c>
      <c r="G552" t="s">
        <v>658</v>
      </c>
      <c r="H552" t="s">
        <v>344</v>
      </c>
      <c r="I552">
        <v>7</v>
      </c>
      <c r="J552">
        <v>439.46499999999997</v>
      </c>
      <c r="K552" t="s">
        <v>999</v>
      </c>
      <c r="L552" t="s">
        <v>1000</v>
      </c>
      <c r="T552" t="s">
        <v>268</v>
      </c>
      <c r="U552" t="s">
        <v>32</v>
      </c>
      <c r="V552" t="s">
        <v>668</v>
      </c>
      <c r="X552" t="s">
        <v>1282</v>
      </c>
      <c r="Z552" t="s">
        <v>670</v>
      </c>
      <c r="AA552" t="s">
        <v>1283</v>
      </c>
    </row>
    <row r="553" spans="1:27" x14ac:dyDescent="0.3">
      <c r="A553">
        <v>247322330</v>
      </c>
      <c r="B553">
        <v>4433589</v>
      </c>
      <c r="D553">
        <v>1</v>
      </c>
      <c r="E553" t="s">
        <v>107</v>
      </c>
      <c r="F553" s="9">
        <v>45762</v>
      </c>
      <c r="G553" t="s">
        <v>658</v>
      </c>
      <c r="H553" t="s">
        <v>344</v>
      </c>
      <c r="I553">
        <v>7</v>
      </c>
      <c r="J553">
        <v>439.495</v>
      </c>
      <c r="K553" t="s">
        <v>999</v>
      </c>
      <c r="L553" t="s">
        <v>1000</v>
      </c>
      <c r="T553" t="s">
        <v>569</v>
      </c>
      <c r="U553" t="s">
        <v>37</v>
      </c>
      <c r="V553" t="s">
        <v>668</v>
      </c>
      <c r="X553" t="s">
        <v>1284</v>
      </c>
      <c r="Z553" t="s">
        <v>670</v>
      </c>
      <c r="AA553" t="s">
        <v>1285</v>
      </c>
    </row>
    <row r="554" spans="1:27" x14ac:dyDescent="0.3">
      <c r="A554">
        <v>255286054</v>
      </c>
      <c r="B554">
        <v>4542140</v>
      </c>
      <c r="D554">
        <v>1</v>
      </c>
      <c r="E554" t="s">
        <v>107</v>
      </c>
      <c r="F554" s="9">
        <v>45871</v>
      </c>
      <c r="G554" t="s">
        <v>351</v>
      </c>
      <c r="H554" t="s">
        <v>344</v>
      </c>
      <c r="I554">
        <v>14</v>
      </c>
      <c r="J554">
        <v>125.83</v>
      </c>
      <c r="K554" t="s">
        <v>516</v>
      </c>
      <c r="L554" t="s">
        <v>517</v>
      </c>
      <c r="T554" t="s">
        <v>317</v>
      </c>
      <c r="U554" t="s">
        <v>37</v>
      </c>
      <c r="V554" t="s">
        <v>668</v>
      </c>
      <c r="X554" t="s">
        <v>1286</v>
      </c>
      <c r="Z554" t="s">
        <v>1287</v>
      </c>
      <c r="AA554" t="s">
        <v>1288</v>
      </c>
    </row>
    <row r="555" spans="1:27" x14ac:dyDescent="0.3">
      <c r="A555">
        <v>255285749</v>
      </c>
      <c r="B555">
        <v>4542186</v>
      </c>
      <c r="D555">
        <v>1</v>
      </c>
      <c r="E555" t="s">
        <v>107</v>
      </c>
      <c r="F555" s="9">
        <v>45870</v>
      </c>
      <c r="G555" t="s">
        <v>351</v>
      </c>
      <c r="H555" t="s">
        <v>344</v>
      </c>
      <c r="I555">
        <v>14</v>
      </c>
      <c r="J555">
        <v>122.39</v>
      </c>
      <c r="K555" t="s">
        <v>1289</v>
      </c>
      <c r="L555" t="s">
        <v>532</v>
      </c>
      <c r="T555" t="s">
        <v>317</v>
      </c>
      <c r="U555" t="s">
        <v>37</v>
      </c>
      <c r="V555" t="s">
        <v>668</v>
      </c>
      <c r="X555" t="s">
        <v>1290</v>
      </c>
      <c r="Z555" t="s">
        <v>1287</v>
      </c>
      <c r="AA555" t="s">
        <v>1291</v>
      </c>
    </row>
    <row r="556" spans="1:27" x14ac:dyDescent="0.3">
      <c r="A556">
        <v>255285318</v>
      </c>
      <c r="B556">
        <v>4542320</v>
      </c>
      <c r="D556">
        <v>1</v>
      </c>
      <c r="E556" t="s">
        <v>107</v>
      </c>
      <c r="F556" s="9">
        <v>45870</v>
      </c>
      <c r="G556" t="s">
        <v>351</v>
      </c>
      <c r="H556" t="s">
        <v>344</v>
      </c>
      <c r="I556">
        <v>14</v>
      </c>
      <c r="J556">
        <v>120.955</v>
      </c>
      <c r="K556" t="s">
        <v>527</v>
      </c>
      <c r="L556" t="s">
        <v>528</v>
      </c>
      <c r="T556" t="s">
        <v>317</v>
      </c>
      <c r="U556" t="s">
        <v>37</v>
      </c>
      <c r="V556" t="s">
        <v>668</v>
      </c>
      <c r="X556" t="s">
        <v>1292</v>
      </c>
      <c r="Z556" t="s">
        <v>1287</v>
      </c>
      <c r="AA556" t="s">
        <v>1293</v>
      </c>
    </row>
    <row r="557" spans="1:27" x14ac:dyDescent="0.3">
      <c r="A557">
        <v>255285180</v>
      </c>
      <c r="B557">
        <v>4542545</v>
      </c>
      <c r="D557">
        <v>1</v>
      </c>
      <c r="E557" t="s">
        <v>107</v>
      </c>
      <c r="F557" s="9">
        <v>45868</v>
      </c>
      <c r="G557" t="s">
        <v>351</v>
      </c>
      <c r="H557" t="s">
        <v>344</v>
      </c>
      <c r="I557">
        <v>14</v>
      </c>
      <c r="J557">
        <v>107.85</v>
      </c>
      <c r="K557" t="s">
        <v>538</v>
      </c>
      <c r="L557" t="s">
        <v>539</v>
      </c>
      <c r="T557" t="s">
        <v>317</v>
      </c>
      <c r="U557" t="s">
        <v>37</v>
      </c>
      <c r="V557" t="s">
        <v>668</v>
      </c>
      <c r="X557" t="s">
        <v>1294</v>
      </c>
      <c r="Z557" t="s">
        <v>1287</v>
      </c>
      <c r="AA557" t="s">
        <v>1295</v>
      </c>
    </row>
    <row r="558" spans="1:27" x14ac:dyDescent="0.3">
      <c r="A558">
        <v>249552537</v>
      </c>
      <c r="B558">
        <v>5067461</v>
      </c>
      <c r="D558">
        <v>1</v>
      </c>
      <c r="E558" t="s">
        <v>107</v>
      </c>
      <c r="F558" s="9">
        <v>45780</v>
      </c>
      <c r="G558" t="s">
        <v>658</v>
      </c>
      <c r="H558" t="s">
        <v>344</v>
      </c>
      <c r="I558">
        <v>7</v>
      </c>
      <c r="J558">
        <v>499.48</v>
      </c>
      <c r="K558" t="s">
        <v>1296</v>
      </c>
      <c r="L558" t="s">
        <v>1297</v>
      </c>
      <c r="T558" t="s">
        <v>347</v>
      </c>
      <c r="U558" t="s">
        <v>94</v>
      </c>
      <c r="V558" t="s">
        <v>668</v>
      </c>
      <c r="X558" t="s">
        <v>1298</v>
      </c>
      <c r="Z558" t="s">
        <v>670</v>
      </c>
      <c r="AA558" t="s">
        <v>1299</v>
      </c>
    </row>
    <row r="559" spans="1:27" x14ac:dyDescent="0.3">
      <c r="A559">
        <v>249441031</v>
      </c>
      <c r="B559">
        <v>5067460</v>
      </c>
      <c r="D559">
        <v>1</v>
      </c>
      <c r="E559" t="s">
        <v>107</v>
      </c>
      <c r="F559" s="9">
        <v>45780</v>
      </c>
      <c r="G559" t="s">
        <v>658</v>
      </c>
      <c r="H559" t="s">
        <v>344</v>
      </c>
      <c r="I559">
        <v>7</v>
      </c>
      <c r="J559">
        <v>499.48</v>
      </c>
      <c r="K559" t="s">
        <v>1296</v>
      </c>
      <c r="L559" t="s">
        <v>1297</v>
      </c>
      <c r="T559" t="s">
        <v>268</v>
      </c>
      <c r="U559" t="s">
        <v>94</v>
      </c>
      <c r="V559" t="s">
        <v>668</v>
      </c>
      <c r="X559" t="s">
        <v>661</v>
      </c>
      <c r="Z559" t="s">
        <v>670</v>
      </c>
      <c r="AA559" t="s">
        <v>1300</v>
      </c>
    </row>
    <row r="560" spans="1:27" x14ac:dyDescent="0.3">
      <c r="A560">
        <v>249329526</v>
      </c>
      <c r="B560">
        <v>5129003</v>
      </c>
      <c r="D560">
        <v>1</v>
      </c>
      <c r="E560" t="s">
        <v>107</v>
      </c>
      <c r="F560" s="9">
        <v>45780</v>
      </c>
      <c r="G560" t="s">
        <v>658</v>
      </c>
      <c r="H560" t="s">
        <v>344</v>
      </c>
      <c r="I560">
        <v>7</v>
      </c>
      <c r="J560">
        <v>499.505</v>
      </c>
      <c r="K560" t="s">
        <v>1296</v>
      </c>
      <c r="L560" t="s">
        <v>1297</v>
      </c>
      <c r="T560" t="s">
        <v>112</v>
      </c>
      <c r="U560" t="s">
        <v>37</v>
      </c>
      <c r="V560" t="s">
        <v>668</v>
      </c>
      <c r="X560" t="s">
        <v>1301</v>
      </c>
      <c r="Z560" t="s">
        <v>670</v>
      </c>
      <c r="AA560" t="s">
        <v>1302</v>
      </c>
    </row>
    <row r="561" spans="1:27" x14ac:dyDescent="0.3">
      <c r="A561">
        <v>249218022</v>
      </c>
      <c r="B561">
        <v>5190548</v>
      </c>
      <c r="D561">
        <v>1</v>
      </c>
      <c r="E561" t="s">
        <v>107</v>
      </c>
      <c r="F561" s="9">
        <v>45780</v>
      </c>
      <c r="G561" t="s">
        <v>658</v>
      </c>
      <c r="H561" t="s">
        <v>344</v>
      </c>
      <c r="I561">
        <v>7</v>
      </c>
      <c r="J561">
        <v>499.53</v>
      </c>
      <c r="K561" t="s">
        <v>1296</v>
      </c>
      <c r="L561" t="s">
        <v>1297</v>
      </c>
      <c r="T561" t="s">
        <v>268</v>
      </c>
      <c r="U561" t="s">
        <v>37</v>
      </c>
      <c r="V561" t="s">
        <v>668</v>
      </c>
      <c r="X561" t="s">
        <v>1303</v>
      </c>
      <c r="Z561" t="s">
        <v>670</v>
      </c>
      <c r="AA561" t="s">
        <v>1304</v>
      </c>
    </row>
    <row r="562" spans="1:27" x14ac:dyDescent="0.3">
      <c r="A562">
        <v>249106519</v>
      </c>
      <c r="B562">
        <v>5252095</v>
      </c>
      <c r="D562">
        <v>1</v>
      </c>
      <c r="E562" t="s">
        <v>107</v>
      </c>
      <c r="F562" s="9">
        <v>45780</v>
      </c>
      <c r="G562" t="s">
        <v>658</v>
      </c>
      <c r="H562" t="s">
        <v>344</v>
      </c>
      <c r="I562">
        <v>7</v>
      </c>
      <c r="J562">
        <v>499.6</v>
      </c>
      <c r="K562" t="s">
        <v>1296</v>
      </c>
      <c r="L562" t="s">
        <v>1297</v>
      </c>
      <c r="T562" t="s">
        <v>317</v>
      </c>
      <c r="U562" t="s">
        <v>37</v>
      </c>
      <c r="V562" t="s">
        <v>609</v>
      </c>
      <c r="X562" t="s">
        <v>1305</v>
      </c>
      <c r="Z562" t="s">
        <v>670</v>
      </c>
      <c r="AA562" t="s">
        <v>1306</v>
      </c>
    </row>
    <row r="563" spans="1:27" x14ac:dyDescent="0.3">
      <c r="A563">
        <v>254126299</v>
      </c>
      <c r="B563">
        <v>5313642</v>
      </c>
      <c r="D563">
        <v>1</v>
      </c>
      <c r="E563" t="s">
        <v>107</v>
      </c>
      <c r="F563" s="9">
        <v>45781</v>
      </c>
      <c r="G563" t="s">
        <v>658</v>
      </c>
      <c r="H563" t="s">
        <v>344</v>
      </c>
      <c r="I563">
        <v>7</v>
      </c>
      <c r="J563">
        <v>500.245</v>
      </c>
      <c r="K563" t="s">
        <v>964</v>
      </c>
      <c r="L563" t="s">
        <v>660</v>
      </c>
      <c r="T563" t="s">
        <v>317</v>
      </c>
      <c r="U563" t="s">
        <v>37</v>
      </c>
      <c r="V563" t="s">
        <v>609</v>
      </c>
      <c r="X563" t="s">
        <v>1307</v>
      </c>
      <c r="Z563" t="s">
        <v>662</v>
      </c>
      <c r="AA563" t="s">
        <v>1308</v>
      </c>
    </row>
    <row r="564" spans="1:27" x14ac:dyDescent="0.3">
      <c r="A564">
        <v>254014720</v>
      </c>
      <c r="B564">
        <v>5375194</v>
      </c>
      <c r="D564">
        <v>1</v>
      </c>
      <c r="E564" t="s">
        <v>107</v>
      </c>
      <c r="F564" s="9">
        <v>45781</v>
      </c>
      <c r="G564" t="s">
        <v>658</v>
      </c>
      <c r="H564" t="s">
        <v>344</v>
      </c>
      <c r="I564">
        <v>7</v>
      </c>
      <c r="J564">
        <v>500.21600000000001</v>
      </c>
      <c r="K564" t="s">
        <v>964</v>
      </c>
      <c r="L564" t="s">
        <v>660</v>
      </c>
      <c r="T564" t="s">
        <v>347</v>
      </c>
      <c r="U564" t="s">
        <v>79</v>
      </c>
      <c r="V564" t="s">
        <v>668</v>
      </c>
      <c r="X564" t="s">
        <v>1309</v>
      </c>
      <c r="Z564" t="s">
        <v>662</v>
      </c>
      <c r="AA564" t="s">
        <v>1310</v>
      </c>
    </row>
    <row r="565" spans="1:27" x14ac:dyDescent="0.3">
      <c r="A565">
        <v>254461042</v>
      </c>
      <c r="B565">
        <v>5375193</v>
      </c>
      <c r="D565">
        <v>1</v>
      </c>
      <c r="E565" t="s">
        <v>107</v>
      </c>
      <c r="F565" s="9">
        <v>45781</v>
      </c>
      <c r="G565" t="s">
        <v>658</v>
      </c>
      <c r="H565" t="s">
        <v>344</v>
      </c>
      <c r="I565">
        <v>7</v>
      </c>
      <c r="J565">
        <v>500.21600000000001</v>
      </c>
      <c r="K565" t="s">
        <v>964</v>
      </c>
      <c r="L565" t="s">
        <v>660</v>
      </c>
      <c r="T565" t="s">
        <v>268</v>
      </c>
      <c r="U565" t="s">
        <v>79</v>
      </c>
      <c r="V565" t="s">
        <v>668</v>
      </c>
      <c r="X565" t="s">
        <v>1311</v>
      </c>
      <c r="Z565" t="s">
        <v>662</v>
      </c>
      <c r="AA565" t="s">
        <v>1312</v>
      </c>
    </row>
    <row r="566" spans="1:27" x14ac:dyDescent="0.3">
      <c r="A566">
        <v>254684209</v>
      </c>
      <c r="B566">
        <v>5436746</v>
      </c>
      <c r="D566">
        <v>1</v>
      </c>
      <c r="E566" t="s">
        <v>107</v>
      </c>
      <c r="F566" s="9">
        <v>45781</v>
      </c>
      <c r="G566" t="s">
        <v>658</v>
      </c>
      <c r="H566" t="s">
        <v>344</v>
      </c>
      <c r="I566">
        <v>7</v>
      </c>
      <c r="J566">
        <v>500.31</v>
      </c>
      <c r="K566" t="s">
        <v>964</v>
      </c>
      <c r="L566" t="s">
        <v>660</v>
      </c>
      <c r="T566" t="s">
        <v>317</v>
      </c>
      <c r="U566" t="s">
        <v>37</v>
      </c>
      <c r="V566" t="s">
        <v>668</v>
      </c>
      <c r="X566" t="s">
        <v>1313</v>
      </c>
      <c r="Z566" t="s">
        <v>662</v>
      </c>
      <c r="AA566" t="s">
        <v>1314</v>
      </c>
    </row>
    <row r="567" spans="1:27" x14ac:dyDescent="0.3">
      <c r="A567">
        <v>254572625</v>
      </c>
      <c r="B567">
        <v>5498301</v>
      </c>
      <c r="D567">
        <v>1</v>
      </c>
      <c r="E567" t="s">
        <v>107</v>
      </c>
      <c r="F567" s="9">
        <v>45781</v>
      </c>
      <c r="G567" t="s">
        <v>658</v>
      </c>
      <c r="H567" t="s">
        <v>344</v>
      </c>
      <c r="I567">
        <v>7</v>
      </c>
      <c r="J567">
        <v>500.35</v>
      </c>
      <c r="K567" t="s">
        <v>964</v>
      </c>
      <c r="L567" t="s">
        <v>660</v>
      </c>
      <c r="T567" t="s">
        <v>347</v>
      </c>
      <c r="U567" t="s">
        <v>49</v>
      </c>
      <c r="V567" t="s">
        <v>609</v>
      </c>
      <c r="X567" t="s">
        <v>1303</v>
      </c>
      <c r="Z567" t="s">
        <v>662</v>
      </c>
      <c r="AA567" t="s">
        <v>1315</v>
      </c>
    </row>
    <row r="568" spans="1:27" x14ac:dyDescent="0.3">
      <c r="A568">
        <v>254349460</v>
      </c>
      <c r="B568">
        <v>5559858</v>
      </c>
      <c r="D568">
        <v>1</v>
      </c>
      <c r="E568" t="s">
        <v>107</v>
      </c>
      <c r="F568" s="9">
        <v>45781</v>
      </c>
      <c r="G568" t="s">
        <v>658</v>
      </c>
      <c r="H568" t="s">
        <v>344</v>
      </c>
      <c r="I568">
        <v>7</v>
      </c>
      <c r="J568">
        <v>500.42</v>
      </c>
      <c r="K568" t="s">
        <v>964</v>
      </c>
      <c r="L568" t="s">
        <v>660</v>
      </c>
      <c r="T568" t="s">
        <v>268</v>
      </c>
      <c r="U568" t="s">
        <v>37</v>
      </c>
      <c r="V568" t="s">
        <v>668</v>
      </c>
      <c r="X568" t="s">
        <v>1316</v>
      </c>
      <c r="Z568" t="s">
        <v>662</v>
      </c>
      <c r="AA568" t="s">
        <v>1317</v>
      </c>
    </row>
    <row r="569" spans="1:27" x14ac:dyDescent="0.3">
      <c r="A569">
        <v>254237879</v>
      </c>
      <c r="B569">
        <v>5621417</v>
      </c>
      <c r="D569">
        <v>1</v>
      </c>
      <c r="E569" t="s">
        <v>107</v>
      </c>
      <c r="F569" s="9">
        <v>45781</v>
      </c>
      <c r="G569" t="s">
        <v>658</v>
      </c>
      <c r="H569" t="s">
        <v>344</v>
      </c>
      <c r="I569">
        <v>7</v>
      </c>
      <c r="J569">
        <v>500.52499999999998</v>
      </c>
      <c r="K569" t="s">
        <v>964</v>
      </c>
      <c r="L569" t="s">
        <v>660</v>
      </c>
      <c r="T569" t="s">
        <v>347</v>
      </c>
      <c r="U569" t="s">
        <v>49</v>
      </c>
      <c r="V569" t="s">
        <v>609</v>
      </c>
      <c r="X569" t="s">
        <v>1318</v>
      </c>
      <c r="Z569" t="s">
        <v>662</v>
      </c>
      <c r="AA569" t="s">
        <v>1319</v>
      </c>
    </row>
    <row r="570" spans="1:27" x14ac:dyDescent="0.3">
      <c r="A570">
        <v>253233695</v>
      </c>
      <c r="B570">
        <v>5682979</v>
      </c>
      <c r="D570">
        <v>1</v>
      </c>
      <c r="E570" t="s">
        <v>107</v>
      </c>
      <c r="F570" s="9">
        <v>45781</v>
      </c>
      <c r="G570" t="s">
        <v>658</v>
      </c>
      <c r="H570" t="s">
        <v>344</v>
      </c>
      <c r="I570">
        <v>7</v>
      </c>
      <c r="J570">
        <v>500.96</v>
      </c>
      <c r="K570" t="s">
        <v>1320</v>
      </c>
      <c r="L570" t="s">
        <v>1321</v>
      </c>
      <c r="T570" t="s">
        <v>347</v>
      </c>
      <c r="U570" t="s">
        <v>94</v>
      </c>
      <c r="V570" t="s">
        <v>668</v>
      </c>
      <c r="X570" t="s">
        <v>1322</v>
      </c>
      <c r="Z570" t="s">
        <v>662</v>
      </c>
      <c r="AA570" t="s">
        <v>1323</v>
      </c>
    </row>
    <row r="571" spans="1:27" x14ac:dyDescent="0.3">
      <c r="A571">
        <v>253122124</v>
      </c>
      <c r="B571">
        <v>5682978</v>
      </c>
      <c r="D571">
        <v>1</v>
      </c>
      <c r="E571" t="s">
        <v>107</v>
      </c>
      <c r="F571" s="9">
        <v>45781</v>
      </c>
      <c r="G571" t="s">
        <v>658</v>
      </c>
      <c r="H571" t="s">
        <v>344</v>
      </c>
      <c r="I571">
        <v>7</v>
      </c>
      <c r="J571">
        <v>500.96</v>
      </c>
      <c r="K571" t="s">
        <v>1320</v>
      </c>
      <c r="L571" t="s">
        <v>1321</v>
      </c>
      <c r="T571" t="s">
        <v>268</v>
      </c>
      <c r="U571" t="s">
        <v>94</v>
      </c>
      <c r="V571" t="s">
        <v>668</v>
      </c>
      <c r="X571" t="s">
        <v>1324</v>
      </c>
      <c r="Z571" t="s">
        <v>662</v>
      </c>
      <c r="AA571" t="s">
        <v>1325</v>
      </c>
    </row>
    <row r="572" spans="1:27" x14ac:dyDescent="0.3">
      <c r="A572">
        <v>253456840</v>
      </c>
      <c r="B572">
        <v>5744542</v>
      </c>
      <c r="D572">
        <v>1</v>
      </c>
      <c r="E572" t="s">
        <v>107</v>
      </c>
      <c r="F572" s="9">
        <v>45781</v>
      </c>
      <c r="G572" t="s">
        <v>658</v>
      </c>
      <c r="H572" t="s">
        <v>344</v>
      </c>
      <c r="I572">
        <v>7</v>
      </c>
      <c r="J572">
        <v>501.04</v>
      </c>
      <c r="K572" t="s">
        <v>1320</v>
      </c>
      <c r="L572" t="s">
        <v>1321</v>
      </c>
      <c r="T572" t="s">
        <v>347</v>
      </c>
      <c r="U572" t="s">
        <v>79</v>
      </c>
      <c r="V572" t="s">
        <v>609</v>
      </c>
      <c r="X572" t="s">
        <v>1326</v>
      </c>
      <c r="Z572" t="s">
        <v>662</v>
      </c>
      <c r="AA572" t="s">
        <v>1327</v>
      </c>
    </row>
    <row r="573" spans="1:27" x14ac:dyDescent="0.3">
      <c r="A573">
        <v>253345267</v>
      </c>
      <c r="B573">
        <v>5744541</v>
      </c>
      <c r="D573">
        <v>1</v>
      </c>
      <c r="E573" t="s">
        <v>107</v>
      </c>
      <c r="F573" s="9">
        <v>45781</v>
      </c>
      <c r="G573" t="s">
        <v>658</v>
      </c>
      <c r="H573" t="s">
        <v>344</v>
      </c>
      <c r="I573">
        <v>7</v>
      </c>
      <c r="J573">
        <v>501.04</v>
      </c>
      <c r="K573" t="s">
        <v>1320</v>
      </c>
      <c r="L573" t="s">
        <v>1321</v>
      </c>
      <c r="T573" t="s">
        <v>268</v>
      </c>
      <c r="U573" t="s">
        <v>79</v>
      </c>
      <c r="V573" t="s">
        <v>609</v>
      </c>
      <c r="X573" t="s">
        <v>1328</v>
      </c>
      <c r="Z573" t="s">
        <v>662</v>
      </c>
      <c r="AA573" t="s">
        <v>1329</v>
      </c>
    </row>
    <row r="574" spans="1:27" x14ac:dyDescent="0.3">
      <c r="A574">
        <v>253568414</v>
      </c>
      <c r="B574">
        <v>5806106</v>
      </c>
      <c r="D574">
        <v>1</v>
      </c>
      <c r="E574" t="s">
        <v>107</v>
      </c>
      <c r="F574" s="9">
        <v>45781</v>
      </c>
      <c r="G574" t="s">
        <v>658</v>
      </c>
      <c r="H574" t="s">
        <v>344</v>
      </c>
      <c r="I574">
        <v>7</v>
      </c>
      <c r="J574">
        <v>501.27499999999998</v>
      </c>
      <c r="K574" t="s">
        <v>1320</v>
      </c>
      <c r="L574" t="s">
        <v>1321</v>
      </c>
      <c r="T574" t="s">
        <v>347</v>
      </c>
      <c r="U574" t="s">
        <v>37</v>
      </c>
      <c r="V574" t="s">
        <v>668</v>
      </c>
      <c r="X574" t="s">
        <v>1330</v>
      </c>
      <c r="Z574" t="s">
        <v>662</v>
      </c>
      <c r="AA574" t="s">
        <v>1331</v>
      </c>
    </row>
    <row r="575" spans="1:27" x14ac:dyDescent="0.3">
      <c r="A575">
        <v>251337124</v>
      </c>
      <c r="B575">
        <v>5867714</v>
      </c>
      <c r="D575">
        <v>1</v>
      </c>
      <c r="E575" t="s">
        <v>107</v>
      </c>
      <c r="F575" s="9">
        <v>45781</v>
      </c>
      <c r="G575" t="s">
        <v>658</v>
      </c>
      <c r="H575" t="s">
        <v>344</v>
      </c>
      <c r="I575">
        <v>7</v>
      </c>
      <c r="J575">
        <v>506.17599999999999</v>
      </c>
      <c r="K575" t="s">
        <v>961</v>
      </c>
      <c r="L575" t="s">
        <v>962</v>
      </c>
      <c r="T575" t="s">
        <v>569</v>
      </c>
      <c r="U575" t="s">
        <v>113</v>
      </c>
      <c r="V575" t="s">
        <v>33</v>
      </c>
      <c r="X575" t="s">
        <v>1332</v>
      </c>
      <c r="Z575" t="s">
        <v>662</v>
      </c>
      <c r="AA575" t="s">
        <v>1333</v>
      </c>
    </row>
    <row r="576" spans="1:27" x14ac:dyDescent="0.3">
      <c r="A576">
        <v>251002465</v>
      </c>
      <c r="B576">
        <v>5929327</v>
      </c>
      <c r="D576">
        <v>1</v>
      </c>
      <c r="E576" t="s">
        <v>107</v>
      </c>
      <c r="F576" s="9">
        <v>45781</v>
      </c>
      <c r="G576" t="s">
        <v>658</v>
      </c>
      <c r="H576" t="s">
        <v>344</v>
      </c>
      <c r="I576">
        <v>7</v>
      </c>
      <c r="J576">
        <v>506.17599999999999</v>
      </c>
      <c r="K576" t="s">
        <v>961</v>
      </c>
      <c r="L576" t="s">
        <v>962</v>
      </c>
      <c r="T576" t="s">
        <v>347</v>
      </c>
      <c r="U576" t="s">
        <v>79</v>
      </c>
      <c r="V576" t="s">
        <v>668</v>
      </c>
      <c r="X576" t="s">
        <v>1334</v>
      </c>
      <c r="Z576" t="s">
        <v>662</v>
      </c>
      <c r="AA576" t="s">
        <v>1335</v>
      </c>
    </row>
    <row r="577" spans="1:27" x14ac:dyDescent="0.3">
      <c r="A577">
        <v>250556267</v>
      </c>
      <c r="B577">
        <v>5929326</v>
      </c>
      <c r="D577">
        <v>1</v>
      </c>
      <c r="E577" t="s">
        <v>107</v>
      </c>
      <c r="F577" s="9">
        <v>45781</v>
      </c>
      <c r="G577" t="s">
        <v>658</v>
      </c>
      <c r="H577" t="s">
        <v>344</v>
      </c>
      <c r="I577">
        <v>7</v>
      </c>
      <c r="J577">
        <v>506.17599999999999</v>
      </c>
      <c r="K577" t="s">
        <v>961</v>
      </c>
      <c r="L577" t="s">
        <v>962</v>
      </c>
      <c r="T577" t="s">
        <v>268</v>
      </c>
      <c r="U577" t="s">
        <v>79</v>
      </c>
      <c r="V577" t="s">
        <v>668</v>
      </c>
      <c r="X577" t="s">
        <v>1336</v>
      </c>
      <c r="Z577" t="s">
        <v>662</v>
      </c>
      <c r="AA577" t="s">
        <v>1337</v>
      </c>
    </row>
    <row r="578" spans="1:27" x14ac:dyDescent="0.3">
      <c r="A578">
        <v>250667815</v>
      </c>
      <c r="B578">
        <v>5990940</v>
      </c>
      <c r="D578">
        <v>1</v>
      </c>
      <c r="E578" t="s">
        <v>107</v>
      </c>
      <c r="F578" s="9">
        <v>45781</v>
      </c>
      <c r="G578" t="s">
        <v>658</v>
      </c>
      <c r="H578" t="s">
        <v>344</v>
      </c>
      <c r="I578">
        <v>7</v>
      </c>
      <c r="J578">
        <v>506.08</v>
      </c>
      <c r="K578" t="s">
        <v>961</v>
      </c>
      <c r="L578" t="s">
        <v>962</v>
      </c>
      <c r="T578" t="s">
        <v>268</v>
      </c>
      <c r="U578" t="s">
        <v>812</v>
      </c>
      <c r="V578" t="s">
        <v>609</v>
      </c>
      <c r="X578" t="s">
        <v>1338</v>
      </c>
      <c r="Z578" t="s">
        <v>662</v>
      </c>
      <c r="AA578" t="s">
        <v>1339</v>
      </c>
    </row>
    <row r="579" spans="1:27" x14ac:dyDescent="0.3">
      <c r="A579">
        <v>250779364</v>
      </c>
      <c r="B579">
        <v>6052557</v>
      </c>
      <c r="D579">
        <v>1</v>
      </c>
      <c r="E579" t="s">
        <v>107</v>
      </c>
      <c r="F579" s="9">
        <v>45781</v>
      </c>
      <c r="G579" t="s">
        <v>658</v>
      </c>
      <c r="H579" t="s">
        <v>344</v>
      </c>
      <c r="I579">
        <v>7</v>
      </c>
      <c r="J579">
        <v>505.99</v>
      </c>
      <c r="K579" t="s">
        <v>961</v>
      </c>
      <c r="L579" t="s">
        <v>962</v>
      </c>
      <c r="T579" t="s">
        <v>347</v>
      </c>
      <c r="U579" t="s">
        <v>49</v>
      </c>
      <c r="V579" t="s">
        <v>38</v>
      </c>
      <c r="X579" t="s">
        <v>1340</v>
      </c>
      <c r="Z579" t="s">
        <v>662</v>
      </c>
      <c r="AA579" t="s">
        <v>1341</v>
      </c>
    </row>
    <row r="580" spans="1:27" x14ac:dyDescent="0.3">
      <c r="A580">
        <v>250444720</v>
      </c>
      <c r="B580">
        <v>6052556</v>
      </c>
      <c r="D580">
        <v>1</v>
      </c>
      <c r="E580" t="s">
        <v>107</v>
      </c>
      <c r="F580" s="9">
        <v>45781</v>
      </c>
      <c r="G580" t="s">
        <v>658</v>
      </c>
      <c r="H580" t="s">
        <v>344</v>
      </c>
      <c r="I580">
        <v>7</v>
      </c>
      <c r="J580">
        <v>505.99</v>
      </c>
      <c r="K580" t="s">
        <v>961</v>
      </c>
      <c r="L580" t="s">
        <v>962</v>
      </c>
      <c r="T580" t="s">
        <v>268</v>
      </c>
      <c r="U580" t="s">
        <v>49</v>
      </c>
      <c r="V580" t="s">
        <v>38</v>
      </c>
      <c r="X580" t="s">
        <v>1342</v>
      </c>
      <c r="Z580" t="s">
        <v>662</v>
      </c>
      <c r="AA580" t="s">
        <v>1343</v>
      </c>
    </row>
    <row r="581" spans="1:27" x14ac:dyDescent="0.3">
      <c r="A581">
        <v>250890914</v>
      </c>
      <c r="B581">
        <v>6114175</v>
      </c>
      <c r="D581">
        <v>1</v>
      </c>
      <c r="E581" t="s">
        <v>107</v>
      </c>
      <c r="F581" s="9">
        <v>45781</v>
      </c>
      <c r="G581" t="s">
        <v>658</v>
      </c>
      <c r="H581" t="s">
        <v>344</v>
      </c>
      <c r="I581">
        <v>7</v>
      </c>
      <c r="J581">
        <v>505.82</v>
      </c>
      <c r="K581" t="s">
        <v>961</v>
      </c>
      <c r="L581" t="s">
        <v>962</v>
      </c>
      <c r="T581" t="s">
        <v>347</v>
      </c>
      <c r="U581" t="s">
        <v>49</v>
      </c>
      <c r="V581" t="s">
        <v>38</v>
      </c>
      <c r="X581" t="s">
        <v>1344</v>
      </c>
      <c r="Z581" t="s">
        <v>662</v>
      </c>
      <c r="AA581" t="s">
        <v>1345</v>
      </c>
    </row>
    <row r="582" spans="1:27" x14ac:dyDescent="0.3">
      <c r="A582">
        <v>227995308</v>
      </c>
      <c r="B582">
        <v>6114174</v>
      </c>
      <c r="D582">
        <v>0</v>
      </c>
      <c r="E582" t="s">
        <v>107</v>
      </c>
      <c r="F582" s="9">
        <v>45564</v>
      </c>
      <c r="G582" t="s">
        <v>884</v>
      </c>
      <c r="H582" t="s">
        <v>29</v>
      </c>
      <c r="I582">
        <v>7</v>
      </c>
      <c r="J582">
        <v>505.82</v>
      </c>
      <c r="K582" t="s">
        <v>961</v>
      </c>
      <c r="L582" t="s">
        <v>962</v>
      </c>
      <c r="O582">
        <v>250</v>
      </c>
      <c r="T582" t="s">
        <v>268</v>
      </c>
      <c r="U582" t="s">
        <v>49</v>
      </c>
      <c r="V582" t="s">
        <v>38</v>
      </c>
      <c r="X582" t="s">
        <v>1346</v>
      </c>
      <c r="Z582" t="s">
        <v>662</v>
      </c>
      <c r="AA582" t="s">
        <v>1347</v>
      </c>
    </row>
    <row r="583" spans="1:27" x14ac:dyDescent="0.3">
      <c r="A583">
        <v>251114017</v>
      </c>
      <c r="B583">
        <v>6175794</v>
      </c>
      <c r="D583">
        <v>1</v>
      </c>
      <c r="E583" t="s">
        <v>107</v>
      </c>
      <c r="F583" s="9">
        <v>45781</v>
      </c>
      <c r="G583" t="s">
        <v>658</v>
      </c>
      <c r="H583" t="s">
        <v>344</v>
      </c>
      <c r="I583">
        <v>7</v>
      </c>
      <c r="J583">
        <v>505.74</v>
      </c>
      <c r="K583" t="s">
        <v>961</v>
      </c>
      <c r="L583" t="s">
        <v>962</v>
      </c>
      <c r="T583" t="s">
        <v>317</v>
      </c>
      <c r="U583" t="s">
        <v>49</v>
      </c>
      <c r="V583" t="s">
        <v>38</v>
      </c>
      <c r="X583" t="s">
        <v>1348</v>
      </c>
      <c r="Z583" t="s">
        <v>662</v>
      </c>
      <c r="AA583" t="s">
        <v>1349</v>
      </c>
    </row>
    <row r="584" spans="1:27" x14ac:dyDescent="0.3">
      <c r="A584">
        <v>251448679</v>
      </c>
      <c r="B584">
        <v>6237416</v>
      </c>
      <c r="D584">
        <v>1</v>
      </c>
      <c r="E584" t="s">
        <v>107</v>
      </c>
      <c r="F584" s="9">
        <v>45781</v>
      </c>
      <c r="G584" t="s">
        <v>658</v>
      </c>
      <c r="H584" t="s">
        <v>344</v>
      </c>
      <c r="I584">
        <v>7</v>
      </c>
      <c r="J584">
        <v>505.79</v>
      </c>
      <c r="K584" t="s">
        <v>961</v>
      </c>
      <c r="L584" t="s">
        <v>962</v>
      </c>
      <c r="T584" t="s">
        <v>268</v>
      </c>
      <c r="U584" t="s">
        <v>79</v>
      </c>
      <c r="V584" t="s">
        <v>668</v>
      </c>
      <c r="X584" t="s">
        <v>1342</v>
      </c>
      <c r="Z584" t="s">
        <v>662</v>
      </c>
      <c r="AA584" t="s">
        <v>1350</v>
      </c>
    </row>
    <row r="585" spans="1:27" x14ac:dyDescent="0.3">
      <c r="A585">
        <v>251225570</v>
      </c>
      <c r="B585">
        <v>6299040</v>
      </c>
      <c r="D585">
        <v>1</v>
      </c>
      <c r="E585" t="s">
        <v>107</v>
      </c>
      <c r="F585" s="9">
        <v>45781</v>
      </c>
      <c r="G585" t="s">
        <v>658</v>
      </c>
      <c r="H585" t="s">
        <v>344</v>
      </c>
      <c r="I585">
        <v>7</v>
      </c>
      <c r="J585">
        <v>505.49</v>
      </c>
      <c r="K585" t="s">
        <v>961</v>
      </c>
      <c r="L585" t="s">
        <v>962</v>
      </c>
      <c r="T585" t="s">
        <v>317</v>
      </c>
      <c r="U585" t="s">
        <v>37</v>
      </c>
      <c r="V585" t="s">
        <v>38</v>
      </c>
      <c r="X585" t="s">
        <v>1351</v>
      </c>
      <c r="Z585" t="s">
        <v>662</v>
      </c>
      <c r="AA585" t="s">
        <v>1352</v>
      </c>
    </row>
    <row r="586" spans="1:27" x14ac:dyDescent="0.3">
      <c r="A586">
        <v>251671792</v>
      </c>
      <c r="B586">
        <v>6360672</v>
      </c>
      <c r="D586">
        <v>1</v>
      </c>
      <c r="E586" t="s">
        <v>107</v>
      </c>
      <c r="F586" s="9">
        <v>45781</v>
      </c>
      <c r="G586" t="s">
        <v>658</v>
      </c>
      <c r="H586" t="s">
        <v>344</v>
      </c>
      <c r="I586">
        <v>7</v>
      </c>
      <c r="J586">
        <v>504.58</v>
      </c>
      <c r="K586" t="s">
        <v>878</v>
      </c>
      <c r="L586" t="s">
        <v>1353</v>
      </c>
      <c r="T586" t="s">
        <v>317</v>
      </c>
      <c r="U586" t="s">
        <v>37</v>
      </c>
      <c r="V586" t="s">
        <v>38</v>
      </c>
      <c r="X586" t="s">
        <v>1354</v>
      </c>
      <c r="Z586" t="s">
        <v>662</v>
      </c>
      <c r="AA586" t="s">
        <v>1355</v>
      </c>
    </row>
    <row r="587" spans="1:27" x14ac:dyDescent="0.3">
      <c r="A587">
        <v>251783350</v>
      </c>
      <c r="B587">
        <v>6422306</v>
      </c>
      <c r="D587">
        <v>1</v>
      </c>
      <c r="E587" t="s">
        <v>107</v>
      </c>
      <c r="F587" s="9">
        <v>45781</v>
      </c>
      <c r="G587" t="s">
        <v>658</v>
      </c>
      <c r="H587" t="s">
        <v>344</v>
      </c>
      <c r="I587">
        <v>7</v>
      </c>
      <c r="J587">
        <v>504.5</v>
      </c>
      <c r="K587" t="s">
        <v>878</v>
      </c>
      <c r="L587" t="s">
        <v>1353</v>
      </c>
      <c r="T587" t="s">
        <v>268</v>
      </c>
      <c r="U587" t="s">
        <v>49</v>
      </c>
      <c r="V587" t="s">
        <v>668</v>
      </c>
      <c r="X587" t="s">
        <v>1356</v>
      </c>
      <c r="Z587" t="s">
        <v>662</v>
      </c>
      <c r="AA587" t="s">
        <v>1357</v>
      </c>
    </row>
    <row r="588" spans="1:27" x14ac:dyDescent="0.3">
      <c r="A588">
        <v>252006469</v>
      </c>
      <c r="B588">
        <v>6483942</v>
      </c>
      <c r="D588">
        <v>1</v>
      </c>
      <c r="E588" t="s">
        <v>107</v>
      </c>
      <c r="F588" s="9">
        <v>45781</v>
      </c>
      <c r="G588" t="s">
        <v>658</v>
      </c>
      <c r="H588" t="s">
        <v>344</v>
      </c>
      <c r="I588">
        <v>7</v>
      </c>
      <c r="J588">
        <v>504.5</v>
      </c>
      <c r="K588" t="s">
        <v>878</v>
      </c>
      <c r="L588" t="s">
        <v>1353</v>
      </c>
      <c r="T588" t="s">
        <v>317</v>
      </c>
      <c r="U588" t="s">
        <v>37</v>
      </c>
      <c r="V588" t="s">
        <v>609</v>
      </c>
      <c r="X588" t="s">
        <v>1358</v>
      </c>
      <c r="Z588" t="s">
        <v>662</v>
      </c>
      <c r="AA588" t="s">
        <v>1359</v>
      </c>
    </row>
    <row r="589" spans="1:27" x14ac:dyDescent="0.3">
      <c r="A589">
        <v>251894909</v>
      </c>
      <c r="B589">
        <v>6545580</v>
      </c>
      <c r="D589">
        <v>1</v>
      </c>
      <c r="E589" t="s">
        <v>107</v>
      </c>
      <c r="F589" s="9">
        <v>45781</v>
      </c>
      <c r="G589" t="s">
        <v>658</v>
      </c>
      <c r="H589" t="s">
        <v>344</v>
      </c>
      <c r="I589">
        <v>7</v>
      </c>
      <c r="J589">
        <v>504.46</v>
      </c>
      <c r="K589" t="s">
        <v>878</v>
      </c>
      <c r="L589" t="s">
        <v>1353</v>
      </c>
      <c r="T589" t="s">
        <v>347</v>
      </c>
      <c r="U589" t="s">
        <v>49</v>
      </c>
      <c r="V589" t="s">
        <v>609</v>
      </c>
      <c r="X589" t="s">
        <v>1360</v>
      </c>
      <c r="Z589" t="s">
        <v>662</v>
      </c>
      <c r="AA589" t="s">
        <v>1361</v>
      </c>
    </row>
    <row r="590" spans="1:27" x14ac:dyDescent="0.3">
      <c r="A590">
        <v>252229592</v>
      </c>
      <c r="B590">
        <v>6607221</v>
      </c>
      <c r="D590">
        <v>1</v>
      </c>
      <c r="E590" t="s">
        <v>107</v>
      </c>
      <c r="F590" s="9">
        <v>45781</v>
      </c>
      <c r="G590" t="s">
        <v>658</v>
      </c>
      <c r="H590" t="s">
        <v>344</v>
      </c>
      <c r="I590">
        <v>7</v>
      </c>
      <c r="J590">
        <v>504.05</v>
      </c>
      <c r="K590" t="s">
        <v>878</v>
      </c>
      <c r="L590" t="s">
        <v>1353</v>
      </c>
      <c r="T590" t="s">
        <v>347</v>
      </c>
      <c r="U590" t="s">
        <v>37</v>
      </c>
      <c r="V590" t="s">
        <v>668</v>
      </c>
      <c r="X590" t="s">
        <v>1362</v>
      </c>
      <c r="Z590" t="s">
        <v>662</v>
      </c>
      <c r="AA590" t="s">
        <v>1363</v>
      </c>
    </row>
    <row r="591" spans="1:27" x14ac:dyDescent="0.3">
      <c r="A591">
        <v>252118030</v>
      </c>
      <c r="B591">
        <v>6607220</v>
      </c>
      <c r="D591">
        <v>1</v>
      </c>
      <c r="E591" t="s">
        <v>107</v>
      </c>
      <c r="F591" s="9">
        <v>45781</v>
      </c>
      <c r="G591" t="s">
        <v>658</v>
      </c>
      <c r="H591" t="s">
        <v>344</v>
      </c>
      <c r="I591">
        <v>7</v>
      </c>
      <c r="J591">
        <v>504.05</v>
      </c>
      <c r="K591" t="s">
        <v>878</v>
      </c>
      <c r="L591" t="s">
        <v>1353</v>
      </c>
      <c r="T591" t="s">
        <v>268</v>
      </c>
      <c r="U591" t="s">
        <v>37</v>
      </c>
      <c r="V591" t="s">
        <v>668</v>
      </c>
      <c r="X591" t="s">
        <v>1364</v>
      </c>
      <c r="Z591" t="s">
        <v>662</v>
      </c>
      <c r="AA591" t="s">
        <v>1365</v>
      </c>
    </row>
    <row r="592" spans="1:27" x14ac:dyDescent="0.3">
      <c r="A592">
        <v>252341155</v>
      </c>
      <c r="B592">
        <v>6668863</v>
      </c>
      <c r="D592">
        <v>1</v>
      </c>
      <c r="E592" t="s">
        <v>107</v>
      </c>
      <c r="F592" s="9">
        <v>45781</v>
      </c>
      <c r="G592" t="s">
        <v>658</v>
      </c>
      <c r="H592" t="s">
        <v>344</v>
      </c>
      <c r="I592">
        <v>7</v>
      </c>
      <c r="J592">
        <v>503.78699999999998</v>
      </c>
      <c r="K592" t="s">
        <v>1366</v>
      </c>
      <c r="L592" t="s">
        <v>879</v>
      </c>
      <c r="T592" t="s">
        <v>347</v>
      </c>
      <c r="U592" t="s">
        <v>94</v>
      </c>
      <c r="V592" t="s">
        <v>668</v>
      </c>
      <c r="X592" t="s">
        <v>1367</v>
      </c>
      <c r="Z592" t="s">
        <v>662</v>
      </c>
      <c r="AA592" t="s">
        <v>1368</v>
      </c>
    </row>
    <row r="593" spans="1:27" x14ac:dyDescent="0.3">
      <c r="A593">
        <v>252675850</v>
      </c>
      <c r="B593">
        <v>6668862</v>
      </c>
      <c r="D593">
        <v>1</v>
      </c>
      <c r="E593" t="s">
        <v>107</v>
      </c>
      <c r="F593" s="9">
        <v>45781</v>
      </c>
      <c r="G593" t="s">
        <v>658</v>
      </c>
      <c r="H593" t="s">
        <v>344</v>
      </c>
      <c r="I593">
        <v>7</v>
      </c>
      <c r="J593">
        <v>503.78699999999998</v>
      </c>
      <c r="K593" t="s">
        <v>1366</v>
      </c>
      <c r="L593" t="s">
        <v>879</v>
      </c>
      <c r="T593" t="s">
        <v>268</v>
      </c>
      <c r="U593" t="s">
        <v>94</v>
      </c>
      <c r="V593" t="s">
        <v>668</v>
      </c>
      <c r="X593" t="s">
        <v>1369</v>
      </c>
      <c r="Z593" t="s">
        <v>662</v>
      </c>
      <c r="AA593" t="s">
        <v>1370</v>
      </c>
    </row>
    <row r="594" spans="1:27" x14ac:dyDescent="0.3">
      <c r="A594">
        <v>252787417</v>
      </c>
      <c r="B594">
        <v>6730506</v>
      </c>
      <c r="D594">
        <v>1</v>
      </c>
      <c r="E594" t="s">
        <v>107</v>
      </c>
      <c r="F594" s="9">
        <v>45781</v>
      </c>
      <c r="G594" t="s">
        <v>658</v>
      </c>
      <c r="H594" t="s">
        <v>344</v>
      </c>
      <c r="I594">
        <v>7</v>
      </c>
      <c r="J594">
        <v>503.58</v>
      </c>
      <c r="K594" t="s">
        <v>1366</v>
      </c>
      <c r="L594" t="s">
        <v>879</v>
      </c>
      <c r="T594" t="s">
        <v>317</v>
      </c>
      <c r="U594" t="s">
        <v>37</v>
      </c>
      <c r="V594" t="s">
        <v>668</v>
      </c>
      <c r="X594" t="s">
        <v>1371</v>
      </c>
      <c r="Z594" t="s">
        <v>662</v>
      </c>
      <c r="AA594" t="s">
        <v>1372</v>
      </c>
    </row>
    <row r="595" spans="1:27" x14ac:dyDescent="0.3">
      <c r="A595">
        <v>252898985</v>
      </c>
      <c r="B595">
        <v>6792152</v>
      </c>
      <c r="D595">
        <v>1</v>
      </c>
      <c r="E595" t="s">
        <v>107</v>
      </c>
      <c r="F595" s="9">
        <v>45781</v>
      </c>
      <c r="G595" t="s">
        <v>658</v>
      </c>
      <c r="H595" t="s">
        <v>344</v>
      </c>
      <c r="I595">
        <v>7</v>
      </c>
      <c r="J595">
        <v>503.45</v>
      </c>
      <c r="K595" t="s">
        <v>1366</v>
      </c>
      <c r="L595" t="s">
        <v>879</v>
      </c>
      <c r="T595" t="s">
        <v>317</v>
      </c>
      <c r="U595" t="s">
        <v>37</v>
      </c>
      <c r="V595" t="s">
        <v>38</v>
      </c>
      <c r="X595" t="s">
        <v>1373</v>
      </c>
      <c r="Z595" t="s">
        <v>662</v>
      </c>
      <c r="AA595" t="s">
        <v>1374</v>
      </c>
    </row>
    <row r="596" spans="1:27" x14ac:dyDescent="0.3">
      <c r="A596">
        <v>252564284</v>
      </c>
      <c r="B596">
        <v>6853801</v>
      </c>
      <c r="D596">
        <v>1</v>
      </c>
      <c r="E596" t="s">
        <v>107</v>
      </c>
      <c r="F596" s="9">
        <v>45781</v>
      </c>
      <c r="G596" t="s">
        <v>658</v>
      </c>
      <c r="H596" t="s">
        <v>344</v>
      </c>
      <c r="I596">
        <v>7</v>
      </c>
      <c r="J596">
        <v>503.43</v>
      </c>
      <c r="K596" t="s">
        <v>1366</v>
      </c>
      <c r="L596" t="s">
        <v>879</v>
      </c>
      <c r="T596" t="s">
        <v>347</v>
      </c>
      <c r="U596" t="s">
        <v>37</v>
      </c>
      <c r="V596" t="s">
        <v>38</v>
      </c>
      <c r="X596" t="s">
        <v>1375</v>
      </c>
      <c r="Z596" t="s">
        <v>662</v>
      </c>
      <c r="AA596" t="s">
        <v>1376</v>
      </c>
    </row>
    <row r="597" spans="1:27" x14ac:dyDescent="0.3">
      <c r="A597">
        <v>252452719</v>
      </c>
      <c r="B597">
        <v>6853800</v>
      </c>
      <c r="D597">
        <v>1</v>
      </c>
      <c r="E597" t="s">
        <v>107</v>
      </c>
      <c r="F597" s="9">
        <v>45781</v>
      </c>
      <c r="G597" t="s">
        <v>658</v>
      </c>
      <c r="H597" t="s">
        <v>344</v>
      </c>
      <c r="I597">
        <v>7</v>
      </c>
      <c r="J597">
        <v>503.43</v>
      </c>
      <c r="K597" t="s">
        <v>1366</v>
      </c>
      <c r="L597" t="s">
        <v>879</v>
      </c>
      <c r="T597" t="s">
        <v>268</v>
      </c>
      <c r="U597" t="s">
        <v>37</v>
      </c>
      <c r="V597" t="s">
        <v>38</v>
      </c>
      <c r="X597" t="s">
        <v>1377</v>
      </c>
      <c r="Z597" t="s">
        <v>662</v>
      </c>
      <c r="AA597" t="s">
        <v>1378</v>
      </c>
    </row>
    <row r="598" spans="1:27" x14ac:dyDescent="0.3">
      <c r="A598">
        <v>249664050</v>
      </c>
      <c r="B598">
        <v>6915449</v>
      </c>
      <c r="D598">
        <v>1</v>
      </c>
      <c r="E598" t="s">
        <v>107</v>
      </c>
      <c r="F598" s="9">
        <v>45780</v>
      </c>
      <c r="G598" t="s">
        <v>658</v>
      </c>
      <c r="H598" t="s">
        <v>344</v>
      </c>
      <c r="I598">
        <v>7</v>
      </c>
      <c r="J598">
        <v>495.774</v>
      </c>
      <c r="K598" t="s">
        <v>1379</v>
      </c>
      <c r="L598" t="s">
        <v>1380</v>
      </c>
      <c r="T598" t="s">
        <v>569</v>
      </c>
      <c r="U598" t="s">
        <v>566</v>
      </c>
      <c r="V598" t="s">
        <v>609</v>
      </c>
      <c r="X598" t="s">
        <v>1381</v>
      </c>
      <c r="Z598" t="s">
        <v>670</v>
      </c>
      <c r="AA598" t="s">
        <v>1382</v>
      </c>
    </row>
    <row r="599" spans="1:27" x14ac:dyDescent="0.3">
      <c r="A599">
        <v>249775564</v>
      </c>
      <c r="B599">
        <v>6977101</v>
      </c>
      <c r="D599">
        <v>1</v>
      </c>
      <c r="E599" t="s">
        <v>107</v>
      </c>
      <c r="F599" s="9">
        <v>45780</v>
      </c>
      <c r="G599" t="s">
        <v>658</v>
      </c>
      <c r="H599" t="s">
        <v>344</v>
      </c>
      <c r="I599">
        <v>7</v>
      </c>
      <c r="J599">
        <v>495.774</v>
      </c>
      <c r="K599" t="s">
        <v>1379</v>
      </c>
      <c r="L599" t="s">
        <v>1380</v>
      </c>
      <c r="T599" t="s">
        <v>347</v>
      </c>
      <c r="U599" t="s">
        <v>79</v>
      </c>
      <c r="V599" t="s">
        <v>668</v>
      </c>
      <c r="X599" t="s">
        <v>1383</v>
      </c>
      <c r="Z599" t="s">
        <v>670</v>
      </c>
      <c r="AA599" t="s">
        <v>1384</v>
      </c>
    </row>
    <row r="600" spans="1:27" x14ac:dyDescent="0.3">
      <c r="A600">
        <v>229289654</v>
      </c>
      <c r="B600">
        <v>7038755</v>
      </c>
      <c r="D600">
        <v>0</v>
      </c>
      <c r="E600" t="s">
        <v>107</v>
      </c>
      <c r="F600" s="9">
        <v>45564</v>
      </c>
      <c r="G600" t="s">
        <v>884</v>
      </c>
      <c r="H600" t="s">
        <v>29</v>
      </c>
      <c r="I600">
        <v>7</v>
      </c>
      <c r="J600">
        <v>495.53</v>
      </c>
      <c r="K600" t="s">
        <v>1379</v>
      </c>
      <c r="L600" t="s">
        <v>1380</v>
      </c>
      <c r="O600">
        <v>15</v>
      </c>
      <c r="T600" t="s">
        <v>347</v>
      </c>
      <c r="U600" t="s">
        <v>79</v>
      </c>
      <c r="V600" t="s">
        <v>668</v>
      </c>
      <c r="X600" t="s">
        <v>1385</v>
      </c>
      <c r="Z600" t="s">
        <v>670</v>
      </c>
      <c r="AA600" t="s">
        <v>1386</v>
      </c>
    </row>
    <row r="601" spans="1:27" x14ac:dyDescent="0.3">
      <c r="A601">
        <v>249887079</v>
      </c>
      <c r="B601">
        <v>7100411</v>
      </c>
      <c r="D601">
        <v>1</v>
      </c>
      <c r="E601" t="s">
        <v>107</v>
      </c>
      <c r="F601" s="9">
        <v>45780</v>
      </c>
      <c r="G601" t="s">
        <v>658</v>
      </c>
      <c r="H601" t="s">
        <v>344</v>
      </c>
      <c r="I601">
        <v>7</v>
      </c>
      <c r="J601">
        <v>495.62</v>
      </c>
      <c r="K601" t="s">
        <v>1379</v>
      </c>
      <c r="L601" t="s">
        <v>1380</v>
      </c>
      <c r="T601" t="s">
        <v>268</v>
      </c>
      <c r="U601" t="s">
        <v>37</v>
      </c>
      <c r="V601" t="s">
        <v>668</v>
      </c>
      <c r="X601" t="s">
        <v>1387</v>
      </c>
      <c r="Z601" t="s">
        <v>670</v>
      </c>
      <c r="AA601" t="s">
        <v>1388</v>
      </c>
    </row>
    <row r="602" spans="1:27" x14ac:dyDescent="0.3">
      <c r="A602">
        <v>249998595</v>
      </c>
      <c r="B602">
        <v>7162069</v>
      </c>
      <c r="D602">
        <v>1</v>
      </c>
      <c r="E602" t="s">
        <v>107</v>
      </c>
      <c r="F602" s="9">
        <v>45780</v>
      </c>
      <c r="G602" t="s">
        <v>658</v>
      </c>
      <c r="H602" t="s">
        <v>344</v>
      </c>
      <c r="I602">
        <v>7</v>
      </c>
      <c r="J602">
        <v>495.62</v>
      </c>
      <c r="K602" t="s">
        <v>1379</v>
      </c>
      <c r="L602" t="s">
        <v>1380</v>
      </c>
      <c r="T602" t="s">
        <v>317</v>
      </c>
      <c r="U602" t="s">
        <v>37</v>
      </c>
      <c r="V602" t="s">
        <v>609</v>
      </c>
      <c r="X602" t="s">
        <v>1389</v>
      </c>
      <c r="Z602" t="s">
        <v>670</v>
      </c>
      <c r="AA602" t="s">
        <v>1390</v>
      </c>
    </row>
    <row r="603" spans="1:27" x14ac:dyDescent="0.3">
      <c r="A603">
        <v>250221630</v>
      </c>
      <c r="B603">
        <v>7223729</v>
      </c>
      <c r="D603">
        <v>1</v>
      </c>
      <c r="E603" t="s">
        <v>107</v>
      </c>
      <c r="F603" s="9">
        <v>45780</v>
      </c>
      <c r="G603" t="s">
        <v>658</v>
      </c>
      <c r="H603" t="s">
        <v>344</v>
      </c>
      <c r="I603">
        <v>7</v>
      </c>
      <c r="J603">
        <v>495.57</v>
      </c>
      <c r="K603" t="s">
        <v>1379</v>
      </c>
      <c r="L603" t="s">
        <v>1380</v>
      </c>
      <c r="T603" t="s">
        <v>347</v>
      </c>
      <c r="U603" t="s">
        <v>37</v>
      </c>
      <c r="V603" t="s">
        <v>668</v>
      </c>
      <c r="X603" t="s">
        <v>1391</v>
      </c>
      <c r="Z603" t="s">
        <v>670</v>
      </c>
      <c r="AA603" t="s">
        <v>1392</v>
      </c>
    </row>
    <row r="604" spans="1:27" x14ac:dyDescent="0.3">
      <c r="A604">
        <v>250110112</v>
      </c>
      <c r="B604">
        <v>7285391</v>
      </c>
      <c r="D604">
        <v>1</v>
      </c>
      <c r="E604" t="s">
        <v>107</v>
      </c>
      <c r="F604" s="9">
        <v>45780</v>
      </c>
      <c r="G604" t="s">
        <v>658</v>
      </c>
      <c r="H604" t="s">
        <v>344</v>
      </c>
      <c r="I604">
        <v>7</v>
      </c>
      <c r="J604">
        <v>495.44</v>
      </c>
      <c r="K604" t="s">
        <v>1379</v>
      </c>
      <c r="L604" t="s">
        <v>1380</v>
      </c>
      <c r="T604" t="s">
        <v>112</v>
      </c>
      <c r="U604" t="s">
        <v>566</v>
      </c>
      <c r="V604" t="s">
        <v>668</v>
      </c>
      <c r="X604" t="s">
        <v>1393</v>
      </c>
      <c r="Z604" t="s">
        <v>670</v>
      </c>
      <c r="AA604" t="s">
        <v>1394</v>
      </c>
    </row>
    <row r="605" spans="1:27" x14ac:dyDescent="0.3">
      <c r="A605">
        <v>240573866</v>
      </c>
      <c r="B605">
        <v>7883771</v>
      </c>
      <c r="D605">
        <v>1</v>
      </c>
      <c r="E605" t="s">
        <v>118</v>
      </c>
      <c r="F605" s="9">
        <v>45659</v>
      </c>
      <c r="G605" t="s">
        <v>941</v>
      </c>
      <c r="H605" t="s">
        <v>29</v>
      </c>
      <c r="I605">
        <v>7</v>
      </c>
      <c r="J605">
        <v>501.21699999999998</v>
      </c>
      <c r="K605" t="s">
        <v>1320</v>
      </c>
      <c r="L605" t="s">
        <v>1321</v>
      </c>
      <c r="T605" t="s">
        <v>268</v>
      </c>
      <c r="U605" t="s">
        <v>79</v>
      </c>
      <c r="V605" t="s">
        <v>33</v>
      </c>
      <c r="Z605" t="s">
        <v>662</v>
      </c>
      <c r="AA605" t="s">
        <v>1395</v>
      </c>
    </row>
    <row r="606" spans="1:27" x14ac:dyDescent="0.3">
      <c r="A606">
        <v>240676371</v>
      </c>
      <c r="B606">
        <v>7986276</v>
      </c>
      <c r="D606">
        <v>1</v>
      </c>
      <c r="E606" t="s">
        <v>118</v>
      </c>
      <c r="F606" s="9">
        <v>45659</v>
      </c>
      <c r="G606" t="s">
        <v>941</v>
      </c>
      <c r="H606" t="s">
        <v>29</v>
      </c>
      <c r="I606">
        <v>7</v>
      </c>
      <c r="J606">
        <v>501.28500000000003</v>
      </c>
      <c r="K606" t="s">
        <v>1320</v>
      </c>
      <c r="L606" t="s">
        <v>1321</v>
      </c>
      <c r="T606" t="s">
        <v>268</v>
      </c>
      <c r="U606" t="s">
        <v>79</v>
      </c>
      <c r="V606" t="s">
        <v>33</v>
      </c>
      <c r="Z606" t="s">
        <v>662</v>
      </c>
      <c r="AA606" t="s">
        <v>1396</v>
      </c>
    </row>
    <row r="607" spans="1:27" x14ac:dyDescent="0.3">
      <c r="A607">
        <v>246070802</v>
      </c>
      <c r="B607">
        <v>7986331</v>
      </c>
      <c r="D607">
        <v>1</v>
      </c>
      <c r="E607" t="s">
        <v>107</v>
      </c>
      <c r="F607" s="9">
        <v>45696</v>
      </c>
      <c r="G607" t="s">
        <v>351</v>
      </c>
      <c r="H607" t="s">
        <v>29</v>
      </c>
      <c r="I607">
        <v>25</v>
      </c>
      <c r="J607">
        <v>332.6</v>
      </c>
      <c r="K607" t="s">
        <v>345</v>
      </c>
      <c r="L607" t="s">
        <v>346</v>
      </c>
      <c r="O607">
        <v>2</v>
      </c>
      <c r="T607" t="s">
        <v>317</v>
      </c>
      <c r="U607" t="s">
        <v>37</v>
      </c>
      <c r="V607" t="s">
        <v>668</v>
      </c>
      <c r="X607" t="s">
        <v>1397</v>
      </c>
      <c r="Z607" t="s">
        <v>349</v>
      </c>
      <c r="AA607" t="s">
        <v>1398</v>
      </c>
    </row>
    <row r="608" spans="1:27" x14ac:dyDescent="0.3">
      <c r="A608">
        <v>246070861</v>
      </c>
      <c r="B608">
        <v>7986390</v>
      </c>
      <c r="D608">
        <v>1</v>
      </c>
      <c r="E608" t="s">
        <v>107</v>
      </c>
      <c r="F608" s="9">
        <v>45696</v>
      </c>
      <c r="G608" t="s">
        <v>351</v>
      </c>
      <c r="H608" t="s">
        <v>29</v>
      </c>
      <c r="I608">
        <v>25</v>
      </c>
      <c r="J608">
        <v>332.5</v>
      </c>
      <c r="K608" t="s">
        <v>345</v>
      </c>
      <c r="L608" t="s">
        <v>346</v>
      </c>
      <c r="O608">
        <v>150</v>
      </c>
      <c r="T608" t="s">
        <v>317</v>
      </c>
      <c r="U608" t="s">
        <v>37</v>
      </c>
      <c r="V608" t="s">
        <v>38</v>
      </c>
      <c r="X608" t="s">
        <v>1399</v>
      </c>
      <c r="Z608" t="s">
        <v>349</v>
      </c>
      <c r="AA608" t="s">
        <v>1400</v>
      </c>
    </row>
    <row r="609" spans="1:27" x14ac:dyDescent="0.3">
      <c r="A609">
        <v>246070984</v>
      </c>
      <c r="B609">
        <v>7986453</v>
      </c>
      <c r="D609">
        <v>1</v>
      </c>
      <c r="E609" t="s">
        <v>107</v>
      </c>
      <c r="F609" s="9">
        <v>45696</v>
      </c>
      <c r="G609" t="s">
        <v>351</v>
      </c>
      <c r="H609" t="s">
        <v>29</v>
      </c>
      <c r="I609">
        <v>25</v>
      </c>
      <c r="J609">
        <v>332.45</v>
      </c>
      <c r="K609" t="s">
        <v>345</v>
      </c>
      <c r="L609" t="s">
        <v>346</v>
      </c>
      <c r="O609">
        <v>100</v>
      </c>
      <c r="T609" t="s">
        <v>347</v>
      </c>
      <c r="U609" t="s">
        <v>79</v>
      </c>
      <c r="V609" t="s">
        <v>609</v>
      </c>
      <c r="X609" t="s">
        <v>1401</v>
      </c>
      <c r="Z609" t="s">
        <v>349</v>
      </c>
      <c r="AA609" t="s">
        <v>1402</v>
      </c>
    </row>
    <row r="610" spans="1:27" x14ac:dyDescent="0.3">
      <c r="A610">
        <v>246070983</v>
      </c>
      <c r="B610">
        <v>7986452</v>
      </c>
      <c r="D610">
        <v>1</v>
      </c>
      <c r="E610" t="s">
        <v>107</v>
      </c>
      <c r="F610" s="9">
        <v>45696</v>
      </c>
      <c r="G610" t="s">
        <v>351</v>
      </c>
      <c r="H610" t="s">
        <v>29</v>
      </c>
      <c r="I610">
        <v>25</v>
      </c>
      <c r="J610">
        <v>332.45</v>
      </c>
      <c r="K610" t="s">
        <v>345</v>
      </c>
      <c r="L610" t="s">
        <v>346</v>
      </c>
      <c r="O610">
        <v>100</v>
      </c>
      <c r="T610" t="s">
        <v>268</v>
      </c>
      <c r="U610" t="s">
        <v>79</v>
      </c>
      <c r="V610" t="s">
        <v>609</v>
      </c>
      <c r="X610" t="s">
        <v>1401</v>
      </c>
      <c r="Z610" t="s">
        <v>349</v>
      </c>
      <c r="AA610" t="s">
        <v>1403</v>
      </c>
    </row>
    <row r="611" spans="1:27" x14ac:dyDescent="0.3">
      <c r="A611">
        <v>255285143</v>
      </c>
      <c r="B611">
        <v>7986455</v>
      </c>
      <c r="D611">
        <v>1</v>
      </c>
      <c r="E611" t="s">
        <v>107</v>
      </c>
      <c r="F611" s="9">
        <v>45868</v>
      </c>
      <c r="G611" t="s">
        <v>351</v>
      </c>
      <c r="H611" t="s">
        <v>109</v>
      </c>
      <c r="I611">
        <v>14</v>
      </c>
      <c r="J611">
        <v>107.85</v>
      </c>
      <c r="K611" t="s">
        <v>538</v>
      </c>
      <c r="L611" t="s">
        <v>539</v>
      </c>
      <c r="T611" t="s">
        <v>112</v>
      </c>
      <c r="U611" t="s">
        <v>79</v>
      </c>
      <c r="V611" t="s">
        <v>668</v>
      </c>
      <c r="X611" t="s">
        <v>1404</v>
      </c>
      <c r="Z611" t="s">
        <v>1287</v>
      </c>
      <c r="AA611" t="s">
        <v>1405</v>
      </c>
    </row>
    <row r="612" spans="1:27" x14ac:dyDescent="0.3">
      <c r="A612">
        <v>255285200</v>
      </c>
      <c r="B612">
        <v>7986469</v>
      </c>
      <c r="D612">
        <v>1</v>
      </c>
      <c r="E612" t="s">
        <v>107</v>
      </c>
      <c r="F612" s="9">
        <v>45870</v>
      </c>
      <c r="G612" t="s">
        <v>351</v>
      </c>
      <c r="H612" t="s">
        <v>109</v>
      </c>
      <c r="I612">
        <v>14</v>
      </c>
      <c r="J612">
        <v>118.9</v>
      </c>
      <c r="K612" t="s">
        <v>522</v>
      </c>
      <c r="L612" t="s">
        <v>523</v>
      </c>
      <c r="T612" t="s">
        <v>317</v>
      </c>
      <c r="U612" t="s">
        <v>37</v>
      </c>
      <c r="V612" t="s">
        <v>668</v>
      </c>
      <c r="X612" t="s">
        <v>1406</v>
      </c>
      <c r="Z612" t="s">
        <v>1287</v>
      </c>
      <c r="AA612" t="s">
        <v>1407</v>
      </c>
    </row>
    <row r="613" spans="1:27" x14ac:dyDescent="0.3">
      <c r="A613">
        <v>246071311</v>
      </c>
      <c r="B613">
        <v>7986495</v>
      </c>
      <c r="D613">
        <v>1</v>
      </c>
      <c r="E613" t="s">
        <v>107</v>
      </c>
      <c r="F613" s="9">
        <v>45749</v>
      </c>
      <c r="G613" t="s">
        <v>351</v>
      </c>
      <c r="H613" t="s">
        <v>29</v>
      </c>
      <c r="I613">
        <v>13</v>
      </c>
      <c r="J613">
        <v>51.55</v>
      </c>
      <c r="K613" t="s">
        <v>1408</v>
      </c>
      <c r="L613" t="s">
        <v>673</v>
      </c>
      <c r="O613">
        <v>20</v>
      </c>
      <c r="T613" t="s">
        <v>268</v>
      </c>
      <c r="U613" t="s">
        <v>32</v>
      </c>
      <c r="V613" t="s">
        <v>668</v>
      </c>
      <c r="X613" t="s">
        <v>1409</v>
      </c>
      <c r="Z613" t="s">
        <v>675</v>
      </c>
      <c r="AA613" t="s">
        <v>1410</v>
      </c>
    </row>
    <row r="614" spans="1:27" x14ac:dyDescent="0.3">
      <c r="A614">
        <v>254943318</v>
      </c>
      <c r="B614">
        <v>8022496</v>
      </c>
      <c r="D614">
        <v>1</v>
      </c>
      <c r="E614" t="s">
        <v>107</v>
      </c>
      <c r="F614" s="9">
        <v>45805</v>
      </c>
      <c r="G614" t="s">
        <v>1411</v>
      </c>
      <c r="H614" t="s">
        <v>29</v>
      </c>
      <c r="I614">
        <v>1</v>
      </c>
      <c r="J614">
        <v>332</v>
      </c>
      <c r="K614" t="s">
        <v>1102</v>
      </c>
      <c r="L614" t="s">
        <v>890</v>
      </c>
      <c r="T614" t="s">
        <v>317</v>
      </c>
      <c r="U614" t="s">
        <v>566</v>
      </c>
      <c r="V614" t="s">
        <v>38</v>
      </c>
      <c r="Z614" t="s">
        <v>892</v>
      </c>
      <c r="AA614" t="s">
        <v>1412</v>
      </c>
    </row>
    <row r="615" spans="1:27" x14ac:dyDescent="0.3">
      <c r="A615">
        <v>254979323</v>
      </c>
      <c r="B615">
        <v>8058501</v>
      </c>
      <c r="D615">
        <v>1</v>
      </c>
      <c r="E615" t="s">
        <v>107</v>
      </c>
      <c r="F615" s="9">
        <v>45805</v>
      </c>
      <c r="G615" t="s">
        <v>1411</v>
      </c>
      <c r="H615" t="s">
        <v>29</v>
      </c>
      <c r="I615">
        <v>1</v>
      </c>
      <c r="J615">
        <v>332.05</v>
      </c>
      <c r="K615" t="s">
        <v>1102</v>
      </c>
      <c r="L615" t="s">
        <v>890</v>
      </c>
      <c r="T615" t="s">
        <v>317</v>
      </c>
      <c r="U615" t="s">
        <v>566</v>
      </c>
      <c r="V615" t="s">
        <v>38</v>
      </c>
      <c r="Z615" t="s">
        <v>892</v>
      </c>
      <c r="AA615" t="s">
        <v>1413</v>
      </c>
    </row>
    <row r="616" spans="1:27" x14ac:dyDescent="0.3">
      <c r="A616">
        <v>255015330</v>
      </c>
      <c r="B616">
        <v>8094508</v>
      </c>
      <c r="D616">
        <v>1</v>
      </c>
      <c r="E616" t="s">
        <v>107</v>
      </c>
      <c r="F616" s="9">
        <v>45805</v>
      </c>
      <c r="G616" t="s">
        <v>1411</v>
      </c>
      <c r="H616" t="s">
        <v>29</v>
      </c>
      <c r="I616">
        <v>1</v>
      </c>
      <c r="J616">
        <v>332.1</v>
      </c>
      <c r="K616" t="s">
        <v>1102</v>
      </c>
      <c r="L616" t="s">
        <v>890</v>
      </c>
      <c r="T616" t="s">
        <v>317</v>
      </c>
      <c r="U616" t="s">
        <v>566</v>
      </c>
      <c r="V616" t="s">
        <v>38</v>
      </c>
      <c r="Z616" t="s">
        <v>892</v>
      </c>
      <c r="AA616" t="s">
        <v>1414</v>
      </c>
    </row>
    <row r="617" spans="1:27" x14ac:dyDescent="0.3">
      <c r="A617">
        <v>255051339</v>
      </c>
      <c r="B617">
        <v>8130517</v>
      </c>
      <c r="D617">
        <v>1</v>
      </c>
      <c r="E617" t="s">
        <v>107</v>
      </c>
      <c r="F617" s="9">
        <v>45805</v>
      </c>
      <c r="G617" t="s">
        <v>1411</v>
      </c>
      <c r="H617" t="s">
        <v>29</v>
      </c>
      <c r="I617">
        <v>1</v>
      </c>
      <c r="J617">
        <v>332.2</v>
      </c>
      <c r="K617" t="s">
        <v>1102</v>
      </c>
      <c r="L617" t="s">
        <v>890</v>
      </c>
      <c r="T617" t="s">
        <v>317</v>
      </c>
      <c r="U617" t="s">
        <v>566</v>
      </c>
      <c r="V617" t="s">
        <v>38</v>
      </c>
      <c r="Z617" t="s">
        <v>892</v>
      </c>
      <c r="AA617" t="s">
        <v>1415</v>
      </c>
    </row>
    <row r="618" spans="1:27" x14ac:dyDescent="0.3">
      <c r="A618">
        <v>255188391</v>
      </c>
      <c r="B618">
        <v>8267569</v>
      </c>
      <c r="D618">
        <v>1</v>
      </c>
      <c r="E618" t="s">
        <v>118</v>
      </c>
      <c r="F618" s="9">
        <v>45817</v>
      </c>
      <c r="G618" t="s">
        <v>1416</v>
      </c>
      <c r="H618" t="s">
        <v>29</v>
      </c>
      <c r="I618">
        <v>37</v>
      </c>
      <c r="J618">
        <v>326.14999999999998</v>
      </c>
      <c r="L618" t="s">
        <v>1417</v>
      </c>
      <c r="T618" t="s">
        <v>347</v>
      </c>
      <c r="U618" t="s">
        <v>812</v>
      </c>
      <c r="V618" t="s">
        <v>33</v>
      </c>
      <c r="Z618" t="s">
        <v>955</v>
      </c>
      <c r="AA618" t="s">
        <v>1418</v>
      </c>
    </row>
    <row r="619" spans="1:27" x14ac:dyDescent="0.3">
      <c r="A619">
        <v>255188390</v>
      </c>
      <c r="B619">
        <v>8267568</v>
      </c>
      <c r="D619">
        <v>1</v>
      </c>
      <c r="E619" t="s">
        <v>118</v>
      </c>
      <c r="F619" s="9">
        <v>45817</v>
      </c>
      <c r="G619" t="s">
        <v>1416</v>
      </c>
      <c r="H619" t="s">
        <v>29</v>
      </c>
      <c r="I619">
        <v>37</v>
      </c>
      <c r="J619">
        <v>326.14999999999998</v>
      </c>
      <c r="L619" t="s">
        <v>1417</v>
      </c>
      <c r="T619" t="s">
        <v>268</v>
      </c>
      <c r="U619" t="s">
        <v>812</v>
      </c>
      <c r="V619" t="s">
        <v>33</v>
      </c>
      <c r="Z619" t="s">
        <v>955</v>
      </c>
      <c r="AA619" t="s">
        <v>1419</v>
      </c>
    </row>
    <row r="620" spans="1:27" x14ac:dyDescent="0.3">
      <c r="A620">
        <v>255188469</v>
      </c>
      <c r="B620">
        <v>8267606</v>
      </c>
      <c r="D620">
        <v>1</v>
      </c>
      <c r="E620" t="s">
        <v>107</v>
      </c>
      <c r="F620" s="9">
        <v>45818</v>
      </c>
      <c r="G620" t="s">
        <v>351</v>
      </c>
      <c r="H620" t="s">
        <v>344</v>
      </c>
      <c r="I620">
        <v>9</v>
      </c>
      <c r="J620">
        <v>190.28</v>
      </c>
      <c r="K620" t="s">
        <v>945</v>
      </c>
      <c r="L620" t="s">
        <v>946</v>
      </c>
      <c r="T620" t="s">
        <v>347</v>
      </c>
      <c r="U620" t="s">
        <v>94</v>
      </c>
      <c r="V620" t="s">
        <v>609</v>
      </c>
      <c r="X620" t="s">
        <v>1420</v>
      </c>
      <c r="Z620" t="s">
        <v>948</v>
      </c>
      <c r="AA620" t="s">
        <v>1421</v>
      </c>
    </row>
    <row r="621" spans="1:27" x14ac:dyDescent="0.3">
      <c r="A621">
        <v>255188553</v>
      </c>
      <c r="B621">
        <v>8267650</v>
      </c>
      <c r="D621">
        <v>1</v>
      </c>
      <c r="E621" t="s">
        <v>107</v>
      </c>
      <c r="F621" s="9">
        <v>45818</v>
      </c>
      <c r="G621" t="s">
        <v>351</v>
      </c>
      <c r="H621" t="s">
        <v>29</v>
      </c>
      <c r="I621">
        <v>9</v>
      </c>
      <c r="J621">
        <v>190.53700000000001</v>
      </c>
      <c r="K621" t="s">
        <v>945</v>
      </c>
      <c r="L621" t="s">
        <v>946</v>
      </c>
      <c r="O621">
        <v>100</v>
      </c>
      <c r="T621" t="s">
        <v>347</v>
      </c>
      <c r="U621" t="s">
        <v>94</v>
      </c>
      <c r="V621" t="s">
        <v>38</v>
      </c>
      <c r="X621" t="s">
        <v>1422</v>
      </c>
      <c r="Z621" t="s">
        <v>948</v>
      </c>
      <c r="AA621" t="s">
        <v>1423</v>
      </c>
    </row>
    <row r="622" spans="1:27" x14ac:dyDescent="0.3">
      <c r="A622">
        <v>255188552</v>
      </c>
      <c r="B622">
        <v>8267649</v>
      </c>
      <c r="D622">
        <v>1</v>
      </c>
      <c r="E622" t="s">
        <v>107</v>
      </c>
      <c r="F622" s="9">
        <v>45818</v>
      </c>
      <c r="G622" t="s">
        <v>351</v>
      </c>
      <c r="H622" t="s">
        <v>29</v>
      </c>
      <c r="I622">
        <v>9</v>
      </c>
      <c r="J622">
        <v>190.53700000000001</v>
      </c>
      <c r="K622" t="s">
        <v>945</v>
      </c>
      <c r="L622" t="s">
        <v>946</v>
      </c>
      <c r="O622">
        <v>100</v>
      </c>
      <c r="T622" t="s">
        <v>268</v>
      </c>
      <c r="U622" t="s">
        <v>94</v>
      </c>
      <c r="V622" t="s">
        <v>38</v>
      </c>
      <c r="X622" t="s">
        <v>1422</v>
      </c>
      <c r="Z622" t="s">
        <v>948</v>
      </c>
      <c r="AA622" t="s">
        <v>1424</v>
      </c>
    </row>
    <row r="623" spans="1:27" x14ac:dyDescent="0.3">
      <c r="A623">
        <v>255051376</v>
      </c>
      <c r="B623">
        <v>8130525</v>
      </c>
      <c r="D623">
        <v>1</v>
      </c>
      <c r="E623" t="s">
        <v>107</v>
      </c>
      <c r="F623" s="9">
        <v>45819</v>
      </c>
      <c r="G623" t="s">
        <v>351</v>
      </c>
      <c r="H623" t="s">
        <v>29</v>
      </c>
      <c r="I623">
        <v>9</v>
      </c>
      <c r="J623">
        <v>190.45</v>
      </c>
      <c r="K623" t="s">
        <v>945</v>
      </c>
      <c r="L623" t="s">
        <v>946</v>
      </c>
      <c r="O623">
        <v>50</v>
      </c>
      <c r="T623" t="s">
        <v>347</v>
      </c>
      <c r="U623" t="s">
        <v>94</v>
      </c>
      <c r="V623" t="s">
        <v>33</v>
      </c>
      <c r="X623" t="s">
        <v>1425</v>
      </c>
      <c r="Z623" t="s">
        <v>948</v>
      </c>
      <c r="AA623" t="s">
        <v>1426</v>
      </c>
    </row>
    <row r="624" spans="1:27" x14ac:dyDescent="0.3">
      <c r="A624">
        <v>255051375</v>
      </c>
      <c r="B624">
        <v>8130524</v>
      </c>
      <c r="D624">
        <v>1</v>
      </c>
      <c r="E624" t="s">
        <v>107</v>
      </c>
      <c r="F624" s="9">
        <v>45819</v>
      </c>
      <c r="G624" t="s">
        <v>351</v>
      </c>
      <c r="H624" t="s">
        <v>29</v>
      </c>
      <c r="I624">
        <v>9</v>
      </c>
      <c r="J624">
        <v>190.45</v>
      </c>
      <c r="K624" t="s">
        <v>945</v>
      </c>
      <c r="L624" t="s">
        <v>946</v>
      </c>
      <c r="O624">
        <v>50</v>
      </c>
      <c r="T624" t="s">
        <v>268</v>
      </c>
      <c r="U624" t="s">
        <v>94</v>
      </c>
      <c r="V624" t="s">
        <v>33</v>
      </c>
      <c r="X624" t="s">
        <v>1425</v>
      </c>
      <c r="Z624" t="s">
        <v>948</v>
      </c>
      <c r="AA624" t="s">
        <v>1427</v>
      </c>
    </row>
    <row r="625" spans="1:27" x14ac:dyDescent="0.3">
      <c r="A625">
        <v>255188841</v>
      </c>
      <c r="B625">
        <v>8267794</v>
      </c>
      <c r="D625">
        <v>1</v>
      </c>
      <c r="E625" t="s">
        <v>107</v>
      </c>
      <c r="F625" s="9">
        <v>45829</v>
      </c>
      <c r="G625" t="s">
        <v>351</v>
      </c>
      <c r="H625" t="s">
        <v>29</v>
      </c>
      <c r="I625">
        <v>10</v>
      </c>
      <c r="J625">
        <v>79.680999999999997</v>
      </c>
      <c r="K625" t="s">
        <v>1102</v>
      </c>
      <c r="L625" t="s">
        <v>918</v>
      </c>
      <c r="O625">
        <v>40</v>
      </c>
      <c r="T625" t="s">
        <v>268</v>
      </c>
      <c r="U625" t="s">
        <v>79</v>
      </c>
      <c r="V625" t="s">
        <v>38</v>
      </c>
      <c r="X625" t="s">
        <v>919</v>
      </c>
      <c r="Z625" t="s">
        <v>687</v>
      </c>
      <c r="AA625" t="s">
        <v>1428</v>
      </c>
    </row>
    <row r="626" spans="1:27" x14ac:dyDescent="0.3">
      <c r="A626">
        <v>255188989</v>
      </c>
      <c r="B626">
        <v>8267942</v>
      </c>
      <c r="D626">
        <v>1</v>
      </c>
      <c r="E626" t="s">
        <v>107</v>
      </c>
      <c r="F626" s="9">
        <v>45829</v>
      </c>
      <c r="G626" t="s">
        <v>351</v>
      </c>
      <c r="H626" t="s">
        <v>29</v>
      </c>
      <c r="I626">
        <v>10</v>
      </c>
      <c r="J626">
        <v>79.73</v>
      </c>
      <c r="K626" t="s">
        <v>1102</v>
      </c>
      <c r="L626" t="s">
        <v>918</v>
      </c>
      <c r="O626">
        <v>15</v>
      </c>
      <c r="T626" t="s">
        <v>317</v>
      </c>
      <c r="U626" t="s">
        <v>37</v>
      </c>
      <c r="V626" t="s">
        <v>609</v>
      </c>
      <c r="X626" t="s">
        <v>1429</v>
      </c>
      <c r="Z626" t="s">
        <v>687</v>
      </c>
      <c r="AA626" t="s">
        <v>1430</v>
      </c>
    </row>
    <row r="627" spans="1:27" x14ac:dyDescent="0.3">
      <c r="A627">
        <v>255261059</v>
      </c>
      <c r="B627">
        <v>8340012</v>
      </c>
      <c r="D627">
        <v>1</v>
      </c>
      <c r="E627" t="s">
        <v>118</v>
      </c>
      <c r="F627" s="9">
        <v>45840</v>
      </c>
      <c r="G627" t="s">
        <v>1431</v>
      </c>
      <c r="H627" t="s">
        <v>29</v>
      </c>
      <c r="I627">
        <v>1</v>
      </c>
      <c r="J627">
        <v>334.8</v>
      </c>
      <c r="K627" t="s">
        <v>1102</v>
      </c>
      <c r="L627" t="s">
        <v>907</v>
      </c>
      <c r="T627" t="s">
        <v>268</v>
      </c>
      <c r="U627" t="s">
        <v>94</v>
      </c>
      <c r="V627" t="s">
        <v>38</v>
      </c>
      <c r="Z627" t="s">
        <v>892</v>
      </c>
      <c r="AA627" t="s">
        <v>1432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&amp;L&amp;"Calibri"&amp;10&amp;K000000Interno&amp;1#</oddHeader>
    <oddFooter>&amp;L&amp;"Calibri"&amp;11&amp;K000000_x000D_&amp;1#&amp;"Calibri"&amp;10&amp;K000000Interno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01"/>
  <sheetViews>
    <sheetView workbookViewId="0">
      <selection activeCell="D15" sqref="D15"/>
    </sheetView>
  </sheetViews>
  <sheetFormatPr defaultRowHeight="14.4" x14ac:dyDescent="0.3"/>
  <cols>
    <col min="1" max="1" width="19.109375" bestFit="1" customWidth="1"/>
  </cols>
  <sheetData>
    <row r="1" spans="1:2" x14ac:dyDescent="0.3">
      <c r="A1" s="8" t="s">
        <v>1433</v>
      </c>
      <c r="B1" t="s">
        <v>1434</v>
      </c>
    </row>
    <row r="2" spans="1:2" x14ac:dyDescent="0.3">
      <c r="A2" s="31" t="s">
        <v>890</v>
      </c>
      <c r="B2">
        <f>COUNTIF(Equipamento_Tunel!$H$2:$H$158,A2)</f>
        <v>0</v>
      </c>
    </row>
    <row r="3" spans="1:2" x14ac:dyDescent="0.3">
      <c r="A3" s="16" t="s">
        <v>907</v>
      </c>
      <c r="B3">
        <f>COUNTIF(Equipamento_Tunel!$H$2:$H$158,A3)</f>
        <v>0</v>
      </c>
    </row>
    <row r="4" spans="1:2" x14ac:dyDescent="0.3">
      <c r="A4" s="31" t="s">
        <v>1257</v>
      </c>
      <c r="B4">
        <f>COUNTIF(Equipamento_Tunel!$H$2:$H$158,A4)</f>
        <v>0</v>
      </c>
    </row>
    <row r="5" spans="1:2" x14ac:dyDescent="0.3">
      <c r="A5" s="16" t="s">
        <v>1241</v>
      </c>
      <c r="B5">
        <f>COUNTIF(Equipamento_Tunel!$H$2:$H$158,A5)</f>
        <v>0</v>
      </c>
    </row>
    <row r="6" spans="1:2" x14ac:dyDescent="0.3">
      <c r="A6" s="31" t="s">
        <v>1223</v>
      </c>
      <c r="B6">
        <f>COUNTIF(Equipamento_Tunel!$H$2:$H$158,A6)</f>
        <v>0</v>
      </c>
    </row>
    <row r="7" spans="1:2" x14ac:dyDescent="0.3">
      <c r="A7" s="16" t="s">
        <v>943</v>
      </c>
      <c r="B7">
        <f>COUNTIF(Equipamento_Tunel!$H$2:$H$158,A7)</f>
        <v>0</v>
      </c>
    </row>
    <row r="8" spans="1:2" x14ac:dyDescent="0.3">
      <c r="A8" s="31" t="s">
        <v>886</v>
      </c>
      <c r="B8">
        <f>COUNTIF(Equipamento_Tunel!$H$2:$H$158,A8)</f>
        <v>0</v>
      </c>
    </row>
    <row r="9" spans="1:2" x14ac:dyDescent="0.3">
      <c r="A9" s="16" t="s">
        <v>1000</v>
      </c>
      <c r="B9">
        <f>COUNTIF(Equipamento_Tunel!$H$2:$H$158,A9)</f>
        <v>0</v>
      </c>
    </row>
    <row r="10" spans="1:2" x14ac:dyDescent="0.3">
      <c r="A10" s="31" t="s">
        <v>875</v>
      </c>
      <c r="B10">
        <f>COUNTIF(Equipamento_Tunel!$H$2:$H$158,A10)</f>
        <v>0</v>
      </c>
    </row>
    <row r="11" spans="1:2" x14ac:dyDescent="0.3">
      <c r="A11" s="16" t="s">
        <v>1435</v>
      </c>
      <c r="B11">
        <f>COUNTIF(Equipamento_Tunel!$H$2:$H$158,A11)</f>
        <v>0</v>
      </c>
    </row>
    <row r="12" spans="1:2" x14ac:dyDescent="0.3">
      <c r="A12" s="31" t="s">
        <v>666</v>
      </c>
      <c r="B12">
        <f>COUNTIF(Equipamento_Tunel!$H$2:$H$158,A12)</f>
        <v>0</v>
      </c>
    </row>
    <row r="13" spans="1:2" x14ac:dyDescent="0.3">
      <c r="A13" s="16" t="s">
        <v>1380</v>
      </c>
      <c r="B13">
        <f>COUNTIF(Equipamento_Tunel!$H$2:$H$158,A13)</f>
        <v>0</v>
      </c>
    </row>
    <row r="14" spans="1:2" x14ac:dyDescent="0.3">
      <c r="A14" s="31" t="s">
        <v>1297</v>
      </c>
      <c r="B14">
        <f>COUNTIF(Equipamento_Tunel!$H$2:$H$158,A14)</f>
        <v>0</v>
      </c>
    </row>
    <row r="15" spans="1:2" x14ac:dyDescent="0.3">
      <c r="A15" s="16" t="s">
        <v>660</v>
      </c>
      <c r="B15">
        <f>COUNTIF(Equipamento_Tunel!$H$2:$H$158,A15)</f>
        <v>0</v>
      </c>
    </row>
    <row r="16" spans="1:2" x14ac:dyDescent="0.3">
      <c r="A16" s="31" t="s">
        <v>1321</v>
      </c>
      <c r="B16">
        <f>COUNTIF(Equipamento_Tunel!$H$2:$H$158,A16)</f>
        <v>0</v>
      </c>
    </row>
    <row r="17" spans="1:2" x14ac:dyDescent="0.3">
      <c r="A17" s="16" t="s">
        <v>879</v>
      </c>
      <c r="B17">
        <f>COUNTIF(Equipamento_Tunel!$H$2:$H$158,A17)</f>
        <v>0</v>
      </c>
    </row>
    <row r="18" spans="1:2" x14ac:dyDescent="0.3">
      <c r="A18" s="31" t="s">
        <v>1353</v>
      </c>
      <c r="B18">
        <f>COUNTIF(Equipamento_Tunel!$H$2:$H$158,A18)</f>
        <v>0</v>
      </c>
    </row>
    <row r="19" spans="1:2" x14ac:dyDescent="0.3">
      <c r="A19" s="16" t="s">
        <v>962</v>
      </c>
      <c r="B19">
        <f>COUNTIF(Equipamento_Tunel!$H$2:$H$158,A19)</f>
        <v>0</v>
      </c>
    </row>
    <row r="20" spans="1:2" x14ac:dyDescent="0.3">
      <c r="A20" s="31" t="s">
        <v>911</v>
      </c>
      <c r="B20">
        <f>COUNTIF(Equipamento_Tunel!$H$2:$H$158,A20)</f>
        <v>0</v>
      </c>
    </row>
    <row r="21" spans="1:2" x14ac:dyDescent="0.3">
      <c r="A21" s="16" t="s">
        <v>946</v>
      </c>
      <c r="B21">
        <f>COUNTIF(Equipamento_Tunel!$H$2:$H$158,A21)</f>
        <v>0</v>
      </c>
    </row>
    <row r="22" spans="1:2" x14ac:dyDescent="0.3">
      <c r="A22" s="31" t="s">
        <v>1177</v>
      </c>
      <c r="B22">
        <f>COUNTIF(Equipamento_Tunel!$H$2:$H$158,A22)</f>
        <v>0</v>
      </c>
    </row>
    <row r="23" spans="1:2" x14ac:dyDescent="0.3">
      <c r="A23" s="16" t="s">
        <v>1169</v>
      </c>
      <c r="B23">
        <f>COUNTIF(Equipamento_Tunel!$H$2:$H$158,A23)</f>
        <v>0</v>
      </c>
    </row>
    <row r="24" spans="1:2" x14ac:dyDescent="0.3">
      <c r="A24" s="31" t="s">
        <v>685</v>
      </c>
      <c r="B24">
        <f>COUNTIF(Equipamento_Tunel!$H$2:$H$158,A24)</f>
        <v>0</v>
      </c>
    </row>
    <row r="25" spans="1:2" x14ac:dyDescent="0.3">
      <c r="A25" s="16" t="s">
        <v>1436</v>
      </c>
      <c r="B25">
        <f>COUNTIF(Equipamento_Tunel!$H$2:$H$158,A25)</f>
        <v>0</v>
      </c>
    </row>
    <row r="26" spans="1:2" x14ac:dyDescent="0.3">
      <c r="A26" s="31" t="s">
        <v>983</v>
      </c>
      <c r="B26">
        <f>COUNTIF(Equipamento_Tunel!$H$2:$H$158,A26)</f>
        <v>0</v>
      </c>
    </row>
    <row r="27" spans="1:2" x14ac:dyDescent="0.3">
      <c r="A27" s="16" t="s">
        <v>979</v>
      </c>
      <c r="B27">
        <f>COUNTIF(Equipamento_Tunel!$H$2:$H$158,A27)</f>
        <v>0</v>
      </c>
    </row>
    <row r="28" spans="1:2" x14ac:dyDescent="0.3">
      <c r="A28" s="31" t="s">
        <v>1163</v>
      </c>
      <c r="B28">
        <f>COUNTIF(Equipamento_Tunel!$H$2:$H$158,A28)</f>
        <v>0</v>
      </c>
    </row>
    <row r="29" spans="1:2" x14ac:dyDescent="0.3">
      <c r="A29" s="16" t="s">
        <v>1159</v>
      </c>
      <c r="B29">
        <f>COUNTIF(Equipamento_Tunel!$H$2:$H$158,A29)</f>
        <v>0</v>
      </c>
    </row>
    <row r="30" spans="1:2" x14ac:dyDescent="0.3">
      <c r="A30" s="31" t="s">
        <v>1156</v>
      </c>
      <c r="B30">
        <f>COUNTIF(Equipamento_Tunel!$H$2:$H$158,A30)</f>
        <v>0</v>
      </c>
    </row>
    <row r="31" spans="1:2" x14ac:dyDescent="0.3">
      <c r="A31" s="16" t="s">
        <v>974</v>
      </c>
      <c r="B31">
        <f>COUNTIF(Equipamento_Tunel!$H$2:$H$158,A31)</f>
        <v>0</v>
      </c>
    </row>
    <row r="32" spans="1:2" x14ac:dyDescent="0.3">
      <c r="A32" s="31" t="s">
        <v>1153</v>
      </c>
      <c r="B32">
        <f>COUNTIF(Equipamento_Tunel!$H$2:$H$158,A32)</f>
        <v>0</v>
      </c>
    </row>
    <row r="33" spans="1:2" x14ac:dyDescent="0.3">
      <c r="A33" s="16" t="s">
        <v>918</v>
      </c>
      <c r="B33">
        <f>COUNTIF(Equipamento_Tunel!$H$2:$H$158,A33)</f>
        <v>0</v>
      </c>
    </row>
    <row r="34" spans="1:2" x14ac:dyDescent="0.3">
      <c r="A34" s="31" t="s">
        <v>680</v>
      </c>
      <c r="B34">
        <f>COUNTIF(Equipamento_Tunel!$H$2:$H$158,A34)</f>
        <v>0</v>
      </c>
    </row>
    <row r="35" spans="1:2" x14ac:dyDescent="0.3">
      <c r="A35" s="16" t="s">
        <v>673</v>
      </c>
      <c r="B35">
        <f>COUNTIF(Equipamento_Tunel!$H$2:$H$158,A35)</f>
        <v>0</v>
      </c>
    </row>
    <row r="36" spans="1:2" x14ac:dyDescent="0.3">
      <c r="A36" s="31" t="s">
        <v>539</v>
      </c>
      <c r="B36">
        <f>COUNTIF(Equipamento_Tunel!$H$2:$H$158,A36)</f>
        <v>0</v>
      </c>
    </row>
    <row r="37" spans="1:2" x14ac:dyDescent="0.3">
      <c r="A37" s="16" t="s">
        <v>523</v>
      </c>
      <c r="B37">
        <f>COUNTIF(Equipamento_Tunel!$H$2:$H$158,A37)</f>
        <v>0</v>
      </c>
    </row>
    <row r="38" spans="1:2" x14ac:dyDescent="0.3">
      <c r="A38" s="31" t="s">
        <v>528</v>
      </c>
      <c r="B38">
        <f>COUNTIF(Equipamento_Tunel!$H$2:$H$158,A38)</f>
        <v>0</v>
      </c>
    </row>
    <row r="39" spans="1:2" x14ac:dyDescent="0.3">
      <c r="A39" s="16" t="s">
        <v>532</v>
      </c>
      <c r="B39">
        <f>COUNTIF(Equipamento_Tunel!$H$2:$H$158,A39)</f>
        <v>0</v>
      </c>
    </row>
    <row r="40" spans="1:2" x14ac:dyDescent="0.3">
      <c r="A40" s="31" t="s">
        <v>517</v>
      </c>
      <c r="B40">
        <f>COUNTIF(Equipamento_Tunel!$H$2:$H$158,A40)</f>
        <v>0</v>
      </c>
    </row>
    <row r="41" spans="1:2" x14ac:dyDescent="0.3">
      <c r="A41" s="16" t="s">
        <v>1008</v>
      </c>
      <c r="B41">
        <f>COUNTIF(Equipamento_Tunel!$H$2:$H$158,A41)</f>
        <v>0</v>
      </c>
    </row>
    <row r="42" spans="1:2" x14ac:dyDescent="0.3">
      <c r="A42" s="31" t="s">
        <v>1012</v>
      </c>
      <c r="B42">
        <f>COUNTIF(Equipamento_Tunel!$H$2:$H$158,A42)</f>
        <v>0</v>
      </c>
    </row>
    <row r="43" spans="1:2" x14ac:dyDescent="0.3">
      <c r="A43" s="16" t="s">
        <v>1068</v>
      </c>
      <c r="B43">
        <f>COUNTIF(Equipamento_Tunel!$H$2:$H$158,A43)</f>
        <v>0</v>
      </c>
    </row>
    <row r="44" spans="1:2" x14ac:dyDescent="0.3">
      <c r="A44" s="31" t="s">
        <v>1065</v>
      </c>
      <c r="B44">
        <f>COUNTIF(Equipamento_Tunel!$H$2:$H$158,A44)</f>
        <v>0</v>
      </c>
    </row>
    <row r="45" spans="1:2" x14ac:dyDescent="0.3">
      <c r="A45" s="16" t="s">
        <v>601</v>
      </c>
      <c r="B45">
        <f>COUNTIF(Equipamento_Tunel!$H$2:$H$158,A45)</f>
        <v>0</v>
      </c>
    </row>
    <row r="46" spans="1:2" x14ac:dyDescent="0.3">
      <c r="A46" s="31" t="s">
        <v>1015</v>
      </c>
      <c r="B46">
        <f>COUNTIF(Equipamento_Tunel!$H$2:$H$158,A46)</f>
        <v>0</v>
      </c>
    </row>
    <row r="47" spans="1:2" x14ac:dyDescent="0.3">
      <c r="A47" s="16" t="s">
        <v>1018</v>
      </c>
      <c r="B47">
        <f>COUNTIF(Equipamento_Tunel!$H$2:$H$158,A47)</f>
        <v>0</v>
      </c>
    </row>
    <row r="48" spans="1:2" x14ac:dyDescent="0.3">
      <c r="A48" s="31" t="s">
        <v>1055</v>
      </c>
      <c r="B48">
        <f>COUNTIF(Equipamento_Tunel!$H$2:$H$158,A48)</f>
        <v>0</v>
      </c>
    </row>
    <row r="49" spans="1:2" x14ac:dyDescent="0.3">
      <c r="A49" s="16" t="s">
        <v>1027</v>
      </c>
      <c r="B49">
        <f>COUNTIF(Equipamento_Tunel!$H$2:$H$158,A49)</f>
        <v>0</v>
      </c>
    </row>
    <row r="50" spans="1:2" x14ac:dyDescent="0.3">
      <c r="A50" s="31" t="s">
        <v>1033</v>
      </c>
      <c r="B50">
        <f>COUNTIF(Equipamento_Tunel!$H$2:$H$158,A50)</f>
        <v>0</v>
      </c>
    </row>
    <row r="51" spans="1:2" x14ac:dyDescent="0.3">
      <c r="A51" s="16" t="s">
        <v>1023</v>
      </c>
      <c r="B51">
        <f>COUNTIF(Equipamento_Tunel!$H$2:$H$158,A51)</f>
        <v>0</v>
      </c>
    </row>
    <row r="52" spans="1:2" x14ac:dyDescent="0.3">
      <c r="A52" s="31" t="s">
        <v>1040</v>
      </c>
      <c r="B52">
        <f>COUNTIF(Equipamento_Tunel!$H$2:$H$158,A52)</f>
        <v>0</v>
      </c>
    </row>
    <row r="53" spans="1:2" x14ac:dyDescent="0.3">
      <c r="A53" s="16" t="s">
        <v>606</v>
      </c>
      <c r="B53">
        <f>COUNTIF(Equipamento_Tunel!$H$2:$H$158,A53)</f>
        <v>0</v>
      </c>
    </row>
    <row r="54" spans="1:2" x14ac:dyDescent="0.3">
      <c r="A54" s="31" t="s">
        <v>612</v>
      </c>
      <c r="B54">
        <f>COUNTIF(Equipamento_Tunel!$H$2:$H$158,A54)</f>
        <v>0</v>
      </c>
    </row>
    <row r="55" spans="1:2" x14ac:dyDescent="0.3">
      <c r="A55" s="16" t="s">
        <v>1049</v>
      </c>
      <c r="B55">
        <f>COUNTIF(Equipamento_Tunel!$H$2:$H$158,A55)</f>
        <v>0</v>
      </c>
    </row>
    <row r="56" spans="1:2" x14ac:dyDescent="0.3">
      <c r="A56" s="31" t="s">
        <v>773</v>
      </c>
      <c r="B56">
        <f>COUNTIF(Equipamento_Tunel!$H$2:$H$158,A56)</f>
        <v>0</v>
      </c>
    </row>
    <row r="57" spans="1:2" x14ac:dyDescent="0.3">
      <c r="A57" s="16" t="s">
        <v>111</v>
      </c>
      <c r="B57">
        <f>COUNTIF(Equipamento_Tunel!$H$2:$H$158,A57)</f>
        <v>0</v>
      </c>
    </row>
    <row r="58" spans="1:2" x14ac:dyDescent="0.3">
      <c r="A58" s="31" t="s">
        <v>690</v>
      </c>
      <c r="B58">
        <f>COUNTIF(Equipamento_Tunel!$H$2:$H$158,A58)</f>
        <v>0</v>
      </c>
    </row>
    <row r="59" spans="1:2" x14ac:dyDescent="0.3">
      <c r="A59" s="16" t="s">
        <v>705</v>
      </c>
      <c r="B59">
        <f>COUNTIF(Equipamento_Tunel!$H$2:$H$158,A59)</f>
        <v>0</v>
      </c>
    </row>
    <row r="60" spans="1:2" x14ac:dyDescent="0.3">
      <c r="A60" s="31" t="s">
        <v>121</v>
      </c>
      <c r="B60">
        <f>COUNTIF(Equipamento_Tunel!$H$2:$H$158,A60)</f>
        <v>0</v>
      </c>
    </row>
    <row r="61" spans="1:2" x14ac:dyDescent="0.3">
      <c r="A61" s="16" t="s">
        <v>1096</v>
      </c>
      <c r="B61">
        <f>COUNTIF(Equipamento_Tunel!$H$2:$H$158,A61)</f>
        <v>0</v>
      </c>
    </row>
    <row r="62" spans="1:2" x14ac:dyDescent="0.3">
      <c r="A62" s="31" t="s">
        <v>355</v>
      </c>
      <c r="B62">
        <f>COUNTIF(Equipamento_Tunel!$H$2:$H$158,A62)</f>
        <v>0</v>
      </c>
    </row>
    <row r="63" spans="1:2" x14ac:dyDescent="0.3">
      <c r="A63" s="16" t="s">
        <v>340</v>
      </c>
      <c r="B63">
        <f>COUNTIF(Equipamento_Tunel!$H$2:$H$158,A63)</f>
        <v>0</v>
      </c>
    </row>
    <row r="64" spans="1:2" x14ac:dyDescent="0.3">
      <c r="A64" s="31" t="s">
        <v>372</v>
      </c>
      <c r="B64">
        <f>COUNTIF(Equipamento_Tunel!$H$2:$H$158,A64)</f>
        <v>0</v>
      </c>
    </row>
    <row r="65" spans="1:2" x14ac:dyDescent="0.3">
      <c r="A65" s="16" t="s">
        <v>380</v>
      </c>
      <c r="B65">
        <f>COUNTIF(Equipamento_Tunel!$H$2:$H$158,A65)</f>
        <v>0</v>
      </c>
    </row>
    <row r="66" spans="1:2" x14ac:dyDescent="0.3">
      <c r="A66" s="31" t="s">
        <v>386</v>
      </c>
      <c r="B66">
        <f>COUNTIF(Equipamento_Tunel!$H$2:$H$158,A66)</f>
        <v>0</v>
      </c>
    </row>
    <row r="67" spans="1:2" x14ac:dyDescent="0.3">
      <c r="A67" s="16" t="s">
        <v>493</v>
      </c>
      <c r="B67">
        <f>COUNTIF(Equipamento_Tunel!$H$2:$H$158,A67)</f>
        <v>0</v>
      </c>
    </row>
    <row r="68" spans="1:2" x14ac:dyDescent="0.3">
      <c r="A68" s="31" t="s">
        <v>501</v>
      </c>
      <c r="B68">
        <f>COUNTIF(Equipamento_Tunel!$H$2:$H$158,A68)</f>
        <v>0</v>
      </c>
    </row>
    <row r="69" spans="1:2" x14ac:dyDescent="0.3">
      <c r="A69" s="16" t="s">
        <v>400</v>
      </c>
      <c r="B69">
        <f>COUNTIF(Equipamento_Tunel!$H$2:$H$158,A69)</f>
        <v>0</v>
      </c>
    </row>
    <row r="70" spans="1:2" x14ac:dyDescent="0.3">
      <c r="A70" s="31" t="s">
        <v>418</v>
      </c>
      <c r="B70">
        <f>COUNTIF(Equipamento_Tunel!$H$2:$H$158,A70)</f>
        <v>0</v>
      </c>
    </row>
    <row r="71" spans="1:2" x14ac:dyDescent="0.3">
      <c r="A71" s="16" t="s">
        <v>1437</v>
      </c>
      <c r="B71">
        <f>COUNTIF(Equipamento_Tunel!$H$2:$H$158,A71)</f>
        <v>0</v>
      </c>
    </row>
    <row r="72" spans="1:2" x14ac:dyDescent="0.3">
      <c r="A72" s="31" t="s">
        <v>554</v>
      </c>
      <c r="B72">
        <f>COUNTIF(Equipamento_Tunel!$H$2:$H$158,A72)</f>
        <v>0</v>
      </c>
    </row>
    <row r="73" spans="1:2" x14ac:dyDescent="0.3">
      <c r="A73" s="16" t="s">
        <v>424</v>
      </c>
      <c r="B73">
        <f>COUNTIF(Equipamento_Tunel!$H$2:$H$158,A73)</f>
        <v>0</v>
      </c>
    </row>
    <row r="74" spans="1:2" x14ac:dyDescent="0.3">
      <c r="A74" s="31" t="s">
        <v>430</v>
      </c>
      <c r="B74">
        <f>COUNTIF(Equipamento_Tunel!$H$2:$H$158,A74)</f>
        <v>0</v>
      </c>
    </row>
    <row r="75" spans="1:2" x14ac:dyDescent="0.3">
      <c r="A75" s="16" t="s">
        <v>436</v>
      </c>
      <c r="B75">
        <f>COUNTIF(Equipamento_Tunel!$H$2:$H$158,A75)</f>
        <v>0</v>
      </c>
    </row>
    <row r="76" spans="1:2" x14ac:dyDescent="0.3">
      <c r="A76" s="31" t="s">
        <v>444</v>
      </c>
      <c r="B76">
        <f>COUNTIF(Equipamento_Tunel!$H$2:$H$158,A76)</f>
        <v>0</v>
      </c>
    </row>
    <row r="77" spans="1:2" x14ac:dyDescent="0.3">
      <c r="A77" s="16" t="s">
        <v>447</v>
      </c>
      <c r="B77">
        <f>COUNTIF(Equipamento_Tunel!$H$2:$H$158,A77)</f>
        <v>0</v>
      </c>
    </row>
    <row r="78" spans="1:2" x14ac:dyDescent="0.3">
      <c r="A78" s="31" t="s">
        <v>1438</v>
      </c>
      <c r="B78">
        <f>COUNTIF(Equipamento_Tunel!$H$2:$H$158,A78)</f>
        <v>0</v>
      </c>
    </row>
    <row r="79" spans="1:2" x14ac:dyDescent="0.3">
      <c r="A79" s="16" t="s">
        <v>453</v>
      </c>
      <c r="B79">
        <f>COUNTIF(Equipamento_Tunel!$H$2:$H$158,A79)</f>
        <v>0</v>
      </c>
    </row>
    <row r="80" spans="1:2" x14ac:dyDescent="0.3">
      <c r="A80" s="31" t="s">
        <v>461</v>
      </c>
      <c r="B80">
        <f>COUNTIF(Equipamento_Tunel!$H$2:$H$158,A80)</f>
        <v>0</v>
      </c>
    </row>
    <row r="81" spans="1:2" x14ac:dyDescent="0.3">
      <c r="A81" s="16" t="s">
        <v>160</v>
      </c>
      <c r="B81">
        <f>COUNTIF(Equipamento_Tunel!$H$2:$H$158,A81)</f>
        <v>0</v>
      </c>
    </row>
    <row r="82" spans="1:2" x14ac:dyDescent="0.3">
      <c r="A82" s="31" t="s">
        <v>169</v>
      </c>
      <c r="B82">
        <f>COUNTIF(Equipamento_Tunel!$H$2:$H$158,A82)</f>
        <v>0</v>
      </c>
    </row>
    <row r="83" spans="1:2" x14ac:dyDescent="0.3">
      <c r="A83" s="16" t="s">
        <v>187</v>
      </c>
      <c r="B83">
        <f>COUNTIF(Equipamento_Tunel!$H$2:$H$158,A83)</f>
        <v>0</v>
      </c>
    </row>
    <row r="84" spans="1:2" x14ac:dyDescent="0.3">
      <c r="A84" s="31" t="s">
        <v>195</v>
      </c>
      <c r="B84">
        <f>COUNTIF(Equipamento_Tunel!$H$2:$H$158,A84)</f>
        <v>0</v>
      </c>
    </row>
    <row r="85" spans="1:2" x14ac:dyDescent="0.3">
      <c r="A85" s="16" t="s">
        <v>475</v>
      </c>
      <c r="B85">
        <f>COUNTIF(Equipamento_Tunel!$H$2:$H$158,A85)</f>
        <v>0</v>
      </c>
    </row>
    <row r="86" spans="1:2" x14ac:dyDescent="0.3">
      <c r="A86" s="31" t="s">
        <v>489</v>
      </c>
      <c r="B86">
        <f>COUNTIF(Equipamento_Tunel!$H$2:$H$158,A86)</f>
        <v>0</v>
      </c>
    </row>
    <row r="87" spans="1:2" x14ac:dyDescent="0.3">
      <c r="A87" s="16" t="s">
        <v>175</v>
      </c>
      <c r="B87">
        <f>COUNTIF(Equipamento_Tunel!$H$2:$H$158,A87)</f>
        <v>0</v>
      </c>
    </row>
    <row r="88" spans="1:2" x14ac:dyDescent="0.3">
      <c r="A88" s="31" t="s">
        <v>207</v>
      </c>
      <c r="B88">
        <f>COUNTIF(Equipamento_Tunel!$H$2:$H$158,A88)</f>
        <v>0</v>
      </c>
    </row>
    <row r="89" spans="1:2" x14ac:dyDescent="0.3">
      <c r="A89" s="16" t="s">
        <v>66</v>
      </c>
      <c r="B89">
        <f>COUNTIF(Equipamento_Tunel!$H$2:$H$158,A89)</f>
        <v>0</v>
      </c>
    </row>
    <row r="90" spans="1:2" x14ac:dyDescent="0.3">
      <c r="A90" s="31" t="s">
        <v>129</v>
      </c>
      <c r="B90">
        <f>COUNTIF(Equipamento_Tunel!$H$2:$H$158,A90)</f>
        <v>0</v>
      </c>
    </row>
    <row r="91" spans="1:2" x14ac:dyDescent="0.3">
      <c r="A91" s="16" t="s">
        <v>85</v>
      </c>
      <c r="B91">
        <f>COUNTIF(Equipamento_Tunel!$H$2:$H$158,A91)</f>
        <v>0</v>
      </c>
    </row>
    <row r="92" spans="1:2" x14ac:dyDescent="0.3">
      <c r="A92" s="31" t="s">
        <v>98</v>
      </c>
      <c r="B92">
        <f>COUNTIF(Equipamento_Tunel!$H$2:$H$158,A92)</f>
        <v>0</v>
      </c>
    </row>
    <row r="93" spans="1:2" x14ac:dyDescent="0.3">
      <c r="A93" s="16" t="s">
        <v>226</v>
      </c>
      <c r="B93">
        <f>COUNTIF(Equipamento_Tunel!$H$2:$H$158,A93)</f>
        <v>0</v>
      </c>
    </row>
    <row r="94" spans="1:2" x14ac:dyDescent="0.3">
      <c r="A94" s="31" t="s">
        <v>31</v>
      </c>
      <c r="B94">
        <f>COUNTIF(Equipamento_Tunel!$H$2:$H$158,A94)</f>
        <v>0</v>
      </c>
    </row>
    <row r="95" spans="1:2" x14ac:dyDescent="0.3">
      <c r="A95" s="16" t="s">
        <v>135</v>
      </c>
      <c r="B95">
        <f>COUNTIF(Equipamento_Tunel!$H$2:$H$158,A95)</f>
        <v>0</v>
      </c>
    </row>
    <row r="96" spans="1:2" x14ac:dyDescent="0.3">
      <c r="A96" s="31" t="s">
        <v>42</v>
      </c>
      <c r="B96">
        <f>COUNTIF(Equipamento_Tunel!$H$2:$H$158,A96)</f>
        <v>0</v>
      </c>
    </row>
    <row r="97" spans="1:2" x14ac:dyDescent="0.3">
      <c r="A97" s="16" t="s">
        <v>48</v>
      </c>
      <c r="B97">
        <f>COUNTIF(Equipamento_Tunel!$H$2:$H$158,A97)</f>
        <v>0</v>
      </c>
    </row>
    <row r="98" spans="1:2" x14ac:dyDescent="0.3">
      <c r="A98" s="31" t="s">
        <v>755</v>
      </c>
      <c r="B98">
        <f>COUNTIF(Equipamento_Tunel!$H$2:$H$158,A98)</f>
        <v>0</v>
      </c>
    </row>
    <row r="99" spans="1:2" x14ac:dyDescent="0.3">
      <c r="A99" s="16" t="s">
        <v>244</v>
      </c>
      <c r="B99">
        <f>COUNTIF(Equipamento_Tunel!$H$2:$H$158,A99)</f>
        <v>0</v>
      </c>
    </row>
    <row r="100" spans="1:2" x14ac:dyDescent="0.3">
      <c r="A100" s="31" t="s">
        <v>251</v>
      </c>
      <c r="B100">
        <f>COUNTIF(Equipamento_Tunel!$H$2:$H$158,A100)</f>
        <v>0</v>
      </c>
    </row>
    <row r="101" spans="1:2" x14ac:dyDescent="0.3">
      <c r="A101" s="16" t="s">
        <v>258</v>
      </c>
      <c r="B101">
        <f>COUNTIF(Equipamento_Tunel!$H$2:$H$158,A101)</f>
        <v>0</v>
      </c>
    </row>
    <row r="102" spans="1:2" x14ac:dyDescent="0.3">
      <c r="A102" s="31" t="s">
        <v>265</v>
      </c>
      <c r="B102">
        <f>COUNTIF(Equipamento_Tunel!$H$2:$H$158,A102)</f>
        <v>0</v>
      </c>
    </row>
    <row r="103" spans="1:2" x14ac:dyDescent="0.3">
      <c r="A103" s="16" t="s">
        <v>273</v>
      </c>
      <c r="B103">
        <f>COUNTIF(Equipamento_Tunel!$H$2:$H$158,A103)</f>
        <v>0</v>
      </c>
    </row>
    <row r="104" spans="1:2" x14ac:dyDescent="0.3">
      <c r="A104" s="31" t="s">
        <v>280</v>
      </c>
      <c r="B104">
        <f>COUNTIF(Equipamento_Tunel!$H$2:$H$158,A104)</f>
        <v>0</v>
      </c>
    </row>
    <row r="105" spans="1:2" x14ac:dyDescent="0.3">
      <c r="A105" s="16" t="s">
        <v>284</v>
      </c>
      <c r="B105">
        <f>COUNTIF(Equipamento_Tunel!$H$2:$H$158,A105)</f>
        <v>0</v>
      </c>
    </row>
    <row r="106" spans="1:2" x14ac:dyDescent="0.3">
      <c r="A106" s="31" t="s">
        <v>292</v>
      </c>
      <c r="B106">
        <f>COUNTIF(Equipamento_Tunel!$H$2:$H$158,A106)</f>
        <v>0</v>
      </c>
    </row>
    <row r="107" spans="1:2" x14ac:dyDescent="0.3">
      <c r="A107" s="16" t="s">
        <v>299</v>
      </c>
      <c r="B107">
        <f>COUNTIF(Equipamento_Tunel!$H$2:$H$158,A107)</f>
        <v>0</v>
      </c>
    </row>
    <row r="108" spans="1:2" x14ac:dyDescent="0.3">
      <c r="A108" s="31" t="s">
        <v>306</v>
      </c>
      <c r="B108">
        <f>COUNTIF(Equipamento_Tunel!$H$2:$H$158,A108)</f>
        <v>0</v>
      </c>
    </row>
    <row r="109" spans="1:2" x14ac:dyDescent="0.3">
      <c r="A109" s="16" t="s">
        <v>971</v>
      </c>
      <c r="B109">
        <f>COUNTIF(Equipamento_Tunel!$H$2:$H$158,A109)</f>
        <v>0</v>
      </c>
    </row>
    <row r="110" spans="1:2" x14ac:dyDescent="0.3">
      <c r="A110" s="31" t="s">
        <v>142</v>
      </c>
      <c r="B110">
        <f>COUNTIF(Equipamento_Tunel!$H$2:$H$158,A110)</f>
        <v>0</v>
      </c>
    </row>
    <row r="111" spans="1:2" x14ac:dyDescent="0.3">
      <c r="A111" s="16" t="s">
        <v>139</v>
      </c>
      <c r="B111">
        <f>COUNTIF(Equipamento_Tunel!$H$2:$H$158,A111)</f>
        <v>0</v>
      </c>
    </row>
    <row r="112" spans="1:2" x14ac:dyDescent="0.3">
      <c r="A112" s="31" t="s">
        <v>153</v>
      </c>
      <c r="B112">
        <f>COUNTIF(Equipamento_Tunel!$H$2:$H$158,A112)</f>
        <v>0</v>
      </c>
    </row>
    <row r="113" spans="1:2" x14ac:dyDescent="0.3">
      <c r="A113" s="16" t="s">
        <v>715</v>
      </c>
      <c r="B113">
        <f>COUNTIF(Equipamento_Tunel!$H$2:$H$158,A113)</f>
        <v>0</v>
      </c>
    </row>
    <row r="114" spans="1:2" x14ac:dyDescent="0.3">
      <c r="A114" s="31" t="s">
        <v>1439</v>
      </c>
      <c r="B114">
        <f>COUNTIF(Equipamento_Tunel!$H$2:$H$158,A114)</f>
        <v>0</v>
      </c>
    </row>
    <row r="115" spans="1:2" x14ac:dyDescent="0.3">
      <c r="A115" s="16" t="s">
        <v>1440</v>
      </c>
      <c r="B115">
        <f>COUNTIF(Equipamento_Tunel!$H$2:$H$158,A115)</f>
        <v>0</v>
      </c>
    </row>
    <row r="116" spans="1:2" x14ac:dyDescent="0.3">
      <c r="A116" s="31" t="s">
        <v>1441</v>
      </c>
      <c r="B116">
        <f>COUNTIF(Equipamento_Tunel!$H$2:$H$158,A116)</f>
        <v>0</v>
      </c>
    </row>
    <row r="117" spans="1:2" x14ac:dyDescent="0.3">
      <c r="A117" s="16" t="s">
        <v>1442</v>
      </c>
      <c r="B117">
        <f>COUNTIF(Equipamento_Tunel!$H$2:$H$158,A117)</f>
        <v>0</v>
      </c>
    </row>
    <row r="118" spans="1:2" x14ac:dyDescent="0.3">
      <c r="A118" s="31" t="s">
        <v>1443</v>
      </c>
      <c r="B118">
        <f>COUNTIF(Equipamento_Tunel!$H$2:$H$158,A118)</f>
        <v>0</v>
      </c>
    </row>
    <row r="119" spans="1:2" x14ac:dyDescent="0.3">
      <c r="A119" s="16" t="s">
        <v>1444</v>
      </c>
      <c r="B119">
        <f>COUNTIF(Equipamento_Tunel!$H$2:$H$158,A119)</f>
        <v>0</v>
      </c>
    </row>
    <row r="120" spans="1:2" x14ac:dyDescent="0.3">
      <c r="A120" s="31" t="s">
        <v>1445</v>
      </c>
      <c r="B120">
        <f>COUNTIF(Equipamento_Tunel!$H$2:$H$158,A120)</f>
        <v>0</v>
      </c>
    </row>
    <row r="121" spans="1:2" x14ac:dyDescent="0.3">
      <c r="A121" s="16" t="s">
        <v>1446</v>
      </c>
      <c r="B121">
        <f>COUNTIF(Equipamento_Tunel!$H$2:$H$158,A121)</f>
        <v>0</v>
      </c>
    </row>
    <row r="122" spans="1:2" x14ac:dyDescent="0.3">
      <c r="A122" s="31" t="s">
        <v>1447</v>
      </c>
      <c r="B122">
        <f>COUNTIF(Equipamento_Tunel!$H$2:$H$158,A122)</f>
        <v>0</v>
      </c>
    </row>
    <row r="123" spans="1:2" x14ac:dyDescent="0.3">
      <c r="A123" s="16" t="s">
        <v>1448</v>
      </c>
      <c r="B123">
        <f>COUNTIF(Equipamento_Tunel!$H$2:$H$158,A123)</f>
        <v>0</v>
      </c>
    </row>
    <row r="124" spans="1:2" x14ac:dyDescent="0.3">
      <c r="A124" s="31" t="s">
        <v>785</v>
      </c>
      <c r="B124">
        <f>COUNTIF(Equipamento_Tunel!$H$2:$H$158,A124)</f>
        <v>0</v>
      </c>
    </row>
    <row r="125" spans="1:2" x14ac:dyDescent="0.3">
      <c r="A125" s="16" t="s">
        <v>790</v>
      </c>
      <c r="B125">
        <f>COUNTIF(Equipamento_Tunel!$H$2:$H$158,A125)</f>
        <v>0</v>
      </c>
    </row>
    <row r="126" spans="1:2" x14ac:dyDescent="0.3">
      <c r="A126" s="31" t="s">
        <v>800</v>
      </c>
      <c r="B126">
        <f>COUNTIF(Equipamento_Tunel!$H$2:$H$158,A126)</f>
        <v>0</v>
      </c>
    </row>
    <row r="127" spans="1:2" x14ac:dyDescent="0.3">
      <c r="A127" s="16" t="s">
        <v>805</v>
      </c>
      <c r="B127">
        <f>COUNTIF(Equipamento_Tunel!$H$2:$H$158,A127)</f>
        <v>0</v>
      </c>
    </row>
    <row r="128" spans="1:2" x14ac:dyDescent="0.3">
      <c r="A128" s="31" t="s">
        <v>811</v>
      </c>
      <c r="B128">
        <f>COUNTIF(Equipamento_Tunel!$H$2:$H$158,A128)</f>
        <v>0</v>
      </c>
    </row>
    <row r="129" spans="1:2" x14ac:dyDescent="0.3">
      <c r="A129" s="16" t="s">
        <v>1449</v>
      </c>
      <c r="B129">
        <f>COUNTIF(Equipamento_Tunel!$H$2:$H$158,A129)</f>
        <v>0</v>
      </c>
    </row>
    <row r="130" spans="1:2" x14ac:dyDescent="0.3">
      <c r="A130" s="31" t="s">
        <v>816</v>
      </c>
      <c r="B130">
        <f>COUNTIF(Equipamento_Tunel!$H$2:$H$158,A130)</f>
        <v>0</v>
      </c>
    </row>
    <row r="131" spans="1:2" x14ac:dyDescent="0.3">
      <c r="A131" s="16" t="s">
        <v>1450</v>
      </c>
      <c r="B131">
        <f>COUNTIF(Equipamento_Tunel!$H$2:$H$158,A131)</f>
        <v>0</v>
      </c>
    </row>
    <row r="132" spans="1:2" x14ac:dyDescent="0.3">
      <c r="A132" s="31" t="s">
        <v>827</v>
      </c>
      <c r="B132">
        <f>COUNTIF(Equipamento_Tunel!$H$2:$H$158,A132)</f>
        <v>0</v>
      </c>
    </row>
    <row r="133" spans="1:2" x14ac:dyDescent="0.3">
      <c r="A133" s="16" t="s">
        <v>839</v>
      </c>
      <c r="B133">
        <f>COUNTIF(Equipamento_Tunel!$H$2:$H$158,A133)</f>
        <v>0</v>
      </c>
    </row>
    <row r="134" spans="1:2" x14ac:dyDescent="0.3">
      <c r="A134" s="31" t="s">
        <v>1451</v>
      </c>
      <c r="B134">
        <f>COUNTIF(Equipamento_Tunel!$H$2:$H$158,A134)</f>
        <v>0</v>
      </c>
    </row>
    <row r="135" spans="1:2" x14ac:dyDescent="0.3">
      <c r="A135" s="16" t="s">
        <v>1452</v>
      </c>
      <c r="B135">
        <f>COUNTIF(Equipamento_Tunel!$H$2:$H$158,A135)</f>
        <v>0</v>
      </c>
    </row>
    <row r="136" spans="1:2" x14ac:dyDescent="0.3">
      <c r="A136" s="31" t="s">
        <v>1453</v>
      </c>
      <c r="B136">
        <f>COUNTIF(Equipamento_Tunel!$H$2:$H$158,A136)</f>
        <v>0</v>
      </c>
    </row>
    <row r="137" spans="1:2" x14ac:dyDescent="0.3">
      <c r="A137" s="16" t="s">
        <v>1454</v>
      </c>
      <c r="B137">
        <f>COUNTIF(Equipamento_Tunel!$H$2:$H$158,A137)</f>
        <v>0</v>
      </c>
    </row>
    <row r="138" spans="1:2" x14ac:dyDescent="0.3">
      <c r="A138" s="31" t="s">
        <v>1455</v>
      </c>
      <c r="B138">
        <f>COUNTIF(Equipamento_Tunel!$H$2:$H$158,A138)</f>
        <v>0</v>
      </c>
    </row>
    <row r="139" spans="1:2" x14ac:dyDescent="0.3">
      <c r="A139" s="16" t="s">
        <v>1456</v>
      </c>
      <c r="B139">
        <f>COUNTIF(Equipamento_Tunel!$H$2:$H$158,A139)</f>
        <v>0</v>
      </c>
    </row>
    <row r="140" spans="1:2" x14ac:dyDescent="0.3">
      <c r="A140" s="31" t="s">
        <v>1457</v>
      </c>
      <c r="B140">
        <f>COUNTIF(Equipamento_Tunel!$H$2:$H$158,A140)</f>
        <v>0</v>
      </c>
    </row>
    <row r="141" spans="1:2" x14ac:dyDescent="0.3">
      <c r="A141" s="16" t="s">
        <v>778</v>
      </c>
      <c r="B141">
        <f>COUNTIF(Equipamento_Tunel!$H$2:$H$158,A141)</f>
        <v>0</v>
      </c>
    </row>
    <row r="142" spans="1:2" x14ac:dyDescent="0.3">
      <c r="A142" s="31" t="s">
        <v>1458</v>
      </c>
      <c r="B142">
        <f>COUNTIF(Equipamento_Tunel!$H$2:$H$158,A142)</f>
        <v>0</v>
      </c>
    </row>
    <row r="143" spans="1:2" x14ac:dyDescent="0.3">
      <c r="A143" s="16" t="s">
        <v>1459</v>
      </c>
      <c r="B143">
        <f>COUNTIF(Equipamento_Tunel!$H$2:$H$158,A143)</f>
        <v>0</v>
      </c>
    </row>
    <row r="144" spans="1:2" x14ac:dyDescent="0.3">
      <c r="A144" s="31" t="s">
        <v>1460</v>
      </c>
      <c r="B144">
        <f>COUNTIF(Equipamento_Tunel!$H$2:$H$158,A144)</f>
        <v>0</v>
      </c>
    </row>
    <row r="145" spans="1:2" x14ac:dyDescent="0.3">
      <c r="A145" s="16" t="s">
        <v>1461</v>
      </c>
      <c r="B145">
        <f>COUNTIF(Equipamento_Tunel!$H$2:$H$158,A145)</f>
        <v>0</v>
      </c>
    </row>
    <row r="146" spans="1:2" x14ac:dyDescent="0.3">
      <c r="A146" s="31" t="s">
        <v>1462</v>
      </c>
      <c r="B146">
        <f>COUNTIF(Equipamento_Tunel!$H$2:$H$158,A146)</f>
        <v>0</v>
      </c>
    </row>
    <row r="147" spans="1:2" x14ac:dyDescent="0.3">
      <c r="A147" s="16" t="s">
        <v>1463</v>
      </c>
      <c r="B147">
        <f>COUNTIF(Equipamento_Tunel!$H$2:$H$158,A147)</f>
        <v>0</v>
      </c>
    </row>
    <row r="148" spans="1:2" x14ac:dyDescent="0.3">
      <c r="A148" s="31" t="s">
        <v>1464</v>
      </c>
      <c r="B148">
        <f>COUNTIF(Equipamento_Tunel!$H$2:$H$158,A148)</f>
        <v>0</v>
      </c>
    </row>
    <row r="149" spans="1:2" x14ac:dyDescent="0.3">
      <c r="A149" s="16" t="s">
        <v>316</v>
      </c>
      <c r="B149">
        <f>COUNTIF(Equipamento_Tunel!$H$2:$H$158,A149)</f>
        <v>0</v>
      </c>
    </row>
    <row r="150" spans="1:2" x14ac:dyDescent="0.3">
      <c r="A150" s="31" t="s">
        <v>346</v>
      </c>
      <c r="B150">
        <f>COUNTIF(Equipamento_Tunel!$H$2:$H$158,A150)</f>
        <v>0</v>
      </c>
    </row>
    <row r="151" spans="1:2" x14ac:dyDescent="0.3">
      <c r="A151" s="16" t="s">
        <v>952</v>
      </c>
      <c r="B151">
        <f>COUNTIF(Equipamento_Tunel!$H$2:$H$158,A151)</f>
        <v>0</v>
      </c>
    </row>
    <row r="152" spans="1:2" x14ac:dyDescent="0.3">
      <c r="A152" s="31" t="s">
        <v>856</v>
      </c>
      <c r="B152">
        <f>COUNTIF(Equipamento_Tunel!$H$2:$H$158,A152)</f>
        <v>0</v>
      </c>
    </row>
    <row r="153" spans="1:2" x14ac:dyDescent="0.3">
      <c r="A153" s="16" t="s">
        <v>863</v>
      </c>
      <c r="B153">
        <f>COUNTIF(Equipamento_Tunel!$H$2:$H$158,A153)</f>
        <v>0</v>
      </c>
    </row>
    <row r="154" spans="1:2" x14ac:dyDescent="0.3">
      <c r="A154" s="31" t="s">
        <v>869</v>
      </c>
      <c r="B154">
        <f>COUNTIF(Equipamento_Tunel!$H$2:$H$158,A154)</f>
        <v>0</v>
      </c>
    </row>
    <row r="155" spans="1:2" x14ac:dyDescent="0.3">
      <c r="A155" s="16" t="s">
        <v>1465</v>
      </c>
      <c r="B155">
        <f>COUNTIF(Equipamento_Tunel!$H$2:$H$158,A155)</f>
        <v>0</v>
      </c>
    </row>
    <row r="156" spans="1:2" x14ac:dyDescent="0.3">
      <c r="A156" s="31" t="s">
        <v>1466</v>
      </c>
      <c r="B156">
        <f>COUNTIF(Equipamento_Tunel!$H$2:$H$158,A156)</f>
        <v>0</v>
      </c>
    </row>
    <row r="157" spans="1:2" x14ac:dyDescent="0.3">
      <c r="A157" s="16" t="s">
        <v>1467</v>
      </c>
      <c r="B157">
        <f>COUNTIF(Equipamento_Tunel!$H$2:$H$158,A157)</f>
        <v>0</v>
      </c>
    </row>
    <row r="158" spans="1:2" x14ac:dyDescent="0.3">
      <c r="A158" s="31" t="s">
        <v>1468</v>
      </c>
      <c r="B158">
        <f>COUNTIF(Equipamento_Tunel!$H$2:$H$158,A158)</f>
        <v>0</v>
      </c>
    </row>
    <row r="159" spans="1:2" x14ac:dyDescent="0.3">
      <c r="A159" s="16" t="s">
        <v>1469</v>
      </c>
      <c r="B159">
        <f>COUNTIF(Equipamento_Tunel!$H$2:$H$158,A159)</f>
        <v>0</v>
      </c>
    </row>
    <row r="160" spans="1:2" x14ac:dyDescent="0.3">
      <c r="A160" s="31" t="s">
        <v>1470</v>
      </c>
      <c r="B160">
        <f>COUNTIF(Equipamento_Tunel!$H$2:$H$158,A160)</f>
        <v>0</v>
      </c>
    </row>
    <row r="161" spans="1:2" x14ac:dyDescent="0.3">
      <c r="A161" s="16" t="s">
        <v>1471</v>
      </c>
      <c r="B161">
        <f>COUNTIF(Equipamento_Tunel!$H$2:$H$158,A161)</f>
        <v>0</v>
      </c>
    </row>
    <row r="162" spans="1:2" x14ac:dyDescent="0.3">
      <c r="A162" s="31" t="s">
        <v>1472</v>
      </c>
      <c r="B162">
        <f>COUNTIF(Equipamento_Tunel!$H$2:$H$158,A162)</f>
        <v>0</v>
      </c>
    </row>
    <row r="163" spans="1:2" x14ac:dyDescent="0.3">
      <c r="A163" s="16" t="s">
        <v>1473</v>
      </c>
      <c r="B163">
        <f>COUNTIF(Equipamento_Tunel!$H$2:$H$158,A163)</f>
        <v>0</v>
      </c>
    </row>
    <row r="164" spans="1:2" x14ac:dyDescent="0.3">
      <c r="A164" s="31" t="s">
        <v>1474</v>
      </c>
      <c r="B164">
        <f>COUNTIF(Equipamento_Tunel!$H$2:$H$158,A164)</f>
        <v>0</v>
      </c>
    </row>
    <row r="165" spans="1:2" x14ac:dyDescent="0.3">
      <c r="A165" s="16" t="s">
        <v>1475</v>
      </c>
      <c r="B165">
        <f>COUNTIF(Equipamento_Tunel!$H$2:$H$158,A165)</f>
        <v>0</v>
      </c>
    </row>
    <row r="166" spans="1:2" x14ac:dyDescent="0.3">
      <c r="A166" s="31" t="s">
        <v>1476</v>
      </c>
      <c r="B166">
        <f>COUNTIF(Equipamento_Tunel!$H$2:$H$158,A166)</f>
        <v>0</v>
      </c>
    </row>
    <row r="167" spans="1:2" x14ac:dyDescent="0.3">
      <c r="A167" s="16" t="s">
        <v>1477</v>
      </c>
      <c r="B167">
        <f>COUNTIF(Equipamento_Tunel!$H$2:$H$158,A167)</f>
        <v>0</v>
      </c>
    </row>
    <row r="168" spans="1:2" x14ac:dyDescent="0.3">
      <c r="A168" s="31" t="s">
        <v>1478</v>
      </c>
      <c r="B168">
        <f>COUNTIF(Equipamento_Tunel!$H$2:$H$158,A168)</f>
        <v>0</v>
      </c>
    </row>
    <row r="169" spans="1:2" x14ac:dyDescent="0.3">
      <c r="A169" s="16" t="s">
        <v>1479</v>
      </c>
      <c r="B169">
        <f>COUNTIF(Equipamento_Tunel!$H$2:$H$158,A169)</f>
        <v>0</v>
      </c>
    </row>
    <row r="170" spans="1:2" x14ac:dyDescent="0.3">
      <c r="A170" s="31" t="s">
        <v>1480</v>
      </c>
      <c r="B170">
        <f>COUNTIF(Equipamento_Tunel!$H$2:$H$158,A170)</f>
        <v>0</v>
      </c>
    </row>
    <row r="171" spans="1:2" x14ac:dyDescent="0.3">
      <c r="A171" s="16" t="s">
        <v>1481</v>
      </c>
      <c r="B171">
        <f>COUNTIF(Equipamento_Tunel!$H$2:$H$158,A171)</f>
        <v>0</v>
      </c>
    </row>
    <row r="172" spans="1:2" x14ac:dyDescent="0.3">
      <c r="A172" s="31" t="s">
        <v>1482</v>
      </c>
      <c r="B172">
        <f>COUNTIF(Equipamento_Tunel!$H$2:$H$158,A172)</f>
        <v>0</v>
      </c>
    </row>
    <row r="173" spans="1:2" x14ac:dyDescent="0.3">
      <c r="A173" s="16" t="s">
        <v>1483</v>
      </c>
      <c r="B173">
        <f>COUNTIF(Equipamento_Tunel!$H$2:$H$158,A173)</f>
        <v>0</v>
      </c>
    </row>
    <row r="174" spans="1:2" x14ac:dyDescent="0.3">
      <c r="A174" s="31" t="s">
        <v>1484</v>
      </c>
      <c r="B174">
        <f>COUNTIF(Equipamento_Tunel!$H$2:$H$158,A174)</f>
        <v>0</v>
      </c>
    </row>
    <row r="175" spans="1:2" x14ac:dyDescent="0.3">
      <c r="A175" s="16" t="s">
        <v>1485</v>
      </c>
      <c r="B175">
        <f>COUNTIF(Equipamento_Tunel!$H$2:$H$158,A175)</f>
        <v>0</v>
      </c>
    </row>
    <row r="176" spans="1:2" x14ac:dyDescent="0.3">
      <c r="A176" s="31" t="s">
        <v>1486</v>
      </c>
      <c r="B176">
        <f>COUNTIF(Equipamento_Tunel!$H$2:$H$158,A176)</f>
        <v>0</v>
      </c>
    </row>
    <row r="177" spans="1:2" x14ac:dyDescent="0.3">
      <c r="A177" s="16" t="s">
        <v>1487</v>
      </c>
      <c r="B177">
        <f>COUNTIF(Equipamento_Tunel!$H$2:$H$158,A177)</f>
        <v>0</v>
      </c>
    </row>
    <row r="178" spans="1:2" x14ac:dyDescent="0.3">
      <c r="A178" s="31" t="s">
        <v>1488</v>
      </c>
      <c r="B178">
        <f>COUNTIF(Equipamento_Tunel!$H$2:$H$158,A178)</f>
        <v>0</v>
      </c>
    </row>
    <row r="179" spans="1:2" x14ac:dyDescent="0.3">
      <c r="A179" s="16" t="s">
        <v>1489</v>
      </c>
      <c r="B179">
        <f>COUNTIF(Equipamento_Tunel!$H$2:$H$158,A179)</f>
        <v>0</v>
      </c>
    </row>
    <row r="180" spans="1:2" x14ac:dyDescent="0.3">
      <c r="A180" s="31" t="s">
        <v>1490</v>
      </c>
      <c r="B180">
        <f>COUNTIF(Equipamento_Tunel!$H$2:$H$158,A180)</f>
        <v>0</v>
      </c>
    </row>
    <row r="181" spans="1:2" x14ac:dyDescent="0.3">
      <c r="A181" s="16" t="s">
        <v>1491</v>
      </c>
      <c r="B181">
        <f>COUNTIF(Equipamento_Tunel!$H$2:$H$158,A181)</f>
        <v>0</v>
      </c>
    </row>
    <row r="182" spans="1:2" x14ac:dyDescent="0.3">
      <c r="A182" s="31" t="s">
        <v>1492</v>
      </c>
      <c r="B182">
        <f>COUNTIF(Equipamento_Tunel!$H$2:$H$158,A182)</f>
        <v>0</v>
      </c>
    </row>
    <row r="183" spans="1:2" x14ac:dyDescent="0.3">
      <c r="A183" s="16" t="s">
        <v>1493</v>
      </c>
      <c r="B183">
        <f>COUNTIF(Equipamento_Tunel!$H$2:$H$158,A183)</f>
        <v>0</v>
      </c>
    </row>
    <row r="184" spans="1:2" x14ac:dyDescent="0.3">
      <c r="A184" s="31" t="s">
        <v>1494</v>
      </c>
      <c r="B184">
        <f>COUNTIF(Equipamento_Tunel!$H$2:$H$158,A184)</f>
        <v>0</v>
      </c>
    </row>
    <row r="185" spans="1:2" x14ac:dyDescent="0.3">
      <c r="A185" s="16" t="s">
        <v>1495</v>
      </c>
      <c r="B185">
        <f>COUNTIF(Equipamento_Tunel!$H$2:$H$158,A185)</f>
        <v>0</v>
      </c>
    </row>
    <row r="186" spans="1:2" x14ac:dyDescent="0.3">
      <c r="A186" s="31" t="s">
        <v>1496</v>
      </c>
      <c r="B186">
        <f>COUNTIF(Equipamento_Tunel!$H$2:$H$158,A186)</f>
        <v>0</v>
      </c>
    </row>
    <row r="187" spans="1:2" x14ac:dyDescent="0.3">
      <c r="A187" s="16" t="s">
        <v>1497</v>
      </c>
      <c r="B187">
        <f>COUNTIF(Equipamento_Tunel!$H$2:$H$158,A187)</f>
        <v>0</v>
      </c>
    </row>
    <row r="188" spans="1:2" x14ac:dyDescent="0.3">
      <c r="A188" s="31" t="s">
        <v>1498</v>
      </c>
      <c r="B188">
        <f>COUNTIF(Equipamento_Tunel!$H$2:$H$158,A188)</f>
        <v>0</v>
      </c>
    </row>
    <row r="189" spans="1:2" x14ac:dyDescent="0.3">
      <c r="A189" s="16" t="s">
        <v>1499</v>
      </c>
      <c r="B189">
        <f>COUNTIF(Equipamento_Tunel!$H$2:$H$158,A189)</f>
        <v>0</v>
      </c>
    </row>
    <row r="190" spans="1:2" x14ac:dyDescent="0.3">
      <c r="A190" s="31" t="s">
        <v>1500</v>
      </c>
      <c r="B190">
        <f>COUNTIF(Equipamento_Tunel!$H$2:$H$158,A190)</f>
        <v>0</v>
      </c>
    </row>
    <row r="191" spans="1:2" x14ac:dyDescent="0.3">
      <c r="A191" s="16"/>
      <c r="B191">
        <f>COUNTIF(Equipamento_Tunel!$H$2:$H$158,A191)</f>
        <v>0</v>
      </c>
    </row>
    <row r="192" spans="1:2" x14ac:dyDescent="0.3">
      <c r="A192" s="31"/>
      <c r="B192">
        <f>COUNTIF(Equipamento_Tunel!$H$2:$H$158,A192)</f>
        <v>0</v>
      </c>
    </row>
    <row r="193" spans="1:2" x14ac:dyDescent="0.3">
      <c r="A193" s="16"/>
      <c r="B193">
        <f>COUNTIF(Equipamento_Tunel!$H$2:$H$158,A193)</f>
        <v>0</v>
      </c>
    </row>
    <row r="194" spans="1:2" x14ac:dyDescent="0.3">
      <c r="A194" s="31"/>
      <c r="B194">
        <f>COUNTIF(Equipamento_Tunel!$H$2:$H$158,A194)</f>
        <v>0</v>
      </c>
    </row>
    <row r="195" spans="1:2" x14ac:dyDescent="0.3">
      <c r="A195" s="16"/>
      <c r="B195">
        <f>COUNTIF(Equipamento_Tunel!$H$2:$H$158,A195)</f>
        <v>0</v>
      </c>
    </row>
    <row r="196" spans="1:2" x14ac:dyDescent="0.3">
      <c r="A196" s="31"/>
      <c r="B196">
        <f>COUNTIF(Equipamento_Tunel!$H$2:$H$158,A196)</f>
        <v>0</v>
      </c>
    </row>
    <row r="197" spans="1:2" x14ac:dyDescent="0.3">
      <c r="A197" s="16"/>
      <c r="B197">
        <f>COUNTIF(Equipamento_Tunel!$H$2:$H$158,A197)</f>
        <v>0</v>
      </c>
    </row>
    <row r="198" spans="1:2" x14ac:dyDescent="0.3">
      <c r="A198" s="31"/>
      <c r="B198">
        <f>COUNTIF(Equipamento_Tunel!$H$2:$H$158,A198)</f>
        <v>0</v>
      </c>
    </row>
    <row r="199" spans="1:2" x14ac:dyDescent="0.3">
      <c r="A199" s="16"/>
      <c r="B199">
        <f>COUNTIF(Equipamento_Tunel!$H$2:$H$158,A199)</f>
        <v>0</v>
      </c>
    </row>
    <row r="200" spans="1:2" x14ac:dyDescent="0.3">
      <c r="A200" s="31"/>
      <c r="B200">
        <f>COUNTIF(Equipamento_Tunel!$H$2:$H$158,A200)</f>
        <v>0</v>
      </c>
    </row>
    <row r="201" spans="1:2" x14ac:dyDescent="0.3">
      <c r="A201" s="16"/>
      <c r="B201">
        <f>COUNTIF(Equipamento_Tunel!$H$2:$H$158,A201)</f>
        <v>0</v>
      </c>
    </row>
    <row r="202" spans="1:2" x14ac:dyDescent="0.3">
      <c r="A202" s="31"/>
      <c r="B202">
        <f>COUNTIF(Equipamento_Tunel!$H$2:$H$158,A202)</f>
        <v>0</v>
      </c>
    </row>
    <row r="203" spans="1:2" x14ac:dyDescent="0.3">
      <c r="A203" s="16"/>
      <c r="B203">
        <f>COUNTIF(Equipamento_Tunel!$H$2:$H$158,A203)</f>
        <v>0</v>
      </c>
    </row>
    <row r="204" spans="1:2" x14ac:dyDescent="0.3">
      <c r="A204" s="31"/>
      <c r="B204">
        <f>COUNTIF(Equipamento_Tunel!$H$2:$H$158,A204)</f>
        <v>0</v>
      </c>
    </row>
    <row r="205" spans="1:2" x14ac:dyDescent="0.3">
      <c r="A205" s="16"/>
      <c r="B205">
        <f>COUNTIF(Equipamento_Tunel!$H$2:$H$158,A205)</f>
        <v>0</v>
      </c>
    </row>
    <row r="206" spans="1:2" x14ac:dyDescent="0.3">
      <c r="A206" s="31"/>
      <c r="B206">
        <f>COUNTIF(Equipamento_Tunel!$H$2:$H$158,A206)</f>
        <v>0</v>
      </c>
    </row>
    <row r="207" spans="1:2" x14ac:dyDescent="0.3">
      <c r="A207" s="16"/>
      <c r="B207">
        <f>COUNTIF(Equipamento_Tunel!$H$2:$H$158,A207)</f>
        <v>0</v>
      </c>
    </row>
    <row r="208" spans="1:2" x14ac:dyDescent="0.3">
      <c r="A208" s="31"/>
      <c r="B208">
        <f>COUNTIF(Equipamento_Tunel!$H$2:$H$158,A208)</f>
        <v>0</v>
      </c>
    </row>
    <row r="209" spans="1:2" x14ac:dyDescent="0.3">
      <c r="A209" s="16"/>
      <c r="B209">
        <f>COUNTIF(Equipamento_Tunel!$H$2:$H$158,A209)</f>
        <v>0</v>
      </c>
    </row>
    <row r="210" spans="1:2" x14ac:dyDescent="0.3">
      <c r="A210" s="31"/>
      <c r="B210">
        <f>COUNTIF(Equipamento_Tunel!$H$2:$H$158,A210)</f>
        <v>0</v>
      </c>
    </row>
    <row r="211" spans="1:2" x14ac:dyDescent="0.3">
      <c r="A211" s="16"/>
      <c r="B211">
        <f>COUNTIF(Equipamento_Tunel!$H$2:$H$158,A211)</f>
        <v>0</v>
      </c>
    </row>
    <row r="212" spans="1:2" x14ac:dyDescent="0.3">
      <c r="A212" s="31"/>
      <c r="B212">
        <f>COUNTIF(Equipamento_Tunel!$H$2:$H$158,A212)</f>
        <v>0</v>
      </c>
    </row>
    <row r="213" spans="1:2" x14ac:dyDescent="0.3">
      <c r="A213" s="16"/>
      <c r="B213">
        <f>COUNTIF(Equipamento_Tunel!$H$2:$H$158,A213)</f>
        <v>0</v>
      </c>
    </row>
    <row r="214" spans="1:2" x14ac:dyDescent="0.3">
      <c r="A214" s="31"/>
      <c r="B214">
        <f>COUNTIF(Equipamento_Tunel!$H$2:$H$158,A214)</f>
        <v>0</v>
      </c>
    </row>
    <row r="215" spans="1:2" x14ac:dyDescent="0.3">
      <c r="A215" s="16"/>
      <c r="B215">
        <f>COUNTIF(Equipamento_Tunel!$H$2:$H$158,A215)</f>
        <v>0</v>
      </c>
    </row>
    <row r="216" spans="1:2" x14ac:dyDescent="0.3">
      <c r="A216" s="31"/>
      <c r="B216">
        <f>COUNTIF(Equipamento_Tunel!$H$2:$H$158,A216)</f>
        <v>0</v>
      </c>
    </row>
    <row r="217" spans="1:2" x14ac:dyDescent="0.3">
      <c r="A217" s="16"/>
      <c r="B217">
        <f>COUNTIF(Equipamento_Tunel!$H$2:$H$158,A217)</f>
        <v>0</v>
      </c>
    </row>
    <row r="218" spans="1:2" x14ac:dyDescent="0.3">
      <c r="A218" s="31"/>
      <c r="B218">
        <f>COUNTIF(Equipamento_Tunel!$H$2:$H$158,A218)</f>
        <v>0</v>
      </c>
    </row>
    <row r="219" spans="1:2" x14ac:dyDescent="0.3">
      <c r="A219" s="16"/>
      <c r="B219">
        <f>COUNTIF(Equipamento_Tunel!$H$2:$H$158,A219)</f>
        <v>0</v>
      </c>
    </row>
    <row r="220" spans="1:2" x14ac:dyDescent="0.3">
      <c r="A220" s="31"/>
      <c r="B220">
        <f>COUNTIF(Equipamento_Tunel!$H$2:$H$158,A220)</f>
        <v>0</v>
      </c>
    </row>
    <row r="221" spans="1:2" x14ac:dyDescent="0.3">
      <c r="A221" s="16"/>
      <c r="B221">
        <f>COUNTIF(Equipamento_Tunel!$H$2:$H$158,A221)</f>
        <v>0</v>
      </c>
    </row>
    <row r="222" spans="1:2" x14ac:dyDescent="0.3">
      <c r="A222" s="31"/>
      <c r="B222">
        <f>COUNTIF(Equipamento_Tunel!$H$2:$H$158,A222)</f>
        <v>0</v>
      </c>
    </row>
    <row r="223" spans="1:2" x14ac:dyDescent="0.3">
      <c r="A223" s="16"/>
      <c r="B223">
        <f>COUNTIF(Equipamento_Tunel!$H$2:$H$158,A223)</f>
        <v>0</v>
      </c>
    </row>
    <row r="224" spans="1:2" x14ac:dyDescent="0.3">
      <c r="A224" s="31"/>
      <c r="B224">
        <f>COUNTIF(Equipamento_Tunel!$H$2:$H$158,A224)</f>
        <v>0</v>
      </c>
    </row>
    <row r="225" spans="1:2" x14ac:dyDescent="0.3">
      <c r="A225" s="16"/>
      <c r="B225">
        <f>COUNTIF(Equipamento_Tunel!$H$2:$H$158,A225)</f>
        <v>0</v>
      </c>
    </row>
    <row r="226" spans="1:2" x14ac:dyDescent="0.3">
      <c r="A226" s="31"/>
      <c r="B226">
        <f>COUNTIF(Equipamento_Tunel!$H$2:$H$158,A226)</f>
        <v>0</v>
      </c>
    </row>
    <row r="227" spans="1:2" x14ac:dyDescent="0.3">
      <c r="A227" s="16"/>
      <c r="B227">
        <f>COUNTIF(Equipamento_Tunel!$H$2:$H$158,A227)</f>
        <v>0</v>
      </c>
    </row>
    <row r="228" spans="1:2" x14ac:dyDescent="0.3">
      <c r="A228" s="31"/>
      <c r="B228">
        <f>COUNTIF(Equipamento_Tunel!$H$2:$H$158,A228)</f>
        <v>0</v>
      </c>
    </row>
    <row r="229" spans="1:2" x14ac:dyDescent="0.3">
      <c r="A229" s="16"/>
      <c r="B229">
        <f>COUNTIF(Equipamento_Tunel!$H$2:$H$158,A229)</f>
        <v>0</v>
      </c>
    </row>
    <row r="230" spans="1:2" x14ac:dyDescent="0.3">
      <c r="A230" s="31"/>
      <c r="B230">
        <f>COUNTIF(Equipamento_Tunel!$H$2:$H$158,A230)</f>
        <v>0</v>
      </c>
    </row>
    <row r="231" spans="1:2" x14ac:dyDescent="0.3">
      <c r="A231" s="16"/>
      <c r="B231">
        <f>COUNTIF(Equipamento_Tunel!$H$2:$H$158,A231)</f>
        <v>0</v>
      </c>
    </row>
    <row r="232" spans="1:2" x14ac:dyDescent="0.3">
      <c r="A232" s="31"/>
      <c r="B232">
        <f>COUNTIF(Equipamento_Tunel!$H$2:$H$158,A232)</f>
        <v>0</v>
      </c>
    </row>
    <row r="233" spans="1:2" x14ac:dyDescent="0.3">
      <c r="A233" s="16"/>
      <c r="B233">
        <f>COUNTIF(Equipamento_Tunel!$H$2:$H$158,A233)</f>
        <v>0</v>
      </c>
    </row>
    <row r="234" spans="1:2" x14ac:dyDescent="0.3">
      <c r="A234" s="31"/>
      <c r="B234">
        <f>COUNTIF(Equipamento_Tunel!$H$2:$H$158,A234)</f>
        <v>0</v>
      </c>
    </row>
    <row r="235" spans="1:2" x14ac:dyDescent="0.3">
      <c r="A235" s="16"/>
      <c r="B235">
        <f>COUNTIF(Equipamento_Tunel!$H$2:$H$158,A235)</f>
        <v>0</v>
      </c>
    </row>
    <row r="236" spans="1:2" x14ac:dyDescent="0.3">
      <c r="A236" s="31"/>
      <c r="B236">
        <f>COUNTIF(Equipamento_Tunel!$H$2:$H$158,A236)</f>
        <v>0</v>
      </c>
    </row>
    <row r="237" spans="1:2" x14ac:dyDescent="0.3">
      <c r="A237" s="16"/>
      <c r="B237">
        <f>COUNTIF(Equipamento_Tunel!$H$2:$H$158,A237)</f>
        <v>0</v>
      </c>
    </row>
    <row r="238" spans="1:2" x14ac:dyDescent="0.3">
      <c r="A238" s="31"/>
      <c r="B238">
        <f>COUNTIF(Equipamento_Tunel!$H$2:$H$158,A238)</f>
        <v>0</v>
      </c>
    </row>
    <row r="239" spans="1:2" x14ac:dyDescent="0.3">
      <c r="A239" s="16"/>
      <c r="B239">
        <f>COUNTIF(Equipamento_Tunel!$H$2:$H$158,A239)</f>
        <v>0</v>
      </c>
    </row>
    <row r="240" spans="1:2" x14ac:dyDescent="0.3">
      <c r="A240" s="31"/>
      <c r="B240">
        <f>COUNTIF(Equipamento_Tunel!$H$2:$H$158,A240)</f>
        <v>0</v>
      </c>
    </row>
    <row r="241" spans="1:2" x14ac:dyDescent="0.3">
      <c r="A241" s="16"/>
      <c r="B241">
        <f>COUNTIF(Equipamento_Tunel!$H$2:$H$158,A241)</f>
        <v>0</v>
      </c>
    </row>
    <row r="242" spans="1:2" x14ac:dyDescent="0.3">
      <c r="A242" s="31"/>
      <c r="B242">
        <f>COUNTIF(Equipamento_Tunel!$H$2:$H$158,A242)</f>
        <v>0</v>
      </c>
    </row>
    <row r="243" spans="1:2" x14ac:dyDescent="0.3">
      <c r="A243" s="16"/>
      <c r="B243">
        <f>COUNTIF(Equipamento_Tunel!$H$2:$H$158,A243)</f>
        <v>0</v>
      </c>
    </row>
    <row r="244" spans="1:2" x14ac:dyDescent="0.3">
      <c r="A244" s="31"/>
      <c r="B244">
        <f>COUNTIF(Equipamento_Tunel!$H$2:$H$158,A244)</f>
        <v>0</v>
      </c>
    </row>
    <row r="245" spans="1:2" x14ac:dyDescent="0.3">
      <c r="A245" s="16"/>
      <c r="B245">
        <f>COUNTIF(Equipamento_Tunel!$H$2:$H$158,A245)</f>
        <v>0</v>
      </c>
    </row>
    <row r="246" spans="1:2" x14ac:dyDescent="0.3">
      <c r="A246" s="31"/>
      <c r="B246">
        <f>COUNTIF(Equipamento_Tunel!$H$2:$H$158,A246)</f>
        <v>0</v>
      </c>
    </row>
    <row r="247" spans="1:2" x14ac:dyDescent="0.3">
      <c r="A247" s="16"/>
      <c r="B247">
        <f>COUNTIF(Equipamento_Tunel!$H$2:$H$158,A247)</f>
        <v>0</v>
      </c>
    </row>
    <row r="248" spans="1:2" x14ac:dyDescent="0.3">
      <c r="A248" s="31"/>
      <c r="B248">
        <f>COUNTIF(Equipamento_Tunel!$H$2:$H$158,A248)</f>
        <v>0</v>
      </c>
    </row>
    <row r="249" spans="1:2" x14ac:dyDescent="0.3">
      <c r="A249" s="16"/>
      <c r="B249">
        <f>COUNTIF(Equipamento_Tunel!$H$2:$H$158,A249)</f>
        <v>0</v>
      </c>
    </row>
    <row r="250" spans="1:2" x14ac:dyDescent="0.3">
      <c r="A250" s="31"/>
      <c r="B250">
        <f>COUNTIF(Equipamento_Tunel!$H$2:$H$158,A250)</f>
        <v>0</v>
      </c>
    </row>
    <row r="251" spans="1:2" x14ac:dyDescent="0.3">
      <c r="A251" s="16"/>
      <c r="B251">
        <f>COUNTIF(Equipamento_Tunel!$H$2:$H$158,A251)</f>
        <v>0</v>
      </c>
    </row>
    <row r="252" spans="1:2" x14ac:dyDescent="0.3">
      <c r="A252" s="31"/>
      <c r="B252">
        <f>COUNTIF(Equipamento_Tunel!$H$2:$H$158,A252)</f>
        <v>0</v>
      </c>
    </row>
    <row r="253" spans="1:2" x14ac:dyDescent="0.3">
      <c r="A253" s="16"/>
      <c r="B253">
        <f>COUNTIF(Equipamento_Tunel!$H$2:$H$158,A253)</f>
        <v>0</v>
      </c>
    </row>
    <row r="254" spans="1:2" x14ac:dyDescent="0.3">
      <c r="A254" s="31"/>
      <c r="B254">
        <f>COUNTIF(Equipamento_Tunel!$H$2:$H$158,A254)</f>
        <v>0</v>
      </c>
    </row>
    <row r="255" spans="1:2" x14ac:dyDescent="0.3">
      <c r="A255" s="16"/>
      <c r="B255">
        <f>COUNTIF(Equipamento_Tunel!$H$2:$H$158,A255)</f>
        <v>0</v>
      </c>
    </row>
    <row r="256" spans="1:2" x14ac:dyDescent="0.3">
      <c r="A256" s="31"/>
      <c r="B256">
        <f>COUNTIF(Equipamento_Tunel!$H$2:$H$158,A256)</f>
        <v>0</v>
      </c>
    </row>
    <row r="257" spans="1:2" x14ac:dyDescent="0.3">
      <c r="A257" s="16"/>
      <c r="B257">
        <f>COUNTIF(Equipamento_Tunel!$H$2:$H$158,A257)</f>
        <v>0</v>
      </c>
    </row>
    <row r="258" spans="1:2" x14ac:dyDescent="0.3">
      <c r="A258" s="31"/>
      <c r="B258">
        <f>COUNTIF(Equipamento_Tunel!$H$2:$H$158,A258)</f>
        <v>0</v>
      </c>
    </row>
    <row r="259" spans="1:2" x14ac:dyDescent="0.3">
      <c r="A259" s="16"/>
      <c r="B259">
        <f>COUNTIF(Equipamento_Tunel!$H$2:$H$158,A259)</f>
        <v>0</v>
      </c>
    </row>
    <row r="260" spans="1:2" x14ac:dyDescent="0.3">
      <c r="A260" s="31"/>
      <c r="B260">
        <f>COUNTIF(Equipamento_Tunel!$H$2:$H$158,A260)</f>
        <v>0</v>
      </c>
    </row>
    <row r="261" spans="1:2" x14ac:dyDescent="0.3">
      <c r="A261" s="16"/>
      <c r="B261">
        <f>COUNTIF(Equipamento_Tunel!$H$2:$H$158,A261)</f>
        <v>0</v>
      </c>
    </row>
    <row r="262" spans="1:2" x14ac:dyDescent="0.3">
      <c r="A262" s="31"/>
      <c r="B262">
        <f>COUNTIF(Equipamento_Tunel!$H$2:$H$158,A262)</f>
        <v>0</v>
      </c>
    </row>
    <row r="263" spans="1:2" x14ac:dyDescent="0.3">
      <c r="A263" s="16"/>
      <c r="B263">
        <f>COUNTIF(Equipamento_Tunel!$H$2:$H$158,A263)</f>
        <v>0</v>
      </c>
    </row>
    <row r="264" spans="1:2" x14ac:dyDescent="0.3">
      <c r="A264" s="31"/>
      <c r="B264">
        <f>COUNTIF(Equipamento_Tunel!$H$2:$H$158,A264)</f>
        <v>0</v>
      </c>
    </row>
    <row r="265" spans="1:2" x14ac:dyDescent="0.3">
      <c r="A265" s="16"/>
      <c r="B265">
        <f>COUNTIF(Equipamento_Tunel!$H$2:$H$158,A265)</f>
        <v>0</v>
      </c>
    </row>
    <row r="266" spans="1:2" x14ac:dyDescent="0.3">
      <c r="A266" s="31"/>
      <c r="B266">
        <f>COUNTIF(Equipamento_Tunel!$H$2:$H$158,A266)</f>
        <v>0</v>
      </c>
    </row>
    <row r="267" spans="1:2" x14ac:dyDescent="0.3">
      <c r="A267" s="16"/>
      <c r="B267">
        <f>COUNTIF(Equipamento_Tunel!$H$2:$H$158,A267)</f>
        <v>0</v>
      </c>
    </row>
    <row r="268" spans="1:2" x14ac:dyDescent="0.3">
      <c r="A268" s="31"/>
      <c r="B268">
        <f>COUNTIF(Equipamento_Tunel!$H$2:$H$158,A268)</f>
        <v>0</v>
      </c>
    </row>
    <row r="269" spans="1:2" x14ac:dyDescent="0.3">
      <c r="A269" s="16"/>
      <c r="B269">
        <f>COUNTIF(Equipamento_Tunel!$H$2:$H$158,A269)</f>
        <v>0</v>
      </c>
    </row>
    <row r="270" spans="1:2" x14ac:dyDescent="0.3">
      <c r="A270" s="31"/>
      <c r="B270">
        <f>COUNTIF(Equipamento_Tunel!$H$2:$H$158,A270)</f>
        <v>0</v>
      </c>
    </row>
    <row r="271" spans="1:2" x14ac:dyDescent="0.3">
      <c r="A271" s="16"/>
      <c r="B271">
        <f>COUNTIF(Equipamento_Tunel!$H$2:$H$158,A271)</f>
        <v>0</v>
      </c>
    </row>
    <row r="272" spans="1:2" x14ac:dyDescent="0.3">
      <c r="A272" s="31"/>
      <c r="B272">
        <f>COUNTIF(Equipamento_Tunel!$H$2:$H$158,A272)</f>
        <v>0</v>
      </c>
    </row>
    <row r="273" spans="1:2" x14ac:dyDescent="0.3">
      <c r="A273" s="16"/>
      <c r="B273">
        <f>COUNTIF(Equipamento_Tunel!$H$2:$H$158,A273)</f>
        <v>0</v>
      </c>
    </row>
    <row r="274" spans="1:2" x14ac:dyDescent="0.3">
      <c r="A274" s="31"/>
      <c r="B274">
        <f>COUNTIF(Equipamento_Tunel!$H$2:$H$158,A274)</f>
        <v>0</v>
      </c>
    </row>
    <row r="275" spans="1:2" x14ac:dyDescent="0.3">
      <c r="A275" s="16"/>
      <c r="B275">
        <f>COUNTIF(Equipamento_Tunel!$H$2:$H$158,A275)</f>
        <v>0</v>
      </c>
    </row>
    <row r="276" spans="1:2" x14ac:dyDescent="0.3">
      <c r="A276" s="31"/>
      <c r="B276">
        <f>COUNTIF(Equipamento_Tunel!$H$2:$H$158,A276)</f>
        <v>0</v>
      </c>
    </row>
    <row r="277" spans="1:2" x14ac:dyDescent="0.3">
      <c r="A277" s="16"/>
      <c r="B277">
        <f>COUNTIF(Equipamento_Tunel!$H$2:$H$158,A277)</f>
        <v>0</v>
      </c>
    </row>
    <row r="278" spans="1:2" x14ac:dyDescent="0.3">
      <c r="A278" s="31"/>
      <c r="B278">
        <f>COUNTIF(Equipamento_Tunel!$H$2:$H$158,A278)</f>
        <v>0</v>
      </c>
    </row>
    <row r="279" spans="1:2" x14ac:dyDescent="0.3">
      <c r="A279" s="16"/>
      <c r="B279">
        <f>COUNTIF(Equipamento_Tunel!$H$2:$H$158,A279)</f>
        <v>0</v>
      </c>
    </row>
    <row r="280" spans="1:2" x14ac:dyDescent="0.3">
      <c r="A280" s="31"/>
      <c r="B280">
        <f>COUNTIF(Equipamento_Tunel!$H$2:$H$158,A280)</f>
        <v>0</v>
      </c>
    </row>
    <row r="281" spans="1:2" x14ac:dyDescent="0.3">
      <c r="A281" s="16"/>
      <c r="B281">
        <f>COUNTIF(Equipamento_Tunel!$H$2:$H$158,A281)</f>
        <v>0</v>
      </c>
    </row>
    <row r="282" spans="1:2" x14ac:dyDescent="0.3">
      <c r="A282" s="31"/>
      <c r="B282">
        <f>COUNTIF(Equipamento_Tunel!$H$2:$H$158,A282)</f>
        <v>0</v>
      </c>
    </row>
    <row r="283" spans="1:2" x14ac:dyDescent="0.3">
      <c r="A283" s="16"/>
      <c r="B283">
        <f>COUNTIF(Equipamento_Tunel!$H$2:$H$158,A283)</f>
        <v>0</v>
      </c>
    </row>
    <row r="284" spans="1:2" x14ac:dyDescent="0.3">
      <c r="A284" s="31"/>
      <c r="B284">
        <f>COUNTIF(Equipamento_Tunel!$H$2:$H$158,A284)</f>
        <v>0</v>
      </c>
    </row>
    <row r="285" spans="1:2" x14ac:dyDescent="0.3">
      <c r="A285" s="16"/>
      <c r="B285">
        <f>COUNTIF(Equipamento_Tunel!$H$2:$H$158,A285)</f>
        <v>0</v>
      </c>
    </row>
    <row r="286" spans="1:2" x14ac:dyDescent="0.3">
      <c r="A286" s="31"/>
      <c r="B286">
        <f>COUNTIF(Equipamento_Tunel!$H$2:$H$158,A286)</f>
        <v>0</v>
      </c>
    </row>
    <row r="287" spans="1:2" x14ac:dyDescent="0.3">
      <c r="A287" s="16"/>
      <c r="B287">
        <f>COUNTIF(Equipamento_Tunel!$H$2:$H$158,A287)</f>
        <v>0</v>
      </c>
    </row>
    <row r="288" spans="1:2" x14ac:dyDescent="0.3">
      <c r="A288" s="31"/>
      <c r="B288">
        <f>COUNTIF(Equipamento_Tunel!$H$2:$H$158,A288)</f>
        <v>0</v>
      </c>
    </row>
    <row r="289" spans="1:2" x14ac:dyDescent="0.3">
      <c r="A289" s="16"/>
      <c r="B289">
        <f>COUNTIF(Equipamento_Tunel!$H$2:$H$158,A289)</f>
        <v>0</v>
      </c>
    </row>
    <row r="290" spans="1:2" x14ac:dyDescent="0.3">
      <c r="A290" s="31"/>
      <c r="B290">
        <f>COUNTIF(Equipamento_Tunel!$H$2:$H$158,A290)</f>
        <v>0</v>
      </c>
    </row>
    <row r="291" spans="1:2" x14ac:dyDescent="0.3">
      <c r="A291" s="16"/>
      <c r="B291">
        <f>COUNTIF(Equipamento_Tunel!$H$2:$H$158,A291)</f>
        <v>0</v>
      </c>
    </row>
    <row r="292" spans="1:2" x14ac:dyDescent="0.3">
      <c r="A292" s="31"/>
      <c r="B292">
        <f>COUNTIF(Equipamento_Tunel!$H$2:$H$158,A292)</f>
        <v>0</v>
      </c>
    </row>
    <row r="293" spans="1:2" x14ac:dyDescent="0.3">
      <c r="A293" s="16"/>
      <c r="B293">
        <f>COUNTIF(Equipamento_Tunel!$H$2:$H$158,A293)</f>
        <v>0</v>
      </c>
    </row>
    <row r="294" spans="1:2" x14ac:dyDescent="0.3">
      <c r="A294" s="31"/>
      <c r="B294">
        <f>COUNTIF(Equipamento_Tunel!$H$2:$H$158,A294)</f>
        <v>0</v>
      </c>
    </row>
    <row r="295" spans="1:2" x14ac:dyDescent="0.3">
      <c r="A295" s="16"/>
      <c r="B295">
        <f>COUNTIF(Equipamento_Tunel!$H$2:$H$158,A295)</f>
        <v>0</v>
      </c>
    </row>
    <row r="296" spans="1:2" x14ac:dyDescent="0.3">
      <c r="A296" s="31"/>
      <c r="B296">
        <f>COUNTIF(Equipamento_Tunel!$H$2:$H$158,A296)</f>
        <v>0</v>
      </c>
    </row>
    <row r="297" spans="1:2" x14ac:dyDescent="0.3">
      <c r="A297" s="16"/>
      <c r="B297">
        <f>COUNTIF(Equipamento_Tunel!$H$2:$H$158,A297)</f>
        <v>0</v>
      </c>
    </row>
    <row r="298" spans="1:2" x14ac:dyDescent="0.3">
      <c r="A298" s="31"/>
      <c r="B298">
        <f>COUNTIF(Equipamento_Tunel!$H$2:$H$158,A298)</f>
        <v>0</v>
      </c>
    </row>
    <row r="299" spans="1:2" x14ac:dyDescent="0.3">
      <c r="A299" s="16"/>
      <c r="B299">
        <f>COUNTIF(Equipamento_Tunel!$H$2:$H$158,A299)</f>
        <v>0</v>
      </c>
    </row>
    <row r="300" spans="1:2" x14ac:dyDescent="0.3">
      <c r="A300" s="31"/>
      <c r="B300">
        <f>COUNTIF(Equipamento_Tunel!$H$2:$H$158,A300)</f>
        <v>0</v>
      </c>
    </row>
    <row r="301" spans="1:2" x14ac:dyDescent="0.3">
      <c r="A301" s="16"/>
      <c r="B301">
        <f>COUNTIF(Equipamento_Tunel!$H$2:$H$158,A301)</f>
        <v>0</v>
      </c>
    </row>
    <row r="302" spans="1:2" x14ac:dyDescent="0.3">
      <c r="A302" s="31"/>
      <c r="B302">
        <f>COUNTIF(Equipamento_Tunel!$H$2:$H$158,A302)</f>
        <v>0</v>
      </c>
    </row>
    <row r="303" spans="1:2" x14ac:dyDescent="0.3">
      <c r="A303" s="16"/>
      <c r="B303">
        <f>COUNTIF(Equipamento_Tunel!$H$2:$H$158,A303)</f>
        <v>0</v>
      </c>
    </row>
    <row r="304" spans="1:2" x14ac:dyDescent="0.3">
      <c r="A304" s="31"/>
      <c r="B304">
        <f>COUNTIF(Equipamento_Tunel!$H$2:$H$158,A304)</f>
        <v>0</v>
      </c>
    </row>
    <row r="305" spans="1:2" x14ac:dyDescent="0.3">
      <c r="A305" s="16"/>
      <c r="B305">
        <f>COUNTIF(Equipamento_Tunel!$H$2:$H$158,A305)</f>
        <v>0</v>
      </c>
    </row>
    <row r="306" spans="1:2" x14ac:dyDescent="0.3">
      <c r="A306" s="31"/>
      <c r="B306">
        <f>COUNTIF(Equipamento_Tunel!$H$2:$H$158,A306)</f>
        <v>0</v>
      </c>
    </row>
    <row r="307" spans="1:2" x14ac:dyDescent="0.3">
      <c r="A307" s="16"/>
      <c r="B307">
        <f>COUNTIF(Equipamento_Tunel!$H$2:$H$158,A307)</f>
        <v>0</v>
      </c>
    </row>
    <row r="308" spans="1:2" x14ac:dyDescent="0.3">
      <c r="A308" s="31"/>
      <c r="B308">
        <f>COUNTIF(Equipamento_Tunel!$H$2:$H$158,A308)</f>
        <v>0</v>
      </c>
    </row>
    <row r="309" spans="1:2" x14ac:dyDescent="0.3">
      <c r="A309" s="16"/>
      <c r="B309">
        <f>COUNTIF(Equipamento_Tunel!$H$2:$H$158,A309)</f>
        <v>0</v>
      </c>
    </row>
    <row r="310" spans="1:2" x14ac:dyDescent="0.3">
      <c r="A310" s="31"/>
      <c r="B310">
        <f>COUNTIF(Equipamento_Tunel!$H$2:$H$158,A310)</f>
        <v>0</v>
      </c>
    </row>
    <row r="311" spans="1:2" x14ac:dyDescent="0.3">
      <c r="A311" s="16"/>
      <c r="B311">
        <f>COUNTIF(Equipamento_Tunel!$H$2:$H$158,A311)</f>
        <v>0</v>
      </c>
    </row>
    <row r="312" spans="1:2" x14ac:dyDescent="0.3">
      <c r="A312" s="31"/>
      <c r="B312">
        <f>COUNTIF(Equipamento_Tunel!$H$2:$H$158,A312)</f>
        <v>0</v>
      </c>
    </row>
    <row r="313" spans="1:2" x14ac:dyDescent="0.3">
      <c r="A313" s="16"/>
      <c r="B313">
        <f>COUNTIF(Equipamento_Tunel!$H$2:$H$158,A313)</f>
        <v>0</v>
      </c>
    </row>
    <row r="314" spans="1:2" x14ac:dyDescent="0.3">
      <c r="A314" s="31"/>
      <c r="B314">
        <f>COUNTIF(Equipamento_Tunel!$H$2:$H$158,A314)</f>
        <v>0</v>
      </c>
    </row>
    <row r="315" spans="1:2" x14ac:dyDescent="0.3">
      <c r="A315" s="16"/>
      <c r="B315">
        <f>COUNTIF(Equipamento_Tunel!$H$2:$H$158,A315)</f>
        <v>0</v>
      </c>
    </row>
    <row r="316" spans="1:2" x14ac:dyDescent="0.3">
      <c r="A316" s="31"/>
      <c r="B316">
        <f>COUNTIF(Equipamento_Tunel!$H$2:$H$158,A316)</f>
        <v>0</v>
      </c>
    </row>
    <row r="317" spans="1:2" x14ac:dyDescent="0.3">
      <c r="A317" s="16"/>
      <c r="B317">
        <f>COUNTIF(Equipamento_Tunel!$H$2:$H$158,A317)</f>
        <v>0</v>
      </c>
    </row>
    <row r="318" spans="1:2" x14ac:dyDescent="0.3">
      <c r="A318" s="31"/>
      <c r="B318">
        <f>COUNTIF(Equipamento_Tunel!$H$2:$H$158,A318)</f>
        <v>0</v>
      </c>
    </row>
    <row r="319" spans="1:2" x14ac:dyDescent="0.3">
      <c r="A319" s="16"/>
      <c r="B319">
        <f>COUNTIF(Equipamento_Tunel!$H$2:$H$158,A319)</f>
        <v>0</v>
      </c>
    </row>
    <row r="320" spans="1:2" x14ac:dyDescent="0.3">
      <c r="A320" s="31"/>
      <c r="B320">
        <f>COUNTIF(Equipamento_Tunel!$H$2:$H$158,A320)</f>
        <v>0</v>
      </c>
    </row>
    <row r="321" spans="1:2" x14ac:dyDescent="0.3">
      <c r="A321" s="16"/>
      <c r="B321">
        <f>COUNTIF(Equipamento_Tunel!$H$2:$H$158,A321)</f>
        <v>0</v>
      </c>
    </row>
    <row r="322" spans="1:2" x14ac:dyDescent="0.3">
      <c r="A322" s="31"/>
      <c r="B322">
        <f>COUNTIF(Equipamento_Tunel!$H$2:$H$158,A322)</f>
        <v>0</v>
      </c>
    </row>
    <row r="323" spans="1:2" x14ac:dyDescent="0.3">
      <c r="A323" s="16"/>
      <c r="B323">
        <f>COUNTIF(Equipamento_Tunel!$H$2:$H$158,A323)</f>
        <v>0</v>
      </c>
    </row>
    <row r="324" spans="1:2" x14ac:dyDescent="0.3">
      <c r="A324" s="31"/>
      <c r="B324">
        <f>COUNTIF(Equipamento_Tunel!$H$2:$H$158,A324)</f>
        <v>0</v>
      </c>
    </row>
    <row r="325" spans="1:2" x14ac:dyDescent="0.3">
      <c r="A325" s="16"/>
      <c r="B325">
        <f>COUNTIF(Equipamento_Tunel!$H$2:$H$158,A325)</f>
        <v>0</v>
      </c>
    </row>
    <row r="326" spans="1:2" x14ac:dyDescent="0.3">
      <c r="A326" s="31"/>
      <c r="B326">
        <f>COUNTIF(Equipamento_Tunel!$H$2:$H$158,A326)</f>
        <v>0</v>
      </c>
    </row>
    <row r="327" spans="1:2" x14ac:dyDescent="0.3">
      <c r="A327" s="16"/>
      <c r="B327">
        <f>COUNTIF(Equipamento_Tunel!$H$2:$H$158,A327)</f>
        <v>0</v>
      </c>
    </row>
    <row r="328" spans="1:2" x14ac:dyDescent="0.3">
      <c r="A328" s="31"/>
      <c r="B328">
        <f>COUNTIF(Equipamento_Tunel!$H$2:$H$158,A328)</f>
        <v>0</v>
      </c>
    </row>
    <row r="329" spans="1:2" x14ac:dyDescent="0.3">
      <c r="A329" s="16"/>
      <c r="B329">
        <f>COUNTIF(Equipamento_Tunel!$H$2:$H$158,A329)</f>
        <v>0</v>
      </c>
    </row>
    <row r="330" spans="1:2" x14ac:dyDescent="0.3">
      <c r="A330" s="31"/>
      <c r="B330">
        <f>COUNTIF(Equipamento_Tunel!$H$2:$H$158,A330)</f>
        <v>0</v>
      </c>
    </row>
    <row r="331" spans="1:2" x14ac:dyDescent="0.3">
      <c r="A331" s="16"/>
      <c r="B331">
        <f>COUNTIF(Equipamento_Tunel!$H$2:$H$158,A331)</f>
        <v>0</v>
      </c>
    </row>
    <row r="332" spans="1:2" x14ac:dyDescent="0.3">
      <c r="A332" s="31"/>
      <c r="B332">
        <f>COUNTIF(Equipamento_Tunel!$H$2:$H$158,A332)</f>
        <v>0</v>
      </c>
    </row>
    <row r="333" spans="1:2" x14ac:dyDescent="0.3">
      <c r="A333" s="16"/>
      <c r="B333">
        <f>COUNTIF(Equipamento_Tunel!$H$2:$H$158,A333)</f>
        <v>0</v>
      </c>
    </row>
    <row r="334" spans="1:2" x14ac:dyDescent="0.3">
      <c r="A334" s="31"/>
      <c r="B334">
        <f>COUNTIF(Equipamento_Tunel!$H$2:$H$158,A334)</f>
        <v>0</v>
      </c>
    </row>
    <row r="335" spans="1:2" x14ac:dyDescent="0.3">
      <c r="A335" s="16"/>
      <c r="B335">
        <f>COUNTIF(Equipamento_Tunel!$H$2:$H$158,A335)</f>
        <v>0</v>
      </c>
    </row>
    <row r="336" spans="1:2" x14ac:dyDescent="0.3">
      <c r="A336" s="31"/>
      <c r="B336">
        <f>COUNTIF(Equipamento_Tunel!$H$2:$H$158,A336)</f>
        <v>0</v>
      </c>
    </row>
    <row r="337" spans="1:2" x14ac:dyDescent="0.3">
      <c r="A337" s="16"/>
      <c r="B337">
        <f>COUNTIF(Equipamento_Tunel!$H$2:$H$158,A337)</f>
        <v>0</v>
      </c>
    </row>
    <row r="338" spans="1:2" x14ac:dyDescent="0.3">
      <c r="A338" s="31"/>
      <c r="B338">
        <f>COUNTIF(Equipamento_Tunel!$H$2:$H$158,A338)</f>
        <v>0</v>
      </c>
    </row>
    <row r="339" spans="1:2" x14ac:dyDescent="0.3">
      <c r="A339" s="16"/>
      <c r="B339">
        <f>COUNTIF(Equipamento_Tunel!$H$2:$H$158,A339)</f>
        <v>0</v>
      </c>
    </row>
    <row r="340" spans="1:2" x14ac:dyDescent="0.3">
      <c r="A340" s="31"/>
      <c r="B340">
        <f>COUNTIF(Equipamento_Tunel!$H$2:$H$158,A340)</f>
        <v>0</v>
      </c>
    </row>
    <row r="341" spans="1:2" x14ac:dyDescent="0.3">
      <c r="A341" s="16"/>
      <c r="B341">
        <f>COUNTIF(Equipamento_Tunel!$H$2:$H$158,A341)</f>
        <v>0</v>
      </c>
    </row>
    <row r="342" spans="1:2" x14ac:dyDescent="0.3">
      <c r="A342" s="31"/>
      <c r="B342">
        <f>COUNTIF(Equipamento_Tunel!$H$2:$H$158,A342)</f>
        <v>0</v>
      </c>
    </row>
    <row r="343" spans="1:2" x14ac:dyDescent="0.3">
      <c r="A343" s="16"/>
      <c r="B343">
        <f>COUNTIF(Equipamento_Tunel!$H$2:$H$158,A343)</f>
        <v>0</v>
      </c>
    </row>
    <row r="344" spans="1:2" x14ac:dyDescent="0.3">
      <c r="A344" s="31"/>
      <c r="B344">
        <f>COUNTIF(Equipamento_Tunel!$H$2:$H$158,A344)</f>
        <v>0</v>
      </c>
    </row>
    <row r="345" spans="1:2" x14ac:dyDescent="0.3">
      <c r="A345" s="16"/>
      <c r="B345">
        <f>COUNTIF(Equipamento_Tunel!$H$2:$H$158,A345)</f>
        <v>0</v>
      </c>
    </row>
    <row r="346" spans="1:2" x14ac:dyDescent="0.3">
      <c r="A346" s="31"/>
      <c r="B346">
        <f>COUNTIF(Equipamento_Tunel!$H$2:$H$158,A346)</f>
        <v>0</v>
      </c>
    </row>
    <row r="347" spans="1:2" x14ac:dyDescent="0.3">
      <c r="A347" s="16"/>
      <c r="B347">
        <f>COUNTIF(Equipamento_Tunel!$H$2:$H$158,A347)</f>
        <v>0</v>
      </c>
    </row>
    <row r="348" spans="1:2" x14ac:dyDescent="0.3">
      <c r="A348" s="31"/>
      <c r="B348">
        <f>COUNTIF(Equipamento_Tunel!$H$2:$H$158,A348)</f>
        <v>0</v>
      </c>
    </row>
    <row r="349" spans="1:2" x14ac:dyDescent="0.3">
      <c r="A349" s="16"/>
      <c r="B349">
        <f>COUNTIF(Equipamento_Tunel!$H$2:$H$158,A349)</f>
        <v>0</v>
      </c>
    </row>
    <row r="350" spans="1:2" x14ac:dyDescent="0.3">
      <c r="A350" s="31"/>
      <c r="B350">
        <f>COUNTIF(Equipamento_Tunel!$H$2:$H$158,A350)</f>
        <v>0</v>
      </c>
    </row>
    <row r="351" spans="1:2" x14ac:dyDescent="0.3">
      <c r="A351" s="16"/>
      <c r="B351">
        <f>COUNTIF(Equipamento_Tunel!$H$2:$H$158,A351)</f>
        <v>0</v>
      </c>
    </row>
    <row r="352" spans="1:2" x14ac:dyDescent="0.3">
      <c r="A352" s="31"/>
      <c r="B352">
        <f>COUNTIF(Equipamento_Tunel!$H$2:$H$158,A352)</f>
        <v>0</v>
      </c>
    </row>
    <row r="353" spans="1:2" x14ac:dyDescent="0.3">
      <c r="A353" s="16"/>
      <c r="B353">
        <f>COUNTIF(Equipamento_Tunel!$H$2:$H$158,A353)</f>
        <v>0</v>
      </c>
    </row>
    <row r="354" spans="1:2" x14ac:dyDescent="0.3">
      <c r="A354" s="31"/>
      <c r="B354">
        <f>COUNTIF(Equipamento_Tunel!$H$2:$H$158,A354)</f>
        <v>0</v>
      </c>
    </row>
    <row r="355" spans="1:2" x14ac:dyDescent="0.3">
      <c r="A355" s="16"/>
      <c r="B355">
        <f>COUNTIF(Equipamento_Tunel!$H$2:$H$158,A355)</f>
        <v>0</v>
      </c>
    </row>
    <row r="356" spans="1:2" x14ac:dyDescent="0.3">
      <c r="A356" s="31"/>
      <c r="B356">
        <f>COUNTIF(Equipamento_Tunel!$H$2:$H$158,A356)</f>
        <v>0</v>
      </c>
    </row>
    <row r="357" spans="1:2" x14ac:dyDescent="0.3">
      <c r="A357" s="16"/>
      <c r="B357">
        <f>COUNTIF(Equipamento_Tunel!$H$2:$H$158,A357)</f>
        <v>0</v>
      </c>
    </row>
    <row r="358" spans="1:2" x14ac:dyDescent="0.3">
      <c r="A358" s="31"/>
      <c r="B358">
        <f>COUNTIF(Equipamento_Tunel!$H$2:$H$158,A358)</f>
        <v>0</v>
      </c>
    </row>
    <row r="359" spans="1:2" x14ac:dyDescent="0.3">
      <c r="A359" s="16"/>
      <c r="B359">
        <f>COUNTIF(Equipamento_Tunel!$H$2:$H$158,A359)</f>
        <v>0</v>
      </c>
    </row>
    <row r="360" spans="1:2" x14ac:dyDescent="0.3">
      <c r="A360" s="31"/>
      <c r="B360">
        <f>COUNTIF(Equipamento_Tunel!$H$2:$H$158,A360)</f>
        <v>0</v>
      </c>
    </row>
    <row r="361" spans="1:2" x14ac:dyDescent="0.3">
      <c r="A361" s="16"/>
      <c r="B361">
        <f>COUNTIF(Equipamento_Tunel!$H$2:$H$158,A361)</f>
        <v>0</v>
      </c>
    </row>
    <row r="362" spans="1:2" x14ac:dyDescent="0.3">
      <c r="A362" s="31"/>
      <c r="B362">
        <f>COUNTIF(Equipamento_Tunel!$H$2:$H$158,A362)</f>
        <v>0</v>
      </c>
    </row>
    <row r="363" spans="1:2" x14ac:dyDescent="0.3">
      <c r="A363" s="16"/>
      <c r="B363">
        <f>COUNTIF(Equipamento_Tunel!$H$2:$H$158,A363)</f>
        <v>0</v>
      </c>
    </row>
    <row r="364" spans="1:2" x14ac:dyDescent="0.3">
      <c r="A364" s="31"/>
      <c r="B364">
        <f>COUNTIF(Equipamento_Tunel!$H$2:$H$158,A364)</f>
        <v>0</v>
      </c>
    </row>
    <row r="365" spans="1:2" x14ac:dyDescent="0.3">
      <c r="A365" s="16"/>
      <c r="B365">
        <f>COUNTIF(Equipamento_Tunel!$H$2:$H$158,A365)</f>
        <v>0</v>
      </c>
    </row>
    <row r="366" spans="1:2" x14ac:dyDescent="0.3">
      <c r="A366" s="31"/>
      <c r="B366">
        <f>COUNTIF(Equipamento_Tunel!$H$2:$H$158,A366)</f>
        <v>0</v>
      </c>
    </row>
    <row r="367" spans="1:2" x14ac:dyDescent="0.3">
      <c r="A367" s="16"/>
      <c r="B367">
        <f>COUNTIF(Equipamento_Tunel!$H$2:$H$158,A367)</f>
        <v>0</v>
      </c>
    </row>
    <row r="368" spans="1:2" x14ac:dyDescent="0.3">
      <c r="A368" s="31"/>
      <c r="B368">
        <f>COUNTIF(Equipamento_Tunel!$H$2:$H$158,A368)</f>
        <v>0</v>
      </c>
    </row>
    <row r="369" spans="1:2" x14ac:dyDescent="0.3">
      <c r="A369" s="16"/>
      <c r="B369">
        <f>COUNTIF(Equipamento_Tunel!$H$2:$H$158,A369)</f>
        <v>0</v>
      </c>
    </row>
    <row r="370" spans="1:2" x14ac:dyDescent="0.3">
      <c r="A370" s="31"/>
      <c r="B370">
        <f>COUNTIF(Equipamento_Tunel!$H$2:$H$158,A370)</f>
        <v>0</v>
      </c>
    </row>
    <row r="371" spans="1:2" x14ac:dyDescent="0.3">
      <c r="A371" s="16"/>
      <c r="B371">
        <f>COUNTIF(Equipamento_Tunel!$H$2:$H$158,A371)</f>
        <v>0</v>
      </c>
    </row>
    <row r="372" spans="1:2" x14ac:dyDescent="0.3">
      <c r="A372" s="31"/>
      <c r="B372">
        <f>COUNTIF(Equipamento_Tunel!$H$2:$H$158,A372)</f>
        <v>0</v>
      </c>
    </row>
    <row r="373" spans="1:2" x14ac:dyDescent="0.3">
      <c r="A373" s="16"/>
      <c r="B373">
        <f>COUNTIF(Equipamento_Tunel!$H$2:$H$158,A373)</f>
        <v>0</v>
      </c>
    </row>
    <row r="374" spans="1:2" x14ac:dyDescent="0.3">
      <c r="A374" s="31"/>
      <c r="B374">
        <f>COUNTIF(Equipamento_Tunel!$H$2:$H$158,A374)</f>
        <v>0</v>
      </c>
    </row>
    <row r="375" spans="1:2" x14ac:dyDescent="0.3">
      <c r="A375" s="16"/>
      <c r="B375">
        <f>COUNTIF(Equipamento_Tunel!$H$2:$H$158,A375)</f>
        <v>0</v>
      </c>
    </row>
    <row r="376" spans="1:2" x14ac:dyDescent="0.3">
      <c r="A376" s="31"/>
      <c r="B376">
        <f>COUNTIF(Equipamento_Tunel!$H$2:$H$158,A376)</f>
        <v>0</v>
      </c>
    </row>
    <row r="377" spans="1:2" x14ac:dyDescent="0.3">
      <c r="A377" s="16"/>
      <c r="B377">
        <f>COUNTIF(Equipamento_Tunel!$H$2:$H$158,A377)</f>
        <v>0</v>
      </c>
    </row>
    <row r="378" spans="1:2" x14ac:dyDescent="0.3">
      <c r="A378" s="31"/>
      <c r="B378">
        <f>COUNTIF(Equipamento_Tunel!$H$2:$H$158,A378)</f>
        <v>0</v>
      </c>
    </row>
    <row r="379" spans="1:2" x14ac:dyDescent="0.3">
      <c r="A379" s="16"/>
      <c r="B379">
        <f>COUNTIF(Equipamento_Tunel!$H$2:$H$158,A379)</f>
        <v>0</v>
      </c>
    </row>
    <row r="380" spans="1:2" x14ac:dyDescent="0.3">
      <c r="A380" s="31"/>
      <c r="B380">
        <f>COUNTIF(Equipamento_Tunel!$H$2:$H$158,A380)</f>
        <v>0</v>
      </c>
    </row>
    <row r="381" spans="1:2" x14ac:dyDescent="0.3">
      <c r="A381" s="16"/>
      <c r="B381">
        <f>COUNTIF(Equipamento_Tunel!$H$2:$H$158,A381)</f>
        <v>0</v>
      </c>
    </row>
    <row r="382" spans="1:2" x14ac:dyDescent="0.3">
      <c r="A382" s="31"/>
      <c r="B382">
        <f>COUNTIF(Equipamento_Tunel!$H$2:$H$158,A382)</f>
        <v>0</v>
      </c>
    </row>
    <row r="383" spans="1:2" x14ac:dyDescent="0.3">
      <c r="A383" s="16"/>
      <c r="B383">
        <f>COUNTIF(Equipamento_Tunel!$H$2:$H$158,A383)</f>
        <v>0</v>
      </c>
    </row>
    <row r="384" spans="1:2" x14ac:dyDescent="0.3">
      <c r="A384" s="31"/>
      <c r="B384">
        <f>COUNTIF(Equipamento_Tunel!$H$2:$H$158,A384)</f>
        <v>0</v>
      </c>
    </row>
    <row r="385" spans="1:2" x14ac:dyDescent="0.3">
      <c r="A385" s="16"/>
      <c r="B385">
        <f>COUNTIF(Equipamento_Tunel!$H$2:$H$158,A385)</f>
        <v>0</v>
      </c>
    </row>
    <row r="386" spans="1:2" x14ac:dyDescent="0.3">
      <c r="A386" s="31"/>
      <c r="B386">
        <f>COUNTIF(Equipamento_Tunel!$H$2:$H$158,A386)</f>
        <v>0</v>
      </c>
    </row>
    <row r="387" spans="1:2" x14ac:dyDescent="0.3">
      <c r="A387" s="16"/>
      <c r="B387">
        <f>COUNTIF(Equipamento_Tunel!$H$2:$H$158,A387)</f>
        <v>0</v>
      </c>
    </row>
    <row r="388" spans="1:2" x14ac:dyDescent="0.3">
      <c r="A388" s="31"/>
      <c r="B388">
        <f>COUNTIF(Equipamento_Tunel!$H$2:$H$158,A388)</f>
        <v>0</v>
      </c>
    </row>
    <row r="389" spans="1:2" x14ac:dyDescent="0.3">
      <c r="A389" s="16"/>
      <c r="B389">
        <f>COUNTIF(Equipamento_Tunel!$H$2:$H$158,A389)</f>
        <v>0</v>
      </c>
    </row>
    <row r="390" spans="1:2" x14ac:dyDescent="0.3">
      <c r="A390" s="31"/>
      <c r="B390">
        <f>COUNTIF(Equipamento_Tunel!$H$2:$H$158,A390)</f>
        <v>0</v>
      </c>
    </row>
    <row r="391" spans="1:2" x14ac:dyDescent="0.3">
      <c r="A391" s="16"/>
      <c r="B391">
        <f>COUNTIF(Equipamento_Tunel!$H$2:$H$158,A391)</f>
        <v>0</v>
      </c>
    </row>
    <row r="392" spans="1:2" x14ac:dyDescent="0.3">
      <c r="A392" s="31"/>
      <c r="B392">
        <f>COUNTIF(Equipamento_Tunel!$H$2:$H$158,A392)</f>
        <v>0</v>
      </c>
    </row>
    <row r="393" spans="1:2" x14ac:dyDescent="0.3">
      <c r="A393" s="16"/>
      <c r="B393">
        <f>COUNTIF(Equipamento_Tunel!$H$2:$H$158,A393)</f>
        <v>0</v>
      </c>
    </row>
    <row r="394" spans="1:2" x14ac:dyDescent="0.3">
      <c r="A394" s="31"/>
      <c r="B394">
        <f>COUNTIF(Equipamento_Tunel!$H$2:$H$158,A394)</f>
        <v>0</v>
      </c>
    </row>
    <row r="395" spans="1:2" x14ac:dyDescent="0.3">
      <c r="A395" s="16"/>
      <c r="B395">
        <f>COUNTIF(Equipamento_Tunel!$H$2:$H$158,A395)</f>
        <v>0</v>
      </c>
    </row>
    <row r="396" spans="1:2" x14ac:dyDescent="0.3">
      <c r="A396" s="31"/>
      <c r="B396">
        <f>COUNTIF(Equipamento_Tunel!$H$2:$H$158,A396)</f>
        <v>0</v>
      </c>
    </row>
    <row r="397" spans="1:2" x14ac:dyDescent="0.3">
      <c r="A397" s="16"/>
      <c r="B397">
        <f>COUNTIF(Equipamento_Tunel!$H$2:$H$158,A397)</f>
        <v>0</v>
      </c>
    </row>
    <row r="398" spans="1:2" x14ac:dyDescent="0.3">
      <c r="A398" s="31"/>
      <c r="B398">
        <f>COUNTIF(Equipamento_Tunel!$H$2:$H$158,A398)</f>
        <v>0</v>
      </c>
    </row>
    <row r="399" spans="1:2" x14ac:dyDescent="0.3">
      <c r="A399" s="16"/>
      <c r="B399">
        <f>COUNTIF(Equipamento_Tunel!$H$2:$H$158,A399)</f>
        <v>0</v>
      </c>
    </row>
    <row r="400" spans="1:2" x14ac:dyDescent="0.3">
      <c r="A400" s="31"/>
      <c r="B400">
        <f>COUNTIF(Equipamento_Tunel!$H$2:$H$158,A400)</f>
        <v>0</v>
      </c>
    </row>
    <row r="401" spans="1:2" x14ac:dyDescent="0.3">
      <c r="A401" s="16"/>
      <c r="B401">
        <f>COUNTIF(Equipamento_Tunel!$H$2:$H$158,A401)</f>
        <v>0</v>
      </c>
    </row>
    <row r="402" spans="1:2" x14ac:dyDescent="0.3">
      <c r="A402" s="31"/>
      <c r="B402">
        <f>COUNTIF(Equipamento_Tunel!$H$2:$H$158,A402)</f>
        <v>0</v>
      </c>
    </row>
    <row r="403" spans="1:2" x14ac:dyDescent="0.3">
      <c r="A403" s="16"/>
      <c r="B403">
        <f>COUNTIF(Equipamento_Tunel!$H$2:$H$158,A403)</f>
        <v>0</v>
      </c>
    </row>
    <row r="404" spans="1:2" x14ac:dyDescent="0.3">
      <c r="A404" s="31"/>
      <c r="B404">
        <f>COUNTIF(Equipamento_Tunel!$H$2:$H$158,A404)</f>
        <v>0</v>
      </c>
    </row>
    <row r="405" spans="1:2" x14ac:dyDescent="0.3">
      <c r="A405" s="16"/>
      <c r="B405">
        <f>COUNTIF(Equipamento_Tunel!$H$2:$H$158,A405)</f>
        <v>0</v>
      </c>
    </row>
    <row r="406" spans="1:2" x14ac:dyDescent="0.3">
      <c r="A406" s="31"/>
      <c r="B406">
        <f>COUNTIF(Equipamento_Tunel!$H$2:$H$158,A406)</f>
        <v>0</v>
      </c>
    </row>
    <row r="407" spans="1:2" x14ac:dyDescent="0.3">
      <c r="A407" s="16"/>
      <c r="B407">
        <f>COUNTIF(Equipamento_Tunel!$H$2:$H$158,A407)</f>
        <v>0</v>
      </c>
    </row>
    <row r="408" spans="1:2" x14ac:dyDescent="0.3">
      <c r="A408" s="31"/>
      <c r="B408">
        <f>COUNTIF(Equipamento_Tunel!$H$2:$H$158,A408)</f>
        <v>0</v>
      </c>
    </row>
    <row r="409" spans="1:2" x14ac:dyDescent="0.3">
      <c r="A409" s="16"/>
      <c r="B409">
        <f>COUNTIF(Equipamento_Tunel!$H$2:$H$158,A409)</f>
        <v>0</v>
      </c>
    </row>
    <row r="410" spans="1:2" x14ac:dyDescent="0.3">
      <c r="A410" s="31"/>
      <c r="B410">
        <f>COUNTIF(Equipamento_Tunel!$H$2:$H$158,A410)</f>
        <v>0</v>
      </c>
    </row>
    <row r="411" spans="1:2" x14ac:dyDescent="0.3">
      <c r="A411" s="16"/>
      <c r="B411">
        <f>COUNTIF(Equipamento_Tunel!$H$2:$H$158,A411)</f>
        <v>0</v>
      </c>
    </row>
    <row r="412" spans="1:2" x14ac:dyDescent="0.3">
      <c r="A412" s="31"/>
      <c r="B412">
        <f>COUNTIF(Equipamento_Tunel!$H$2:$H$158,A412)</f>
        <v>0</v>
      </c>
    </row>
    <row r="413" spans="1:2" x14ac:dyDescent="0.3">
      <c r="A413" s="16"/>
      <c r="B413">
        <f>COUNTIF(Equipamento_Tunel!$H$2:$H$158,A413)</f>
        <v>0</v>
      </c>
    </row>
    <row r="414" spans="1:2" x14ac:dyDescent="0.3">
      <c r="A414" s="31"/>
      <c r="B414">
        <f>COUNTIF(Equipamento_Tunel!$H$2:$H$158,A414)</f>
        <v>0</v>
      </c>
    </row>
    <row r="415" spans="1:2" x14ac:dyDescent="0.3">
      <c r="A415" s="16"/>
      <c r="B415">
        <f>COUNTIF(Equipamento_Tunel!$H$2:$H$158,A415)</f>
        <v>0</v>
      </c>
    </row>
    <row r="416" spans="1:2" x14ac:dyDescent="0.3">
      <c r="A416" s="31"/>
      <c r="B416">
        <f>COUNTIF(Equipamento_Tunel!$H$2:$H$158,A416)</f>
        <v>0</v>
      </c>
    </row>
    <row r="417" spans="1:2" x14ac:dyDescent="0.3">
      <c r="A417" s="16"/>
      <c r="B417">
        <f>COUNTIF(Equipamento_Tunel!$H$2:$H$158,A417)</f>
        <v>0</v>
      </c>
    </row>
    <row r="418" spans="1:2" x14ac:dyDescent="0.3">
      <c r="A418" s="31"/>
      <c r="B418">
        <f>COUNTIF(Equipamento_Tunel!$H$2:$H$158,A418)</f>
        <v>0</v>
      </c>
    </row>
    <row r="419" spans="1:2" x14ac:dyDescent="0.3">
      <c r="A419" s="16"/>
      <c r="B419">
        <f>COUNTIF(Equipamento_Tunel!$H$2:$H$158,A419)</f>
        <v>0</v>
      </c>
    </row>
    <row r="420" spans="1:2" x14ac:dyDescent="0.3">
      <c r="A420" s="31"/>
      <c r="B420">
        <f>COUNTIF(Equipamento_Tunel!$H$2:$H$158,A420)</f>
        <v>0</v>
      </c>
    </row>
    <row r="421" spans="1:2" x14ac:dyDescent="0.3">
      <c r="A421" s="16"/>
      <c r="B421">
        <f>COUNTIF(Equipamento_Tunel!$H$2:$H$158,A421)</f>
        <v>0</v>
      </c>
    </row>
    <row r="422" spans="1:2" x14ac:dyDescent="0.3">
      <c r="A422" s="31"/>
      <c r="B422">
        <f>COUNTIF(Equipamento_Tunel!$H$2:$H$158,A422)</f>
        <v>0</v>
      </c>
    </row>
    <row r="423" spans="1:2" x14ac:dyDescent="0.3">
      <c r="A423" s="16"/>
      <c r="B423">
        <f>COUNTIF(Equipamento_Tunel!$H$2:$H$158,A423)</f>
        <v>0</v>
      </c>
    </row>
    <row r="424" spans="1:2" x14ac:dyDescent="0.3">
      <c r="A424" s="31"/>
      <c r="B424">
        <f>COUNTIF(Equipamento_Tunel!$H$2:$H$158,A424)</f>
        <v>0</v>
      </c>
    </row>
    <row r="425" spans="1:2" x14ac:dyDescent="0.3">
      <c r="A425" s="16"/>
      <c r="B425">
        <f>COUNTIF(Equipamento_Tunel!$H$2:$H$158,A425)</f>
        <v>0</v>
      </c>
    </row>
    <row r="426" spans="1:2" x14ac:dyDescent="0.3">
      <c r="A426" s="31"/>
      <c r="B426">
        <f>COUNTIF(Equipamento_Tunel!$H$2:$H$158,A426)</f>
        <v>0</v>
      </c>
    </row>
    <row r="427" spans="1:2" x14ac:dyDescent="0.3">
      <c r="A427" s="16"/>
      <c r="B427">
        <f>COUNTIF(Equipamento_Tunel!$H$2:$H$158,A427)</f>
        <v>0</v>
      </c>
    </row>
    <row r="428" spans="1:2" x14ac:dyDescent="0.3">
      <c r="A428" s="31"/>
      <c r="B428">
        <f>COUNTIF(Equipamento_Tunel!$H$2:$H$158,A428)</f>
        <v>0</v>
      </c>
    </row>
    <row r="429" spans="1:2" x14ac:dyDescent="0.3">
      <c r="A429" s="16"/>
      <c r="B429">
        <f>COUNTIF(Equipamento_Tunel!$H$2:$H$158,A429)</f>
        <v>0</v>
      </c>
    </row>
    <row r="430" spans="1:2" x14ac:dyDescent="0.3">
      <c r="A430" s="31"/>
      <c r="B430">
        <f>COUNTIF(Equipamento_Tunel!$H$2:$H$158,A430)</f>
        <v>0</v>
      </c>
    </row>
    <row r="431" spans="1:2" x14ac:dyDescent="0.3">
      <c r="A431" s="16"/>
      <c r="B431">
        <f>COUNTIF(Equipamento_Tunel!$H$2:$H$158,A431)</f>
        <v>0</v>
      </c>
    </row>
    <row r="432" spans="1:2" x14ac:dyDescent="0.3">
      <c r="A432" s="31"/>
      <c r="B432">
        <f>COUNTIF(Equipamento_Tunel!$H$2:$H$158,A432)</f>
        <v>0</v>
      </c>
    </row>
    <row r="433" spans="1:2" x14ac:dyDescent="0.3">
      <c r="A433" s="16"/>
      <c r="B433">
        <f>COUNTIF(Equipamento_Tunel!$H$2:$H$158,A433)</f>
        <v>0</v>
      </c>
    </row>
    <row r="434" spans="1:2" x14ac:dyDescent="0.3">
      <c r="A434" s="31"/>
      <c r="B434">
        <f>COUNTIF(Equipamento_Tunel!$H$2:$H$158,A434)</f>
        <v>0</v>
      </c>
    </row>
    <row r="435" spans="1:2" x14ac:dyDescent="0.3">
      <c r="A435" s="16"/>
      <c r="B435">
        <f>COUNTIF(Equipamento_Tunel!$H$2:$H$158,A435)</f>
        <v>0</v>
      </c>
    </row>
    <row r="436" spans="1:2" x14ac:dyDescent="0.3">
      <c r="A436" s="31"/>
      <c r="B436">
        <f>COUNTIF(Equipamento_Tunel!$H$2:$H$158,A436)</f>
        <v>0</v>
      </c>
    </row>
    <row r="437" spans="1:2" x14ac:dyDescent="0.3">
      <c r="A437" s="16"/>
      <c r="B437">
        <f>COUNTIF(Equipamento_Tunel!$H$2:$H$158,A437)</f>
        <v>0</v>
      </c>
    </row>
    <row r="438" spans="1:2" x14ac:dyDescent="0.3">
      <c r="A438" s="31"/>
      <c r="B438">
        <f>COUNTIF(Equipamento_Tunel!$H$2:$H$158,A438)</f>
        <v>0</v>
      </c>
    </row>
    <row r="439" spans="1:2" x14ac:dyDescent="0.3">
      <c r="A439" s="16"/>
      <c r="B439">
        <f>COUNTIF(Equipamento_Tunel!$H$2:$H$158,A439)</f>
        <v>0</v>
      </c>
    </row>
    <row r="440" spans="1:2" x14ac:dyDescent="0.3">
      <c r="A440" s="31"/>
      <c r="B440">
        <f>COUNTIF(Equipamento_Tunel!$H$2:$H$158,A440)</f>
        <v>0</v>
      </c>
    </row>
    <row r="441" spans="1:2" x14ac:dyDescent="0.3">
      <c r="A441" s="16"/>
      <c r="B441">
        <f>COUNTIF(Equipamento_Tunel!$H$2:$H$158,A441)</f>
        <v>0</v>
      </c>
    </row>
    <row r="442" spans="1:2" x14ac:dyDescent="0.3">
      <c r="A442" s="31"/>
      <c r="B442">
        <f>COUNTIF(Equipamento_Tunel!$H$2:$H$158,A442)</f>
        <v>0</v>
      </c>
    </row>
    <row r="443" spans="1:2" x14ac:dyDescent="0.3">
      <c r="A443" s="16"/>
      <c r="B443">
        <f>COUNTIF(Equipamento_Tunel!$H$2:$H$158,A443)</f>
        <v>0</v>
      </c>
    </row>
    <row r="444" spans="1:2" x14ac:dyDescent="0.3">
      <c r="A444" s="31"/>
      <c r="B444">
        <f>COUNTIF(Equipamento_Tunel!$H$2:$H$158,A444)</f>
        <v>0</v>
      </c>
    </row>
    <row r="445" spans="1:2" x14ac:dyDescent="0.3">
      <c r="A445" s="16"/>
      <c r="B445">
        <f>COUNTIF(Equipamento_Tunel!$H$2:$H$158,A445)</f>
        <v>0</v>
      </c>
    </row>
    <row r="446" spans="1:2" x14ac:dyDescent="0.3">
      <c r="A446" s="31"/>
      <c r="B446">
        <f>COUNTIF(Equipamento_Tunel!$H$2:$H$158,A446)</f>
        <v>0</v>
      </c>
    </row>
    <row r="447" spans="1:2" x14ac:dyDescent="0.3">
      <c r="A447" s="16"/>
      <c r="B447">
        <f>COUNTIF(Equipamento_Tunel!$H$2:$H$158,A447)</f>
        <v>0</v>
      </c>
    </row>
    <row r="448" spans="1:2" x14ac:dyDescent="0.3">
      <c r="A448" s="31"/>
      <c r="B448">
        <f>COUNTIF(Equipamento_Tunel!$H$2:$H$158,A448)</f>
        <v>0</v>
      </c>
    </row>
    <row r="449" spans="1:2" x14ac:dyDescent="0.3">
      <c r="A449" s="16"/>
      <c r="B449">
        <f>COUNTIF(Equipamento_Tunel!$H$2:$H$158,A449)</f>
        <v>0</v>
      </c>
    </row>
    <row r="450" spans="1:2" x14ac:dyDescent="0.3">
      <c r="A450" s="31"/>
      <c r="B450">
        <f>COUNTIF(Equipamento_Tunel!$H$2:$H$158,A450)</f>
        <v>0</v>
      </c>
    </row>
    <row r="451" spans="1:2" x14ac:dyDescent="0.3">
      <c r="A451" s="16"/>
      <c r="B451">
        <f>COUNTIF(Equipamento_Tunel!$H$2:$H$158,A451)</f>
        <v>0</v>
      </c>
    </row>
    <row r="452" spans="1:2" x14ac:dyDescent="0.3">
      <c r="A452" s="31"/>
      <c r="B452">
        <f>COUNTIF(Equipamento_Tunel!$H$2:$H$158,A452)</f>
        <v>0</v>
      </c>
    </row>
    <row r="453" spans="1:2" x14ac:dyDescent="0.3">
      <c r="A453" s="16"/>
      <c r="B453">
        <f>COUNTIF(Equipamento_Tunel!$H$2:$H$158,A453)</f>
        <v>0</v>
      </c>
    </row>
    <row r="454" spans="1:2" x14ac:dyDescent="0.3">
      <c r="A454" s="31"/>
      <c r="B454">
        <f>COUNTIF(Equipamento_Tunel!$H$2:$H$158,A454)</f>
        <v>0</v>
      </c>
    </row>
    <row r="455" spans="1:2" x14ac:dyDescent="0.3">
      <c r="A455" s="16"/>
      <c r="B455">
        <f>COUNTIF(Equipamento_Tunel!$H$2:$H$158,A455)</f>
        <v>0</v>
      </c>
    </row>
    <row r="456" spans="1:2" x14ac:dyDescent="0.3">
      <c r="A456" s="31"/>
      <c r="B456">
        <f>COUNTIF(Equipamento_Tunel!$H$2:$H$158,A456)</f>
        <v>0</v>
      </c>
    </row>
    <row r="457" spans="1:2" x14ac:dyDescent="0.3">
      <c r="A457" s="16"/>
      <c r="B457">
        <f>COUNTIF(Equipamento_Tunel!$H$2:$H$158,A457)</f>
        <v>0</v>
      </c>
    </row>
    <row r="458" spans="1:2" x14ac:dyDescent="0.3">
      <c r="A458" s="31"/>
      <c r="B458">
        <f>COUNTIF(Equipamento_Tunel!$H$2:$H$158,A458)</f>
        <v>0</v>
      </c>
    </row>
    <row r="459" spans="1:2" x14ac:dyDescent="0.3">
      <c r="A459" s="16"/>
      <c r="B459">
        <f>COUNTIF(Equipamento_Tunel!$H$2:$H$158,A459)</f>
        <v>0</v>
      </c>
    </row>
    <row r="460" spans="1:2" x14ac:dyDescent="0.3">
      <c r="A460" s="31"/>
      <c r="B460">
        <f>COUNTIF(Equipamento_Tunel!$H$2:$H$158,A460)</f>
        <v>0</v>
      </c>
    </row>
    <row r="461" spans="1:2" x14ac:dyDescent="0.3">
      <c r="A461" s="16"/>
      <c r="B461">
        <f>COUNTIF(Equipamento_Tunel!$H$2:$H$158,A461)</f>
        <v>0</v>
      </c>
    </row>
    <row r="462" spans="1:2" x14ac:dyDescent="0.3">
      <c r="A462" s="31"/>
      <c r="B462">
        <f>COUNTIF(Equipamento_Tunel!$H$2:$H$158,A462)</f>
        <v>0</v>
      </c>
    </row>
    <row r="463" spans="1:2" x14ac:dyDescent="0.3">
      <c r="A463" s="16"/>
      <c r="B463">
        <f>COUNTIF(Equipamento_Tunel!$H$2:$H$158,A463)</f>
        <v>0</v>
      </c>
    </row>
    <row r="464" spans="1:2" x14ac:dyDescent="0.3">
      <c r="A464" s="31"/>
      <c r="B464">
        <f>COUNTIF(Equipamento_Tunel!$H$2:$H$158,A464)</f>
        <v>0</v>
      </c>
    </row>
    <row r="465" spans="1:2" x14ac:dyDescent="0.3">
      <c r="A465" s="16"/>
      <c r="B465">
        <f>COUNTIF(Equipamento_Tunel!$H$2:$H$158,A465)</f>
        <v>0</v>
      </c>
    </row>
    <row r="466" spans="1:2" x14ac:dyDescent="0.3">
      <c r="A466" s="31"/>
      <c r="B466">
        <f>COUNTIF(Equipamento_Tunel!$H$2:$H$158,A466)</f>
        <v>0</v>
      </c>
    </row>
    <row r="467" spans="1:2" x14ac:dyDescent="0.3">
      <c r="A467" s="16"/>
      <c r="B467">
        <f>COUNTIF(Equipamento_Tunel!$H$2:$H$158,A467)</f>
        <v>0</v>
      </c>
    </row>
    <row r="468" spans="1:2" x14ac:dyDescent="0.3">
      <c r="A468" s="31"/>
      <c r="B468">
        <f>COUNTIF(Equipamento_Tunel!$H$2:$H$158,A468)</f>
        <v>0</v>
      </c>
    </row>
    <row r="469" spans="1:2" x14ac:dyDescent="0.3">
      <c r="A469" s="16"/>
      <c r="B469">
        <f>COUNTIF(Equipamento_Tunel!$H$2:$H$158,A469)</f>
        <v>0</v>
      </c>
    </row>
    <row r="470" spans="1:2" x14ac:dyDescent="0.3">
      <c r="A470" s="31"/>
      <c r="B470">
        <f>COUNTIF(Equipamento_Tunel!$H$2:$H$158,A470)</f>
        <v>0</v>
      </c>
    </row>
    <row r="471" spans="1:2" x14ac:dyDescent="0.3">
      <c r="A471" s="16"/>
      <c r="B471">
        <f>COUNTIF(Equipamento_Tunel!$H$2:$H$158,A471)</f>
        <v>0</v>
      </c>
    </row>
    <row r="472" spans="1:2" x14ac:dyDescent="0.3">
      <c r="A472" s="31"/>
      <c r="B472">
        <f>COUNTIF(Equipamento_Tunel!$H$2:$H$158,A472)</f>
        <v>0</v>
      </c>
    </row>
    <row r="473" spans="1:2" x14ac:dyDescent="0.3">
      <c r="A473" s="16"/>
      <c r="B473">
        <f>COUNTIF(Equipamento_Tunel!$H$2:$H$158,A473)</f>
        <v>0</v>
      </c>
    </row>
    <row r="474" spans="1:2" x14ac:dyDescent="0.3">
      <c r="A474" s="31"/>
      <c r="B474">
        <f>COUNTIF(Equipamento_Tunel!$H$2:$H$158,A474)</f>
        <v>0</v>
      </c>
    </row>
    <row r="475" spans="1:2" x14ac:dyDescent="0.3">
      <c r="A475" s="16"/>
      <c r="B475">
        <f>COUNTIF(Equipamento_Tunel!$H$2:$H$158,A475)</f>
        <v>0</v>
      </c>
    </row>
    <row r="476" spans="1:2" x14ac:dyDescent="0.3">
      <c r="A476" s="31"/>
      <c r="B476">
        <f>COUNTIF(Equipamento_Tunel!$H$2:$H$158,A476)</f>
        <v>0</v>
      </c>
    </row>
    <row r="477" spans="1:2" x14ac:dyDescent="0.3">
      <c r="A477" s="16"/>
      <c r="B477">
        <f>COUNTIF(Equipamento_Tunel!$H$2:$H$158,A477)</f>
        <v>0</v>
      </c>
    </row>
    <row r="478" spans="1:2" x14ac:dyDescent="0.3">
      <c r="A478" s="31"/>
      <c r="B478">
        <f>COUNTIF(Equipamento_Tunel!$H$2:$H$158,A478)</f>
        <v>0</v>
      </c>
    </row>
    <row r="479" spans="1:2" x14ac:dyDescent="0.3">
      <c r="A479" s="16"/>
      <c r="B479">
        <f>COUNTIF(Equipamento_Tunel!$H$2:$H$158,A479)</f>
        <v>0</v>
      </c>
    </row>
    <row r="480" spans="1:2" x14ac:dyDescent="0.3">
      <c r="A480" s="31"/>
      <c r="B480">
        <f>COUNTIF(Equipamento_Tunel!$H$2:$H$158,A480)</f>
        <v>0</v>
      </c>
    </row>
    <row r="481" spans="1:2" x14ac:dyDescent="0.3">
      <c r="A481" s="16"/>
      <c r="B481">
        <f>COUNTIF(Equipamento_Tunel!$H$2:$H$158,A481)</f>
        <v>0</v>
      </c>
    </row>
    <row r="482" spans="1:2" x14ac:dyDescent="0.3">
      <c r="A482" s="31"/>
      <c r="B482">
        <f>COUNTIF(Equipamento_Tunel!$H$2:$H$158,A482)</f>
        <v>0</v>
      </c>
    </row>
    <row r="483" spans="1:2" x14ac:dyDescent="0.3">
      <c r="A483" s="16"/>
      <c r="B483">
        <f>COUNTIF(Equipamento_Tunel!$H$2:$H$158,A483)</f>
        <v>0</v>
      </c>
    </row>
    <row r="484" spans="1:2" x14ac:dyDescent="0.3">
      <c r="A484" s="31"/>
      <c r="B484">
        <f>COUNTIF(Equipamento_Tunel!$H$2:$H$158,A484)</f>
        <v>0</v>
      </c>
    </row>
    <row r="485" spans="1:2" x14ac:dyDescent="0.3">
      <c r="A485" s="16"/>
      <c r="B485">
        <f>COUNTIF(Equipamento_Tunel!$H$2:$H$158,A485)</f>
        <v>0</v>
      </c>
    </row>
    <row r="486" spans="1:2" x14ac:dyDescent="0.3">
      <c r="A486" s="31"/>
      <c r="B486">
        <f>COUNTIF(Equipamento_Tunel!$H$2:$H$158,A486)</f>
        <v>0</v>
      </c>
    </row>
    <row r="487" spans="1:2" x14ac:dyDescent="0.3">
      <c r="A487" s="16"/>
      <c r="B487">
        <f>COUNTIF(Equipamento_Tunel!$H$2:$H$158,A487)</f>
        <v>0</v>
      </c>
    </row>
    <row r="488" spans="1:2" x14ac:dyDescent="0.3">
      <c r="A488" s="31"/>
      <c r="B488">
        <f>COUNTIF(Equipamento_Tunel!$H$2:$H$158,A488)</f>
        <v>0</v>
      </c>
    </row>
    <row r="489" spans="1:2" x14ac:dyDescent="0.3">
      <c r="A489" s="16"/>
      <c r="B489">
        <f>COUNTIF(Equipamento_Tunel!$H$2:$H$158,A489)</f>
        <v>0</v>
      </c>
    </row>
    <row r="490" spans="1:2" x14ac:dyDescent="0.3">
      <c r="A490" s="31"/>
      <c r="B490">
        <f>COUNTIF(Equipamento_Tunel!$H$2:$H$158,A490)</f>
        <v>0</v>
      </c>
    </row>
    <row r="491" spans="1:2" x14ac:dyDescent="0.3">
      <c r="A491" s="16"/>
      <c r="B491">
        <f>COUNTIF(Equipamento_Tunel!$H$2:$H$158,A491)</f>
        <v>0</v>
      </c>
    </row>
    <row r="492" spans="1:2" x14ac:dyDescent="0.3">
      <c r="A492" s="31"/>
      <c r="B492">
        <f>COUNTIF(Equipamento_Tunel!$H$2:$H$158,A492)</f>
        <v>0</v>
      </c>
    </row>
    <row r="493" spans="1:2" x14ac:dyDescent="0.3">
      <c r="A493" s="16"/>
      <c r="B493">
        <f>COUNTIF(Equipamento_Tunel!$H$2:$H$158,A493)</f>
        <v>0</v>
      </c>
    </row>
    <row r="494" spans="1:2" x14ac:dyDescent="0.3">
      <c r="A494" s="31"/>
      <c r="B494">
        <f>COUNTIF(Equipamento_Tunel!$H$2:$H$158,A494)</f>
        <v>0</v>
      </c>
    </row>
    <row r="495" spans="1:2" x14ac:dyDescent="0.3">
      <c r="A495" s="16"/>
      <c r="B495">
        <f>COUNTIF(Equipamento_Tunel!$H$2:$H$158,A495)</f>
        <v>0</v>
      </c>
    </row>
    <row r="496" spans="1:2" x14ac:dyDescent="0.3">
      <c r="A496" s="31"/>
      <c r="B496">
        <f>COUNTIF(Equipamento_Tunel!$H$2:$H$158,A496)</f>
        <v>0</v>
      </c>
    </row>
    <row r="497" spans="1:2" x14ac:dyDescent="0.3">
      <c r="A497" s="16"/>
      <c r="B497">
        <f>COUNTIF(Equipamento_Tunel!$H$2:$H$158,A497)</f>
        <v>0</v>
      </c>
    </row>
    <row r="498" spans="1:2" x14ac:dyDescent="0.3">
      <c r="A498" s="31"/>
      <c r="B498">
        <f>COUNTIF(Equipamento_Tunel!$H$2:$H$158,A498)</f>
        <v>0</v>
      </c>
    </row>
    <row r="499" spans="1:2" x14ac:dyDescent="0.3">
      <c r="A499" s="16"/>
      <c r="B499">
        <f>COUNTIF(Equipamento_Tunel!$H$2:$H$158,A499)</f>
        <v>0</v>
      </c>
    </row>
    <row r="500" spans="1:2" x14ac:dyDescent="0.3">
      <c r="A500" s="31"/>
      <c r="B500">
        <f>COUNTIF(Equipamento_Tunel!$H$2:$H$158,A500)</f>
        <v>0</v>
      </c>
    </row>
    <row r="501" spans="1:2" x14ac:dyDescent="0.3">
      <c r="A501" s="16"/>
      <c r="B501">
        <f>COUNTIF(Equipamento_Tunel!$H$2:$H$158,A501)</f>
        <v>0</v>
      </c>
    </row>
    <row r="502" spans="1:2" x14ac:dyDescent="0.3">
      <c r="A502" s="31"/>
      <c r="B502">
        <f>COUNTIF(Equipamento_Tunel!$H$2:$H$158,A502)</f>
        <v>0</v>
      </c>
    </row>
    <row r="503" spans="1:2" x14ac:dyDescent="0.3">
      <c r="A503" s="16"/>
      <c r="B503">
        <f>COUNTIF(Equipamento_Tunel!$H$2:$H$158,A503)</f>
        <v>0</v>
      </c>
    </row>
    <row r="504" spans="1:2" x14ac:dyDescent="0.3">
      <c r="A504" s="31"/>
      <c r="B504">
        <f>COUNTIF(Equipamento_Tunel!$H$2:$H$158,A504)</f>
        <v>0</v>
      </c>
    </row>
    <row r="505" spans="1:2" x14ac:dyDescent="0.3">
      <c r="A505" s="16"/>
      <c r="B505">
        <f>COUNTIF(Equipamento_Tunel!$H$2:$H$158,A505)</f>
        <v>0</v>
      </c>
    </row>
    <row r="506" spans="1:2" x14ac:dyDescent="0.3">
      <c r="A506" s="31"/>
      <c r="B506">
        <f>COUNTIF(Equipamento_Tunel!$H$2:$H$158,A506)</f>
        <v>0</v>
      </c>
    </row>
    <row r="507" spans="1:2" x14ac:dyDescent="0.3">
      <c r="A507" s="16"/>
      <c r="B507">
        <f>COUNTIF(Equipamento_Tunel!$H$2:$H$158,A507)</f>
        <v>0</v>
      </c>
    </row>
    <row r="508" spans="1:2" x14ac:dyDescent="0.3">
      <c r="A508" s="31"/>
      <c r="B508">
        <f>COUNTIF(Equipamento_Tunel!$H$2:$H$158,A508)</f>
        <v>0</v>
      </c>
    </row>
    <row r="509" spans="1:2" x14ac:dyDescent="0.3">
      <c r="A509" s="16"/>
      <c r="B509">
        <f>COUNTIF(Equipamento_Tunel!$H$2:$H$158,A509)</f>
        <v>0</v>
      </c>
    </row>
    <row r="510" spans="1:2" x14ac:dyDescent="0.3">
      <c r="A510" s="31"/>
      <c r="B510">
        <f>COUNTIF(Equipamento_Tunel!$H$2:$H$158,A510)</f>
        <v>0</v>
      </c>
    </row>
    <row r="511" spans="1:2" x14ac:dyDescent="0.3">
      <c r="A511" s="16"/>
      <c r="B511">
        <f>COUNTIF(Equipamento_Tunel!$H$2:$H$158,A511)</f>
        <v>0</v>
      </c>
    </row>
    <row r="512" spans="1:2" x14ac:dyDescent="0.3">
      <c r="A512" s="31"/>
      <c r="B512">
        <f>COUNTIF(Equipamento_Tunel!$H$2:$H$158,A512)</f>
        <v>0</v>
      </c>
    </row>
    <row r="513" spans="1:2" x14ac:dyDescent="0.3">
      <c r="A513" s="16"/>
      <c r="B513">
        <f>COUNTIF(Equipamento_Tunel!$H$2:$H$158,A513)</f>
        <v>0</v>
      </c>
    </row>
    <row r="514" spans="1:2" x14ac:dyDescent="0.3">
      <c r="A514" s="31"/>
      <c r="B514">
        <f>COUNTIF(Equipamento_Tunel!$H$2:$H$158,A514)</f>
        <v>0</v>
      </c>
    </row>
    <row r="515" spans="1:2" x14ac:dyDescent="0.3">
      <c r="A515" s="16"/>
      <c r="B515">
        <f>COUNTIF(Equipamento_Tunel!$H$2:$H$158,A515)</f>
        <v>0</v>
      </c>
    </row>
    <row r="516" spans="1:2" x14ac:dyDescent="0.3">
      <c r="A516" s="31"/>
      <c r="B516">
        <f>COUNTIF(Equipamento_Tunel!$H$2:$H$158,A516)</f>
        <v>0</v>
      </c>
    </row>
    <row r="517" spans="1:2" x14ac:dyDescent="0.3">
      <c r="A517" s="16"/>
      <c r="B517">
        <f>COUNTIF(Equipamento_Tunel!$H$2:$H$158,A517)</f>
        <v>0</v>
      </c>
    </row>
    <row r="518" spans="1:2" x14ac:dyDescent="0.3">
      <c r="A518" s="31"/>
      <c r="B518">
        <f>COUNTIF(Equipamento_Tunel!$H$2:$H$158,A518)</f>
        <v>0</v>
      </c>
    </row>
    <row r="519" spans="1:2" x14ac:dyDescent="0.3">
      <c r="A519" s="16"/>
      <c r="B519">
        <f>COUNTIF(Equipamento_Tunel!$H$2:$H$158,A519)</f>
        <v>0</v>
      </c>
    </row>
    <row r="520" spans="1:2" x14ac:dyDescent="0.3">
      <c r="A520" s="31"/>
      <c r="B520">
        <f>COUNTIF(Equipamento_Tunel!$H$2:$H$158,A520)</f>
        <v>0</v>
      </c>
    </row>
    <row r="521" spans="1:2" x14ac:dyDescent="0.3">
      <c r="A521" s="16"/>
      <c r="B521">
        <f>COUNTIF(Equipamento_Tunel!$H$2:$H$158,A521)</f>
        <v>0</v>
      </c>
    </row>
    <row r="522" spans="1:2" x14ac:dyDescent="0.3">
      <c r="A522" s="31"/>
      <c r="B522">
        <f>COUNTIF(Equipamento_Tunel!$H$2:$H$158,A522)</f>
        <v>0</v>
      </c>
    </row>
    <row r="523" spans="1:2" x14ac:dyDescent="0.3">
      <c r="A523" s="16"/>
      <c r="B523">
        <f>COUNTIF(Equipamento_Tunel!$H$2:$H$158,A523)</f>
        <v>0</v>
      </c>
    </row>
    <row r="524" spans="1:2" x14ac:dyDescent="0.3">
      <c r="A524" s="31"/>
      <c r="B524">
        <f>COUNTIF(Equipamento_Tunel!$H$2:$H$158,A524)</f>
        <v>0</v>
      </c>
    </row>
    <row r="525" spans="1:2" x14ac:dyDescent="0.3">
      <c r="A525" s="16"/>
      <c r="B525">
        <f>COUNTIF(Equipamento_Tunel!$H$2:$H$158,A525)</f>
        <v>0</v>
      </c>
    </row>
    <row r="526" spans="1:2" x14ac:dyDescent="0.3">
      <c r="A526" s="31"/>
      <c r="B526">
        <f>COUNTIF(Equipamento_Tunel!$H$2:$H$158,A526)</f>
        <v>0</v>
      </c>
    </row>
    <row r="527" spans="1:2" x14ac:dyDescent="0.3">
      <c r="A527" s="16"/>
      <c r="B527">
        <f>COUNTIF(Equipamento_Tunel!$H$2:$H$158,A527)</f>
        <v>0</v>
      </c>
    </row>
    <row r="528" spans="1:2" x14ac:dyDescent="0.3">
      <c r="A528" s="31"/>
      <c r="B528">
        <f>COUNTIF(Equipamento_Tunel!$H$2:$H$158,A528)</f>
        <v>0</v>
      </c>
    </row>
    <row r="529" spans="1:2" x14ac:dyDescent="0.3">
      <c r="A529" s="16"/>
      <c r="B529">
        <f>COUNTIF(Equipamento_Tunel!$H$2:$H$158,A529)</f>
        <v>0</v>
      </c>
    </row>
    <row r="530" spans="1:2" x14ac:dyDescent="0.3">
      <c r="A530" s="31"/>
      <c r="B530">
        <f>COUNTIF(Equipamento_Tunel!$H$2:$H$158,A530)</f>
        <v>0</v>
      </c>
    </row>
    <row r="531" spans="1:2" x14ac:dyDescent="0.3">
      <c r="A531" s="16"/>
      <c r="B531">
        <f>COUNTIF(Equipamento_Tunel!$H$2:$H$158,A531)</f>
        <v>0</v>
      </c>
    </row>
    <row r="532" spans="1:2" x14ac:dyDescent="0.3">
      <c r="A532" s="31"/>
      <c r="B532">
        <f>COUNTIF(Equipamento_Tunel!$H$2:$H$158,A532)</f>
        <v>0</v>
      </c>
    </row>
    <row r="533" spans="1:2" x14ac:dyDescent="0.3">
      <c r="A533" s="16"/>
      <c r="B533">
        <f>COUNTIF(Equipamento_Tunel!$H$2:$H$158,A533)</f>
        <v>0</v>
      </c>
    </row>
    <row r="534" spans="1:2" x14ac:dyDescent="0.3">
      <c r="A534" s="31"/>
      <c r="B534">
        <f>COUNTIF(Equipamento_Tunel!$H$2:$H$158,A534)</f>
        <v>0</v>
      </c>
    </row>
    <row r="535" spans="1:2" x14ac:dyDescent="0.3">
      <c r="A535" s="16"/>
      <c r="B535">
        <f>COUNTIF(Equipamento_Tunel!$H$2:$H$158,A535)</f>
        <v>0</v>
      </c>
    </row>
    <row r="536" spans="1:2" x14ac:dyDescent="0.3">
      <c r="A536" s="31"/>
      <c r="B536">
        <f>COUNTIF(Equipamento_Tunel!$H$2:$H$158,A536)</f>
        <v>0</v>
      </c>
    </row>
    <row r="537" spans="1:2" x14ac:dyDescent="0.3">
      <c r="A537" s="16"/>
      <c r="B537">
        <f>COUNTIF(Equipamento_Tunel!$H$2:$H$158,A537)</f>
        <v>0</v>
      </c>
    </row>
    <row r="538" spans="1:2" x14ac:dyDescent="0.3">
      <c r="A538" s="31"/>
      <c r="B538">
        <f>COUNTIF(Equipamento_Tunel!$H$2:$H$158,A538)</f>
        <v>0</v>
      </c>
    </row>
    <row r="539" spans="1:2" x14ac:dyDescent="0.3">
      <c r="A539" s="16"/>
      <c r="B539">
        <f>COUNTIF(Equipamento_Tunel!$H$2:$H$158,A539)</f>
        <v>0</v>
      </c>
    </row>
    <row r="540" spans="1:2" x14ac:dyDescent="0.3">
      <c r="A540" s="31"/>
      <c r="B540">
        <f>COUNTIF(Equipamento_Tunel!$H$2:$H$158,A540)</f>
        <v>0</v>
      </c>
    </row>
    <row r="541" spans="1:2" x14ac:dyDescent="0.3">
      <c r="A541" s="16"/>
      <c r="B541">
        <f>COUNTIF(Equipamento_Tunel!$H$2:$H$158,A541)</f>
        <v>0</v>
      </c>
    </row>
    <row r="542" spans="1:2" x14ac:dyDescent="0.3">
      <c r="A542" s="31"/>
      <c r="B542">
        <f>COUNTIF(Equipamento_Tunel!$H$2:$H$158,A542)</f>
        <v>0</v>
      </c>
    </row>
    <row r="543" spans="1:2" x14ac:dyDescent="0.3">
      <c r="A543" s="16"/>
      <c r="B543">
        <f>COUNTIF(Equipamento_Tunel!$H$2:$H$158,A543)</f>
        <v>0</v>
      </c>
    </row>
    <row r="544" spans="1:2" x14ac:dyDescent="0.3">
      <c r="A544" s="31"/>
      <c r="B544">
        <f>COUNTIF(Equipamento_Tunel!$H$2:$H$158,A544)</f>
        <v>0</v>
      </c>
    </row>
    <row r="545" spans="1:2" x14ac:dyDescent="0.3">
      <c r="A545" s="16"/>
      <c r="B545">
        <f>COUNTIF(Equipamento_Tunel!$H$2:$H$158,A545)</f>
        <v>0</v>
      </c>
    </row>
    <row r="546" spans="1:2" x14ac:dyDescent="0.3">
      <c r="A546" s="31"/>
      <c r="B546">
        <f>COUNTIF(Equipamento_Tunel!$H$2:$H$158,A546)</f>
        <v>0</v>
      </c>
    </row>
    <row r="547" spans="1:2" x14ac:dyDescent="0.3">
      <c r="A547" s="16"/>
      <c r="B547">
        <f>COUNTIF(Equipamento_Tunel!$H$2:$H$158,A547)</f>
        <v>0</v>
      </c>
    </row>
    <row r="548" spans="1:2" x14ac:dyDescent="0.3">
      <c r="A548" s="31"/>
      <c r="B548">
        <f>COUNTIF(Equipamento_Tunel!$H$2:$H$158,A548)</f>
        <v>0</v>
      </c>
    </row>
    <row r="549" spans="1:2" x14ac:dyDescent="0.3">
      <c r="A549" s="16"/>
      <c r="B549">
        <f>COUNTIF(Equipamento_Tunel!$H$2:$H$158,A549)</f>
        <v>0</v>
      </c>
    </row>
    <row r="550" spans="1:2" x14ac:dyDescent="0.3">
      <c r="A550" s="31"/>
      <c r="B550">
        <f>COUNTIF(Equipamento_Tunel!$H$2:$H$158,A550)</f>
        <v>0</v>
      </c>
    </row>
    <row r="551" spans="1:2" x14ac:dyDescent="0.3">
      <c r="A551" s="16"/>
      <c r="B551">
        <f>COUNTIF(Equipamento_Tunel!$H$2:$H$158,A551)</f>
        <v>0</v>
      </c>
    </row>
    <row r="552" spans="1:2" x14ac:dyDescent="0.3">
      <c r="A552" s="31"/>
      <c r="B552">
        <f>COUNTIF(Equipamento_Tunel!$H$2:$H$158,A552)</f>
        <v>0</v>
      </c>
    </row>
    <row r="553" spans="1:2" x14ac:dyDescent="0.3">
      <c r="A553" s="16"/>
      <c r="B553">
        <f>COUNTIF(Equipamento_Tunel!$H$2:$H$158,A553)</f>
        <v>0</v>
      </c>
    </row>
    <row r="554" spans="1:2" x14ac:dyDescent="0.3">
      <c r="A554" s="31"/>
      <c r="B554">
        <f>COUNTIF(Equipamento_Tunel!$H$2:$H$158,A554)</f>
        <v>0</v>
      </c>
    </row>
    <row r="555" spans="1:2" x14ac:dyDescent="0.3">
      <c r="A555" s="16"/>
      <c r="B555">
        <f>COUNTIF(Equipamento_Tunel!$H$2:$H$158,A555)</f>
        <v>0</v>
      </c>
    </row>
    <row r="556" spans="1:2" x14ac:dyDescent="0.3">
      <c r="A556" s="31"/>
      <c r="B556">
        <f>COUNTIF(Equipamento_Tunel!$H$2:$H$158,A556)</f>
        <v>0</v>
      </c>
    </row>
    <row r="557" spans="1:2" x14ac:dyDescent="0.3">
      <c r="A557" s="16"/>
      <c r="B557">
        <f>COUNTIF(Equipamento_Tunel!$H$2:$H$158,A557)</f>
        <v>0</v>
      </c>
    </row>
    <row r="558" spans="1:2" x14ac:dyDescent="0.3">
      <c r="A558" s="31"/>
      <c r="B558">
        <f>COUNTIF(Equipamento_Tunel!$H$2:$H$158,A558)</f>
        <v>0</v>
      </c>
    </row>
    <row r="559" spans="1:2" x14ac:dyDescent="0.3">
      <c r="A559" s="16"/>
      <c r="B559">
        <f>COUNTIF(Equipamento_Tunel!$H$2:$H$158,A559)</f>
        <v>0</v>
      </c>
    </row>
    <row r="560" spans="1:2" x14ac:dyDescent="0.3">
      <c r="A560" s="31"/>
      <c r="B560">
        <f>COUNTIF(Equipamento_Tunel!$H$2:$H$158,A560)</f>
        <v>0</v>
      </c>
    </row>
    <row r="561" spans="1:2" x14ac:dyDescent="0.3">
      <c r="A561" s="16"/>
      <c r="B561">
        <f>COUNTIF(Equipamento_Tunel!$H$2:$H$158,A561)</f>
        <v>0</v>
      </c>
    </row>
    <row r="562" spans="1:2" x14ac:dyDescent="0.3">
      <c r="A562" s="31"/>
      <c r="B562">
        <f>COUNTIF(Equipamento_Tunel!$H$2:$H$158,A562)</f>
        <v>0</v>
      </c>
    </row>
    <row r="563" spans="1:2" x14ac:dyDescent="0.3">
      <c r="A563" s="16"/>
      <c r="B563">
        <f>COUNTIF(Equipamento_Tunel!$H$2:$H$158,A563)</f>
        <v>0</v>
      </c>
    </row>
    <row r="564" spans="1:2" x14ac:dyDescent="0.3">
      <c r="A564" s="31"/>
      <c r="B564">
        <f>COUNTIF(Equipamento_Tunel!$H$2:$H$158,A564)</f>
        <v>0</v>
      </c>
    </row>
    <row r="565" spans="1:2" x14ac:dyDescent="0.3">
      <c r="A565" s="16"/>
      <c r="B565">
        <f>COUNTIF(Equipamento_Tunel!$H$2:$H$158,A565)</f>
        <v>0</v>
      </c>
    </row>
    <row r="566" spans="1:2" x14ac:dyDescent="0.3">
      <c r="A566" s="31"/>
      <c r="B566">
        <f>COUNTIF(Equipamento_Tunel!$H$2:$H$158,A566)</f>
        <v>0</v>
      </c>
    </row>
    <row r="567" spans="1:2" x14ac:dyDescent="0.3">
      <c r="A567" s="16"/>
      <c r="B567">
        <f>COUNTIF(Equipamento_Tunel!$H$2:$H$158,A567)</f>
        <v>0</v>
      </c>
    </row>
    <row r="568" spans="1:2" x14ac:dyDescent="0.3">
      <c r="A568" s="31"/>
      <c r="B568">
        <f>COUNTIF(Equipamento_Tunel!$H$2:$H$158,A568)</f>
        <v>0</v>
      </c>
    </row>
    <row r="569" spans="1:2" x14ac:dyDescent="0.3">
      <c r="A569" s="16"/>
      <c r="B569">
        <f>COUNTIF(Equipamento_Tunel!$H$2:$H$158,A569)</f>
        <v>0</v>
      </c>
    </row>
    <row r="570" spans="1:2" x14ac:dyDescent="0.3">
      <c r="A570" s="31"/>
      <c r="B570">
        <f>COUNTIF(Equipamento_Tunel!$H$2:$H$158,A570)</f>
        <v>0</v>
      </c>
    </row>
    <row r="571" spans="1:2" x14ac:dyDescent="0.3">
      <c r="A571" s="16"/>
      <c r="B571">
        <f>COUNTIF(Equipamento_Tunel!$H$2:$H$158,A571)</f>
        <v>0</v>
      </c>
    </row>
    <row r="572" spans="1:2" x14ac:dyDescent="0.3">
      <c r="A572" s="31"/>
      <c r="B572">
        <f>COUNTIF(Equipamento_Tunel!$H$2:$H$158,A572)</f>
        <v>0</v>
      </c>
    </row>
    <row r="573" spans="1:2" x14ac:dyDescent="0.3">
      <c r="A573" s="16"/>
      <c r="B573">
        <f>COUNTIF(Equipamento_Tunel!$H$2:$H$158,A573)</f>
        <v>0</v>
      </c>
    </row>
    <row r="574" spans="1:2" x14ac:dyDescent="0.3">
      <c r="A574" s="31"/>
      <c r="B574">
        <f>COUNTIF(Equipamento_Tunel!$H$2:$H$158,A574)</f>
        <v>0</v>
      </c>
    </row>
    <row r="575" spans="1:2" x14ac:dyDescent="0.3">
      <c r="A575" s="16"/>
      <c r="B575">
        <f>COUNTIF(Equipamento_Tunel!$H$2:$H$158,A575)</f>
        <v>0</v>
      </c>
    </row>
    <row r="576" spans="1:2" x14ac:dyDescent="0.3">
      <c r="A576" s="31"/>
      <c r="B576">
        <f>COUNTIF(Equipamento_Tunel!$H$2:$H$158,A576)</f>
        <v>0</v>
      </c>
    </row>
    <row r="577" spans="1:2" x14ac:dyDescent="0.3">
      <c r="A577" s="16"/>
      <c r="B577">
        <f>COUNTIF(Equipamento_Tunel!$H$2:$H$158,A577)</f>
        <v>0</v>
      </c>
    </row>
    <row r="578" spans="1:2" x14ac:dyDescent="0.3">
      <c r="A578" s="31"/>
      <c r="B578">
        <f>COUNTIF(Equipamento_Tunel!$H$2:$H$158,A578)</f>
        <v>0</v>
      </c>
    </row>
    <row r="579" spans="1:2" x14ac:dyDescent="0.3">
      <c r="A579" s="16"/>
      <c r="B579">
        <f>COUNTIF(Equipamento_Tunel!$H$2:$H$158,A579)</f>
        <v>0</v>
      </c>
    </row>
    <row r="580" spans="1:2" x14ac:dyDescent="0.3">
      <c r="A580" s="31"/>
      <c r="B580">
        <f>COUNTIF(Equipamento_Tunel!$H$2:$H$158,A580)</f>
        <v>0</v>
      </c>
    </row>
    <row r="581" spans="1:2" x14ac:dyDescent="0.3">
      <c r="A581" s="16"/>
      <c r="B581">
        <f>COUNTIF(Equipamento_Tunel!$H$2:$H$158,A581)</f>
        <v>0</v>
      </c>
    </row>
    <row r="582" spans="1:2" x14ac:dyDescent="0.3">
      <c r="A582" s="31"/>
      <c r="B582">
        <f>COUNTIF(Equipamento_Tunel!$H$2:$H$158,A582)</f>
        <v>0</v>
      </c>
    </row>
    <row r="583" spans="1:2" x14ac:dyDescent="0.3">
      <c r="A583" s="16"/>
      <c r="B583">
        <f>COUNTIF(Equipamento_Tunel!$H$2:$H$158,A583)</f>
        <v>0</v>
      </c>
    </row>
    <row r="584" spans="1:2" x14ac:dyDescent="0.3">
      <c r="A584" s="31"/>
      <c r="B584">
        <f>COUNTIF(Equipamento_Tunel!$H$2:$H$158,A584)</f>
        <v>0</v>
      </c>
    </row>
    <row r="585" spans="1:2" x14ac:dyDescent="0.3">
      <c r="A585" s="16"/>
      <c r="B585">
        <f>COUNTIF(Equipamento_Tunel!$H$2:$H$158,A585)</f>
        <v>0</v>
      </c>
    </row>
    <row r="586" spans="1:2" x14ac:dyDescent="0.3">
      <c r="A586" s="31"/>
      <c r="B586">
        <f>COUNTIF(Equipamento_Tunel!$H$2:$H$158,A586)</f>
        <v>0</v>
      </c>
    </row>
    <row r="587" spans="1:2" x14ac:dyDescent="0.3">
      <c r="A587" s="16"/>
      <c r="B587">
        <f>COUNTIF(Equipamento_Tunel!$H$2:$H$158,A587)</f>
        <v>0</v>
      </c>
    </row>
    <row r="588" spans="1:2" x14ac:dyDescent="0.3">
      <c r="A588" s="31"/>
      <c r="B588">
        <f>COUNTIF(Equipamento_Tunel!$H$2:$H$158,A588)</f>
        <v>0</v>
      </c>
    </row>
    <row r="589" spans="1:2" x14ac:dyDescent="0.3">
      <c r="A589" s="16"/>
      <c r="B589">
        <f>COUNTIF(Equipamento_Tunel!$H$2:$H$158,A589)</f>
        <v>0</v>
      </c>
    </row>
    <row r="590" spans="1:2" x14ac:dyDescent="0.3">
      <c r="A590" s="31"/>
      <c r="B590">
        <f>COUNTIF(Equipamento_Tunel!$H$2:$H$158,A590)</f>
        <v>0</v>
      </c>
    </row>
    <row r="591" spans="1:2" x14ac:dyDescent="0.3">
      <c r="A591" s="16"/>
      <c r="B591">
        <f>COUNTIF(Equipamento_Tunel!$H$2:$H$158,A591)</f>
        <v>0</v>
      </c>
    </row>
    <row r="592" spans="1:2" x14ac:dyDescent="0.3">
      <c r="A592" s="31"/>
      <c r="B592">
        <f>COUNTIF(Equipamento_Tunel!$H$2:$H$158,A592)</f>
        <v>0</v>
      </c>
    </row>
    <row r="593" spans="1:2" x14ac:dyDescent="0.3">
      <c r="A593" s="16"/>
      <c r="B593">
        <f>COUNTIF(Equipamento_Tunel!$H$2:$H$158,A593)</f>
        <v>0</v>
      </c>
    </row>
    <row r="594" spans="1:2" x14ac:dyDescent="0.3">
      <c r="A594" s="31"/>
      <c r="B594">
        <f>COUNTIF(Equipamento_Tunel!$H$2:$H$158,A594)</f>
        <v>0</v>
      </c>
    </row>
    <row r="595" spans="1:2" x14ac:dyDescent="0.3">
      <c r="A595" s="16"/>
      <c r="B595">
        <f>COUNTIF(Equipamento_Tunel!$H$2:$H$158,A595)</f>
        <v>0</v>
      </c>
    </row>
    <row r="596" spans="1:2" x14ac:dyDescent="0.3">
      <c r="A596" s="31"/>
      <c r="B596">
        <f>COUNTIF(Equipamento_Tunel!$H$2:$H$158,A596)</f>
        <v>0</v>
      </c>
    </row>
    <row r="597" spans="1:2" x14ac:dyDescent="0.3">
      <c r="A597" s="16"/>
      <c r="B597">
        <f>COUNTIF(Equipamento_Tunel!$H$2:$H$158,A597)</f>
        <v>0</v>
      </c>
    </row>
    <row r="598" spans="1:2" x14ac:dyDescent="0.3">
      <c r="A598" s="31"/>
      <c r="B598">
        <f>COUNTIF(Equipamento_Tunel!$H$2:$H$158,A598)</f>
        <v>0</v>
      </c>
    </row>
    <row r="599" spans="1:2" x14ac:dyDescent="0.3">
      <c r="A599" s="16"/>
      <c r="B599">
        <f>COUNTIF(Equipamento_Tunel!$H$2:$H$158,A599)</f>
        <v>0</v>
      </c>
    </row>
    <row r="600" spans="1:2" x14ac:dyDescent="0.3">
      <c r="A600" s="31"/>
      <c r="B600">
        <f>COUNTIF(Equipamento_Tunel!$H$2:$H$158,A600)</f>
        <v>0</v>
      </c>
    </row>
    <row r="601" spans="1:2" x14ac:dyDescent="0.3">
      <c r="A601" s="16"/>
      <c r="B601">
        <f>COUNTIF(Equipamento_Tunel!$H$2:$H$158,A601)</f>
        <v>0</v>
      </c>
    </row>
    <row r="602" spans="1:2" x14ac:dyDescent="0.3">
      <c r="A602" s="31"/>
      <c r="B602">
        <f>COUNTIF(Equipamento_Tunel!$H$2:$H$158,A602)</f>
        <v>0</v>
      </c>
    </row>
    <row r="603" spans="1:2" x14ac:dyDescent="0.3">
      <c r="A603" s="16"/>
      <c r="B603">
        <f>COUNTIF(Equipamento_Tunel!$H$2:$H$158,A603)</f>
        <v>0</v>
      </c>
    </row>
    <row r="604" spans="1:2" x14ac:dyDescent="0.3">
      <c r="A604" s="31"/>
      <c r="B604">
        <f>COUNTIF(Equipamento_Tunel!$H$2:$H$158,A604)</f>
        <v>0</v>
      </c>
    </row>
    <row r="605" spans="1:2" x14ac:dyDescent="0.3">
      <c r="A605" s="16"/>
      <c r="B605">
        <f>COUNTIF(Equipamento_Tunel!$H$2:$H$158,A605)</f>
        <v>0</v>
      </c>
    </row>
    <row r="606" spans="1:2" x14ac:dyDescent="0.3">
      <c r="A606" s="31"/>
      <c r="B606">
        <f>COUNTIF(Equipamento_Tunel!$H$2:$H$158,A606)</f>
        <v>0</v>
      </c>
    </row>
    <row r="607" spans="1:2" x14ac:dyDescent="0.3">
      <c r="A607" s="16"/>
      <c r="B607">
        <f>COUNTIF(Equipamento_Tunel!$H$2:$H$158,A607)</f>
        <v>0</v>
      </c>
    </row>
    <row r="608" spans="1:2" x14ac:dyDescent="0.3">
      <c r="A608" s="31"/>
      <c r="B608">
        <f>COUNTIF(Equipamento_Tunel!$H$2:$H$158,A608)</f>
        <v>0</v>
      </c>
    </row>
    <row r="609" spans="1:2" x14ac:dyDescent="0.3">
      <c r="A609" s="16"/>
      <c r="B609">
        <f>COUNTIF(Equipamento_Tunel!$H$2:$H$158,A609)</f>
        <v>0</v>
      </c>
    </row>
    <row r="610" spans="1:2" x14ac:dyDescent="0.3">
      <c r="A610" s="31"/>
      <c r="B610">
        <f>COUNTIF(Equipamento_Tunel!$H$2:$H$158,A610)</f>
        <v>0</v>
      </c>
    </row>
    <row r="611" spans="1:2" x14ac:dyDescent="0.3">
      <c r="A611" s="16"/>
      <c r="B611">
        <f>COUNTIF(Equipamento_Tunel!$H$2:$H$158,A611)</f>
        <v>0</v>
      </c>
    </row>
    <row r="612" spans="1:2" x14ac:dyDescent="0.3">
      <c r="A612" s="31"/>
      <c r="B612">
        <f>COUNTIF(Equipamento_Tunel!$H$2:$H$158,A612)</f>
        <v>0</v>
      </c>
    </row>
    <row r="613" spans="1:2" x14ac:dyDescent="0.3">
      <c r="A613" s="16"/>
      <c r="B613">
        <f>COUNTIF(Equipamento_Tunel!$H$2:$H$158,A613)</f>
        <v>0</v>
      </c>
    </row>
    <row r="614" spans="1:2" x14ac:dyDescent="0.3">
      <c r="A614" s="31"/>
      <c r="B614">
        <f>COUNTIF(Equipamento_Tunel!$H$2:$H$158,A614)</f>
        <v>0</v>
      </c>
    </row>
    <row r="615" spans="1:2" x14ac:dyDescent="0.3">
      <c r="A615" s="16"/>
      <c r="B615">
        <f>COUNTIF(Equipamento_Tunel!$H$2:$H$158,A615)</f>
        <v>0</v>
      </c>
    </row>
    <row r="616" spans="1:2" x14ac:dyDescent="0.3">
      <c r="A616" s="31"/>
      <c r="B616">
        <f>COUNTIF(Equipamento_Tunel!$H$2:$H$158,A616)</f>
        <v>0</v>
      </c>
    </row>
    <row r="617" spans="1:2" x14ac:dyDescent="0.3">
      <c r="A617" s="16"/>
      <c r="B617">
        <f>COUNTIF(Equipamento_Tunel!$H$2:$H$158,A617)</f>
        <v>0</v>
      </c>
    </row>
    <row r="618" spans="1:2" x14ac:dyDescent="0.3">
      <c r="A618" s="31"/>
      <c r="B618">
        <f>COUNTIF(Equipamento_Tunel!$H$2:$H$158,A618)</f>
        <v>0</v>
      </c>
    </row>
    <row r="619" spans="1:2" x14ac:dyDescent="0.3">
      <c r="A619" s="16"/>
      <c r="B619">
        <f>COUNTIF(Equipamento_Tunel!$H$2:$H$158,A619)</f>
        <v>0</v>
      </c>
    </row>
    <row r="620" spans="1:2" x14ac:dyDescent="0.3">
      <c r="A620" s="31"/>
      <c r="B620">
        <f>COUNTIF(Equipamento_Tunel!$H$2:$H$158,A620)</f>
        <v>0</v>
      </c>
    </row>
    <row r="621" spans="1:2" x14ac:dyDescent="0.3">
      <c r="A621" s="16"/>
      <c r="B621">
        <f>COUNTIF(Equipamento_Tunel!$H$2:$H$158,A621)</f>
        <v>0</v>
      </c>
    </row>
    <row r="622" spans="1:2" x14ac:dyDescent="0.3">
      <c r="A622" s="31"/>
      <c r="B622">
        <f>COUNTIF(Equipamento_Tunel!$H$2:$H$158,A622)</f>
        <v>0</v>
      </c>
    </row>
    <row r="623" spans="1:2" x14ac:dyDescent="0.3">
      <c r="A623" s="16"/>
      <c r="B623">
        <f>COUNTIF(Equipamento_Tunel!$H$2:$H$158,A623)</f>
        <v>0</v>
      </c>
    </row>
    <row r="624" spans="1:2" x14ac:dyDescent="0.3">
      <c r="A624" s="31"/>
      <c r="B624">
        <f>COUNTIF(Equipamento_Tunel!$H$2:$H$158,A624)</f>
        <v>0</v>
      </c>
    </row>
    <row r="625" spans="1:2" x14ac:dyDescent="0.3">
      <c r="A625" s="16"/>
      <c r="B625">
        <f>COUNTIF(Equipamento_Tunel!$H$2:$H$158,A625)</f>
        <v>0</v>
      </c>
    </row>
    <row r="626" spans="1:2" x14ac:dyDescent="0.3">
      <c r="A626" s="31"/>
      <c r="B626">
        <f>COUNTIF(Equipamento_Tunel!$H$2:$H$158,A626)</f>
        <v>0</v>
      </c>
    </row>
    <row r="627" spans="1:2" x14ac:dyDescent="0.3">
      <c r="A627" s="16"/>
      <c r="B627">
        <f>COUNTIF(Equipamento_Tunel!$H$2:$H$158,A627)</f>
        <v>0</v>
      </c>
    </row>
    <row r="628" spans="1:2" x14ac:dyDescent="0.3">
      <c r="A628" s="31"/>
      <c r="B628">
        <f>COUNTIF(Equipamento_Tunel!$H$2:$H$158,A628)</f>
        <v>0</v>
      </c>
    </row>
    <row r="629" spans="1:2" x14ac:dyDescent="0.3">
      <c r="A629" s="16"/>
      <c r="B629">
        <f>COUNTIF(Equipamento_Tunel!$H$2:$H$158,A629)</f>
        <v>0</v>
      </c>
    </row>
    <row r="630" spans="1:2" x14ac:dyDescent="0.3">
      <c r="A630" s="31"/>
      <c r="B630">
        <f>COUNTIF(Equipamento_Tunel!$H$2:$H$158,A630)</f>
        <v>0</v>
      </c>
    </row>
    <row r="631" spans="1:2" x14ac:dyDescent="0.3">
      <c r="A631" s="16"/>
      <c r="B631">
        <f>COUNTIF(Equipamento_Tunel!$H$2:$H$158,A631)</f>
        <v>0</v>
      </c>
    </row>
    <row r="632" spans="1:2" x14ac:dyDescent="0.3">
      <c r="A632" s="31"/>
      <c r="B632">
        <f>COUNTIF(Equipamento_Tunel!$H$2:$H$158,A632)</f>
        <v>0</v>
      </c>
    </row>
    <row r="633" spans="1:2" x14ac:dyDescent="0.3">
      <c r="A633" s="16"/>
      <c r="B633">
        <f>COUNTIF(Equipamento_Tunel!$H$2:$H$158,A633)</f>
        <v>0</v>
      </c>
    </row>
    <row r="634" spans="1:2" x14ac:dyDescent="0.3">
      <c r="A634" s="31"/>
      <c r="B634">
        <f>COUNTIF(Equipamento_Tunel!$H$2:$H$158,A634)</f>
        <v>0</v>
      </c>
    </row>
    <row r="635" spans="1:2" x14ac:dyDescent="0.3">
      <c r="A635" s="16"/>
      <c r="B635">
        <f>COUNTIF(Equipamento_Tunel!$H$2:$H$158,A635)</f>
        <v>0</v>
      </c>
    </row>
    <row r="636" spans="1:2" x14ac:dyDescent="0.3">
      <c r="A636" s="31"/>
      <c r="B636">
        <f>COUNTIF(Equipamento_Tunel!$H$2:$H$158,A636)</f>
        <v>0</v>
      </c>
    </row>
    <row r="637" spans="1:2" x14ac:dyDescent="0.3">
      <c r="A637" s="16"/>
      <c r="B637">
        <f>COUNTIF(Equipamento_Tunel!$H$2:$H$158,A637)</f>
        <v>0</v>
      </c>
    </row>
    <row r="638" spans="1:2" x14ac:dyDescent="0.3">
      <c r="A638" s="31"/>
      <c r="B638">
        <f>COUNTIF(Equipamento_Tunel!$H$2:$H$158,A638)</f>
        <v>0</v>
      </c>
    </row>
    <row r="639" spans="1:2" x14ac:dyDescent="0.3">
      <c r="A639" s="16"/>
      <c r="B639">
        <f>COUNTIF(Equipamento_Tunel!$H$2:$H$158,A639)</f>
        <v>0</v>
      </c>
    </row>
    <row r="640" spans="1:2" x14ac:dyDescent="0.3">
      <c r="A640" s="31"/>
      <c r="B640">
        <f>COUNTIF(Equipamento_Tunel!$H$2:$H$158,A640)</f>
        <v>0</v>
      </c>
    </row>
    <row r="641" spans="1:2" x14ac:dyDescent="0.3">
      <c r="A641" s="16"/>
      <c r="B641">
        <f>COUNTIF(Equipamento_Tunel!$H$2:$H$158,A641)</f>
        <v>0</v>
      </c>
    </row>
    <row r="642" spans="1:2" x14ac:dyDescent="0.3">
      <c r="A642" s="31"/>
      <c r="B642">
        <f>COUNTIF(Equipamento_Tunel!$H$2:$H$158,A642)</f>
        <v>0</v>
      </c>
    </row>
    <row r="643" spans="1:2" x14ac:dyDescent="0.3">
      <c r="A643" s="16"/>
      <c r="B643">
        <f>COUNTIF(Equipamento_Tunel!$H$2:$H$158,A643)</f>
        <v>0</v>
      </c>
    </row>
    <row r="644" spans="1:2" x14ac:dyDescent="0.3">
      <c r="A644" s="31"/>
      <c r="B644">
        <f>COUNTIF(Equipamento_Tunel!$H$2:$H$158,A644)</f>
        <v>0</v>
      </c>
    </row>
    <row r="645" spans="1:2" x14ac:dyDescent="0.3">
      <c r="A645" s="16"/>
      <c r="B645">
        <f>COUNTIF(Equipamento_Tunel!$H$2:$H$158,A645)</f>
        <v>0</v>
      </c>
    </row>
    <row r="646" spans="1:2" x14ac:dyDescent="0.3">
      <c r="A646" s="31"/>
      <c r="B646">
        <f>COUNTIF(Equipamento_Tunel!$H$2:$H$158,A646)</f>
        <v>0</v>
      </c>
    </row>
    <row r="647" spans="1:2" x14ac:dyDescent="0.3">
      <c r="A647" s="16"/>
      <c r="B647">
        <f>COUNTIF(Equipamento_Tunel!$H$2:$H$158,A647)</f>
        <v>0</v>
      </c>
    </row>
    <row r="648" spans="1:2" x14ac:dyDescent="0.3">
      <c r="A648" s="31"/>
      <c r="B648">
        <f>COUNTIF(Equipamento_Tunel!$H$2:$H$158,A648)</f>
        <v>0</v>
      </c>
    </row>
    <row r="649" spans="1:2" x14ac:dyDescent="0.3">
      <c r="A649" s="16"/>
      <c r="B649">
        <f>COUNTIF(Equipamento_Tunel!$H$2:$H$158,A649)</f>
        <v>0</v>
      </c>
    </row>
    <row r="650" spans="1:2" x14ac:dyDescent="0.3">
      <c r="A650" s="31"/>
      <c r="B650">
        <f>COUNTIF(Equipamento_Tunel!$H$2:$H$158,A650)</f>
        <v>0</v>
      </c>
    </row>
    <row r="651" spans="1:2" x14ac:dyDescent="0.3">
      <c r="A651" s="16"/>
      <c r="B651">
        <f>COUNTIF(Equipamento_Tunel!$H$2:$H$158,A651)</f>
        <v>0</v>
      </c>
    </row>
    <row r="652" spans="1:2" x14ac:dyDescent="0.3">
      <c r="A652" s="31"/>
      <c r="B652">
        <f>COUNTIF(Equipamento_Tunel!$H$2:$H$158,A652)</f>
        <v>0</v>
      </c>
    </row>
    <row r="653" spans="1:2" x14ac:dyDescent="0.3">
      <c r="A653" s="16"/>
      <c r="B653">
        <f>COUNTIF(Equipamento_Tunel!$H$2:$H$158,A653)</f>
        <v>0</v>
      </c>
    </row>
    <row r="654" spans="1:2" x14ac:dyDescent="0.3">
      <c r="A654" s="31"/>
      <c r="B654">
        <f>COUNTIF(Equipamento_Tunel!$H$2:$H$158,A654)</f>
        <v>0</v>
      </c>
    </row>
    <row r="655" spans="1:2" x14ac:dyDescent="0.3">
      <c r="A655" s="16"/>
      <c r="B655">
        <f>COUNTIF(Equipamento_Tunel!$H$2:$H$158,A655)</f>
        <v>0</v>
      </c>
    </row>
    <row r="656" spans="1:2" x14ac:dyDescent="0.3">
      <c r="A656" s="31"/>
      <c r="B656">
        <f>COUNTIF(Equipamento_Tunel!$H$2:$H$158,A656)</f>
        <v>0</v>
      </c>
    </row>
    <row r="657" spans="1:2" x14ac:dyDescent="0.3">
      <c r="A657" s="16"/>
      <c r="B657">
        <f>COUNTIF(Equipamento_Tunel!$H$2:$H$158,A657)</f>
        <v>0</v>
      </c>
    </row>
    <row r="658" spans="1:2" x14ac:dyDescent="0.3">
      <c r="A658" s="31"/>
      <c r="B658">
        <f>COUNTIF(Equipamento_Tunel!$H$2:$H$158,A658)</f>
        <v>0</v>
      </c>
    </row>
    <row r="659" spans="1:2" x14ac:dyDescent="0.3">
      <c r="A659" s="16"/>
      <c r="B659">
        <f>COUNTIF(Equipamento_Tunel!$H$2:$H$158,A659)</f>
        <v>0</v>
      </c>
    </row>
    <row r="660" spans="1:2" x14ac:dyDescent="0.3">
      <c r="A660" s="31"/>
      <c r="B660">
        <f>COUNTIF(Equipamento_Tunel!$H$2:$H$158,A660)</f>
        <v>0</v>
      </c>
    </row>
    <row r="661" spans="1:2" x14ac:dyDescent="0.3">
      <c r="A661" s="16"/>
      <c r="B661">
        <f>COUNTIF(Equipamento_Tunel!$H$2:$H$158,A661)</f>
        <v>0</v>
      </c>
    </row>
    <row r="662" spans="1:2" x14ac:dyDescent="0.3">
      <c r="A662" s="31"/>
      <c r="B662">
        <f>COUNTIF(Equipamento_Tunel!$H$2:$H$158,A662)</f>
        <v>0</v>
      </c>
    </row>
    <row r="663" spans="1:2" x14ac:dyDescent="0.3">
      <c r="A663" s="16"/>
      <c r="B663">
        <f>COUNTIF(Equipamento_Tunel!$H$2:$H$158,A663)</f>
        <v>0</v>
      </c>
    </row>
    <row r="664" spans="1:2" x14ac:dyDescent="0.3">
      <c r="A664" s="31"/>
      <c r="B664">
        <f>COUNTIF(Equipamento_Tunel!$H$2:$H$158,A664)</f>
        <v>0</v>
      </c>
    </row>
    <row r="665" spans="1:2" x14ac:dyDescent="0.3">
      <c r="A665" s="16"/>
      <c r="B665">
        <f>COUNTIF(Equipamento_Tunel!$H$2:$H$158,A665)</f>
        <v>0</v>
      </c>
    </row>
    <row r="666" spans="1:2" x14ac:dyDescent="0.3">
      <c r="A666" s="31"/>
      <c r="B666">
        <f>COUNTIF(Equipamento_Tunel!$H$2:$H$158,A666)</f>
        <v>0</v>
      </c>
    </row>
    <row r="667" spans="1:2" x14ac:dyDescent="0.3">
      <c r="A667" s="16"/>
      <c r="B667">
        <f>COUNTIF(Equipamento_Tunel!$H$2:$H$158,A667)</f>
        <v>0</v>
      </c>
    </row>
    <row r="668" spans="1:2" x14ac:dyDescent="0.3">
      <c r="A668" s="31"/>
      <c r="B668">
        <f>COUNTIF(Equipamento_Tunel!$H$2:$H$158,A668)</f>
        <v>0</v>
      </c>
    </row>
    <row r="669" spans="1:2" x14ac:dyDescent="0.3">
      <c r="A669" s="16"/>
      <c r="B669">
        <f>COUNTIF(Equipamento_Tunel!$H$2:$H$158,A669)</f>
        <v>0</v>
      </c>
    </row>
    <row r="670" spans="1:2" x14ac:dyDescent="0.3">
      <c r="A670" s="31"/>
      <c r="B670">
        <f>COUNTIF(Equipamento_Tunel!$H$2:$H$158,A670)</f>
        <v>0</v>
      </c>
    </row>
    <row r="671" spans="1:2" x14ac:dyDescent="0.3">
      <c r="A671" s="16"/>
      <c r="B671">
        <f>COUNTIF(Equipamento_Tunel!$H$2:$H$158,A671)</f>
        <v>0</v>
      </c>
    </row>
    <row r="672" spans="1:2" x14ac:dyDescent="0.3">
      <c r="A672" s="31"/>
      <c r="B672">
        <f>COUNTIF(Equipamento_Tunel!$H$2:$H$158,A672)</f>
        <v>0</v>
      </c>
    </row>
    <row r="673" spans="1:2" x14ac:dyDescent="0.3">
      <c r="A673" s="16"/>
      <c r="B673">
        <f>COUNTIF(Equipamento_Tunel!$H$2:$H$158,A673)</f>
        <v>0</v>
      </c>
    </row>
    <row r="674" spans="1:2" x14ac:dyDescent="0.3">
      <c r="A674" s="31"/>
      <c r="B674">
        <f>COUNTIF(Equipamento_Tunel!$H$2:$H$158,A674)</f>
        <v>0</v>
      </c>
    </row>
    <row r="675" spans="1:2" x14ac:dyDescent="0.3">
      <c r="A675" s="16"/>
      <c r="B675">
        <f>COUNTIF(Equipamento_Tunel!$H$2:$H$158,A675)</f>
        <v>0</v>
      </c>
    </row>
    <row r="676" spans="1:2" x14ac:dyDescent="0.3">
      <c r="A676" s="31"/>
      <c r="B676">
        <f>COUNTIF(Equipamento_Tunel!$H$2:$H$158,A676)</f>
        <v>0</v>
      </c>
    </row>
    <row r="677" spans="1:2" x14ac:dyDescent="0.3">
      <c r="A677" s="16"/>
      <c r="B677">
        <f>COUNTIF(Equipamento_Tunel!$H$2:$H$158,A677)</f>
        <v>0</v>
      </c>
    </row>
    <row r="678" spans="1:2" x14ac:dyDescent="0.3">
      <c r="A678" s="31"/>
      <c r="B678">
        <f>COUNTIF(Equipamento_Tunel!$H$2:$H$158,A678)</f>
        <v>0</v>
      </c>
    </row>
    <row r="679" spans="1:2" x14ac:dyDescent="0.3">
      <c r="A679" s="16"/>
      <c r="B679">
        <f>COUNTIF(Equipamento_Tunel!$H$2:$H$158,A679)</f>
        <v>0</v>
      </c>
    </row>
    <row r="680" spans="1:2" x14ac:dyDescent="0.3">
      <c r="A680" s="31"/>
      <c r="B680">
        <f>COUNTIF(Equipamento_Tunel!$H$2:$H$158,A680)</f>
        <v>0</v>
      </c>
    </row>
    <row r="681" spans="1:2" x14ac:dyDescent="0.3">
      <c r="A681" s="16"/>
      <c r="B681">
        <f>COUNTIF(Equipamento_Tunel!$H$2:$H$158,A681)</f>
        <v>0</v>
      </c>
    </row>
    <row r="682" spans="1:2" x14ac:dyDescent="0.3">
      <c r="A682" s="31"/>
      <c r="B682">
        <f>COUNTIF(Equipamento_Tunel!$H$2:$H$158,A682)</f>
        <v>0</v>
      </c>
    </row>
    <row r="683" spans="1:2" x14ac:dyDescent="0.3">
      <c r="A683" s="16"/>
      <c r="B683">
        <f>COUNTIF(Equipamento_Tunel!$H$2:$H$158,A683)</f>
        <v>0</v>
      </c>
    </row>
    <row r="684" spans="1:2" x14ac:dyDescent="0.3">
      <c r="A684" s="31"/>
      <c r="B684">
        <f>COUNTIF(Equipamento_Tunel!$H$2:$H$158,A684)</f>
        <v>0</v>
      </c>
    </row>
    <row r="685" spans="1:2" x14ac:dyDescent="0.3">
      <c r="A685" s="16"/>
      <c r="B685">
        <f>COUNTIF(Equipamento_Tunel!$H$2:$H$158,A685)</f>
        <v>0</v>
      </c>
    </row>
    <row r="686" spans="1:2" x14ac:dyDescent="0.3">
      <c r="A686" s="31"/>
      <c r="B686">
        <f>COUNTIF(Equipamento_Tunel!$H$2:$H$158,A686)</f>
        <v>0</v>
      </c>
    </row>
    <row r="687" spans="1:2" x14ac:dyDescent="0.3">
      <c r="A687" s="16"/>
      <c r="B687">
        <f>COUNTIF(Equipamento_Tunel!$H$2:$H$158,A687)</f>
        <v>0</v>
      </c>
    </row>
    <row r="688" spans="1:2" x14ac:dyDescent="0.3">
      <c r="A688" s="31"/>
      <c r="B688">
        <f>COUNTIF(Equipamento_Tunel!$H$2:$H$158,A688)</f>
        <v>0</v>
      </c>
    </row>
    <row r="689" spans="1:2" x14ac:dyDescent="0.3">
      <c r="A689" s="16"/>
      <c r="B689">
        <f>COUNTIF(Equipamento_Tunel!$H$2:$H$158,A689)</f>
        <v>0</v>
      </c>
    </row>
    <row r="690" spans="1:2" x14ac:dyDescent="0.3">
      <c r="A690" s="31"/>
      <c r="B690">
        <f>COUNTIF(Equipamento_Tunel!$H$2:$H$158,A690)</f>
        <v>0</v>
      </c>
    </row>
    <row r="691" spans="1:2" x14ac:dyDescent="0.3">
      <c r="A691" s="16"/>
      <c r="B691">
        <f>COUNTIF(Equipamento_Tunel!$H$2:$H$158,A691)</f>
        <v>0</v>
      </c>
    </row>
    <row r="692" spans="1:2" x14ac:dyDescent="0.3">
      <c r="A692" s="31"/>
      <c r="B692">
        <f>COUNTIF(Equipamento_Tunel!$H$2:$H$158,A692)</f>
        <v>0</v>
      </c>
    </row>
    <row r="693" spans="1:2" x14ac:dyDescent="0.3">
      <c r="A693" s="16"/>
      <c r="B693">
        <f>COUNTIF(Equipamento_Tunel!$H$2:$H$158,A693)</f>
        <v>0</v>
      </c>
    </row>
    <row r="694" spans="1:2" x14ac:dyDescent="0.3">
      <c r="A694" s="31"/>
      <c r="B694">
        <f>COUNTIF(Equipamento_Tunel!$H$2:$H$158,A694)</f>
        <v>0</v>
      </c>
    </row>
    <row r="695" spans="1:2" x14ac:dyDescent="0.3">
      <c r="A695" s="16"/>
      <c r="B695">
        <f>COUNTIF(Equipamento_Tunel!$H$2:$H$158,A695)</f>
        <v>0</v>
      </c>
    </row>
    <row r="696" spans="1:2" x14ac:dyDescent="0.3">
      <c r="A696" s="31"/>
      <c r="B696">
        <f>COUNTIF(Equipamento_Tunel!$H$2:$H$158,A696)</f>
        <v>0</v>
      </c>
    </row>
    <row r="697" spans="1:2" x14ac:dyDescent="0.3">
      <c r="A697" s="16"/>
      <c r="B697">
        <f>COUNTIF(Equipamento_Tunel!$H$2:$H$158,A697)</f>
        <v>0</v>
      </c>
    </row>
    <row r="698" spans="1:2" x14ac:dyDescent="0.3">
      <c r="A698" s="31"/>
      <c r="B698">
        <f>COUNTIF(Equipamento_Tunel!$H$2:$H$158,A698)</f>
        <v>0</v>
      </c>
    </row>
    <row r="699" spans="1:2" x14ac:dyDescent="0.3">
      <c r="A699" s="16"/>
      <c r="B699">
        <f>COUNTIF(Equipamento_Tunel!$H$2:$H$158,A699)</f>
        <v>0</v>
      </c>
    </row>
    <row r="700" spans="1:2" x14ac:dyDescent="0.3">
      <c r="A700" s="31"/>
      <c r="B700">
        <f>COUNTIF(Equipamento_Tunel!$H$2:$H$158,A700)</f>
        <v>0</v>
      </c>
    </row>
    <row r="701" spans="1:2" x14ac:dyDescent="0.3">
      <c r="A701" s="16"/>
      <c r="B701">
        <f>COUNTIF(Equipamento_Tunel!$H$2:$H$158,A701)</f>
        <v>0</v>
      </c>
    </row>
    <row r="702" spans="1:2" x14ac:dyDescent="0.3">
      <c r="A702" s="31"/>
      <c r="B702">
        <f>COUNTIF(Equipamento_Tunel!$H$2:$H$158,A702)</f>
        <v>0</v>
      </c>
    </row>
    <row r="703" spans="1:2" x14ac:dyDescent="0.3">
      <c r="A703" s="16"/>
      <c r="B703">
        <f>COUNTIF(Equipamento_Tunel!$H$2:$H$158,A703)</f>
        <v>0</v>
      </c>
    </row>
    <row r="704" spans="1:2" x14ac:dyDescent="0.3">
      <c r="A704" s="31"/>
      <c r="B704">
        <f>COUNTIF(Equipamento_Tunel!$H$2:$H$158,A704)</f>
        <v>0</v>
      </c>
    </row>
    <row r="705" spans="1:2" x14ac:dyDescent="0.3">
      <c r="A705" s="16"/>
      <c r="B705">
        <f>COUNTIF(Equipamento_Tunel!$H$2:$H$158,A705)</f>
        <v>0</v>
      </c>
    </row>
    <row r="706" spans="1:2" x14ac:dyDescent="0.3">
      <c r="A706" s="31"/>
      <c r="B706">
        <f>COUNTIF(Equipamento_Tunel!$H$2:$H$158,A706)</f>
        <v>0</v>
      </c>
    </row>
    <row r="707" spans="1:2" x14ac:dyDescent="0.3">
      <c r="A707" s="16"/>
      <c r="B707">
        <f>COUNTIF(Equipamento_Tunel!$H$2:$H$158,A707)</f>
        <v>0</v>
      </c>
    </row>
    <row r="708" spans="1:2" x14ac:dyDescent="0.3">
      <c r="A708" s="31"/>
      <c r="B708">
        <f>COUNTIF(Equipamento_Tunel!$H$2:$H$158,A708)</f>
        <v>0</v>
      </c>
    </row>
    <row r="709" spans="1:2" x14ac:dyDescent="0.3">
      <c r="A709" s="16"/>
      <c r="B709">
        <f>COUNTIF(Equipamento_Tunel!$H$2:$H$158,A709)</f>
        <v>0</v>
      </c>
    </row>
    <row r="710" spans="1:2" x14ac:dyDescent="0.3">
      <c r="A710" s="31"/>
      <c r="B710">
        <f>COUNTIF(Equipamento_Tunel!$H$2:$H$158,A710)</f>
        <v>0</v>
      </c>
    </row>
    <row r="711" spans="1:2" x14ac:dyDescent="0.3">
      <c r="A711" s="16"/>
      <c r="B711">
        <f>COUNTIF(Equipamento_Tunel!$H$2:$H$158,A711)</f>
        <v>0</v>
      </c>
    </row>
    <row r="712" spans="1:2" x14ac:dyDescent="0.3">
      <c r="A712" s="31"/>
      <c r="B712">
        <f>COUNTIF(Equipamento_Tunel!$H$2:$H$158,A712)</f>
        <v>0</v>
      </c>
    </row>
    <row r="713" spans="1:2" x14ac:dyDescent="0.3">
      <c r="A713" s="16"/>
      <c r="B713">
        <f>COUNTIF(Equipamento_Tunel!$H$2:$H$158,A713)</f>
        <v>0</v>
      </c>
    </row>
    <row r="714" spans="1:2" x14ac:dyDescent="0.3">
      <c r="A714" s="31"/>
      <c r="B714">
        <f>COUNTIF(Equipamento_Tunel!$H$2:$H$158,A714)</f>
        <v>0</v>
      </c>
    </row>
    <row r="715" spans="1:2" x14ac:dyDescent="0.3">
      <c r="A715" s="16"/>
      <c r="B715">
        <f>COUNTIF(Equipamento_Tunel!$H$2:$H$158,A715)</f>
        <v>0</v>
      </c>
    </row>
    <row r="716" spans="1:2" x14ac:dyDescent="0.3">
      <c r="A716" s="31"/>
      <c r="B716">
        <f>COUNTIF(Equipamento_Tunel!$H$2:$H$158,A716)</f>
        <v>0</v>
      </c>
    </row>
    <row r="717" spans="1:2" x14ac:dyDescent="0.3">
      <c r="A717" s="16"/>
      <c r="B717">
        <f>COUNTIF(Equipamento_Tunel!$H$2:$H$158,A717)</f>
        <v>0</v>
      </c>
    </row>
    <row r="718" spans="1:2" x14ac:dyDescent="0.3">
      <c r="A718" s="31"/>
      <c r="B718">
        <f>COUNTIF(Equipamento_Tunel!$H$2:$H$158,A718)</f>
        <v>0</v>
      </c>
    </row>
    <row r="719" spans="1:2" x14ac:dyDescent="0.3">
      <c r="A719" s="16"/>
      <c r="B719">
        <f>COUNTIF(Equipamento_Tunel!$H$2:$H$158,A719)</f>
        <v>0</v>
      </c>
    </row>
    <row r="720" spans="1:2" x14ac:dyDescent="0.3">
      <c r="A720" s="31"/>
      <c r="B720">
        <f>COUNTIF(Equipamento_Tunel!$H$2:$H$158,A720)</f>
        <v>0</v>
      </c>
    </row>
    <row r="721" spans="1:2" x14ac:dyDescent="0.3">
      <c r="A721" s="16"/>
      <c r="B721">
        <f>COUNTIF(Equipamento_Tunel!$H$2:$H$158,A721)</f>
        <v>0</v>
      </c>
    </row>
    <row r="722" spans="1:2" x14ac:dyDescent="0.3">
      <c r="A722" s="31"/>
      <c r="B722">
        <f>COUNTIF(Equipamento_Tunel!$H$2:$H$158,A722)</f>
        <v>0</v>
      </c>
    </row>
    <row r="723" spans="1:2" x14ac:dyDescent="0.3">
      <c r="A723" s="16"/>
      <c r="B723">
        <f>COUNTIF(Equipamento_Tunel!$H$2:$H$158,A723)</f>
        <v>0</v>
      </c>
    </row>
    <row r="724" spans="1:2" x14ac:dyDescent="0.3">
      <c r="A724" s="31"/>
      <c r="B724">
        <f>COUNTIF(Equipamento_Tunel!$H$2:$H$158,A724)</f>
        <v>0</v>
      </c>
    </row>
    <row r="725" spans="1:2" x14ac:dyDescent="0.3">
      <c r="A725" s="16"/>
      <c r="B725">
        <f>COUNTIF(Equipamento_Tunel!$H$2:$H$158,A725)</f>
        <v>0</v>
      </c>
    </row>
    <row r="726" spans="1:2" x14ac:dyDescent="0.3">
      <c r="A726" s="31"/>
      <c r="B726">
        <f>COUNTIF(Equipamento_Tunel!$H$2:$H$158,A726)</f>
        <v>0</v>
      </c>
    </row>
    <row r="727" spans="1:2" x14ac:dyDescent="0.3">
      <c r="A727" s="16"/>
      <c r="B727">
        <f>COUNTIF(Equipamento_Tunel!$H$2:$H$158,A727)</f>
        <v>0</v>
      </c>
    </row>
    <row r="728" spans="1:2" x14ac:dyDescent="0.3">
      <c r="A728" s="31"/>
      <c r="B728">
        <f>COUNTIF(Equipamento_Tunel!$H$2:$H$158,A728)</f>
        <v>0</v>
      </c>
    </row>
    <row r="729" spans="1:2" x14ac:dyDescent="0.3">
      <c r="A729" s="16"/>
      <c r="B729">
        <f>COUNTIF(Equipamento_Tunel!$H$2:$H$158,A729)</f>
        <v>0</v>
      </c>
    </row>
    <row r="730" spans="1:2" x14ac:dyDescent="0.3">
      <c r="A730" s="31"/>
      <c r="B730">
        <f>COUNTIF(Equipamento_Tunel!$H$2:$H$158,A730)</f>
        <v>0</v>
      </c>
    </row>
    <row r="731" spans="1:2" x14ac:dyDescent="0.3">
      <c r="A731" s="16"/>
      <c r="B731">
        <f>COUNTIF(Equipamento_Tunel!$H$2:$H$158,A731)</f>
        <v>0</v>
      </c>
    </row>
    <row r="732" spans="1:2" x14ac:dyDescent="0.3">
      <c r="A732" s="31"/>
      <c r="B732">
        <f>COUNTIF(Equipamento_Tunel!$H$2:$H$158,A732)</f>
        <v>0</v>
      </c>
    </row>
    <row r="733" spans="1:2" x14ac:dyDescent="0.3">
      <c r="A733" s="16"/>
      <c r="B733">
        <f>COUNTIF(Equipamento_Tunel!$H$2:$H$158,A733)</f>
        <v>0</v>
      </c>
    </row>
    <row r="734" spans="1:2" x14ac:dyDescent="0.3">
      <c r="A734" s="31"/>
      <c r="B734">
        <f>COUNTIF(Equipamento_Tunel!$H$2:$H$158,A734)</f>
        <v>0</v>
      </c>
    </row>
    <row r="735" spans="1:2" x14ac:dyDescent="0.3">
      <c r="A735" s="16"/>
      <c r="B735">
        <f>COUNTIF(Equipamento_Tunel!$H$2:$H$158,A735)</f>
        <v>0</v>
      </c>
    </row>
    <row r="736" spans="1:2" x14ac:dyDescent="0.3">
      <c r="A736" s="31"/>
      <c r="B736">
        <f>COUNTIF(Equipamento_Tunel!$H$2:$H$158,A736)</f>
        <v>0</v>
      </c>
    </row>
    <row r="737" spans="1:2" x14ac:dyDescent="0.3">
      <c r="A737" s="16"/>
      <c r="B737">
        <f>COUNTIF(Equipamento_Tunel!$H$2:$H$158,A737)</f>
        <v>0</v>
      </c>
    </row>
    <row r="738" spans="1:2" x14ac:dyDescent="0.3">
      <c r="A738" s="31"/>
      <c r="B738">
        <f>COUNTIF(Equipamento_Tunel!$H$2:$H$158,A738)</f>
        <v>0</v>
      </c>
    </row>
    <row r="739" spans="1:2" x14ac:dyDescent="0.3">
      <c r="A739" s="16"/>
      <c r="B739">
        <f>COUNTIF(Equipamento_Tunel!$H$2:$H$158,A739)</f>
        <v>0</v>
      </c>
    </row>
    <row r="740" spans="1:2" x14ac:dyDescent="0.3">
      <c r="A740" s="31"/>
      <c r="B740">
        <f>COUNTIF(Equipamento_Tunel!$H$2:$H$158,A740)</f>
        <v>0</v>
      </c>
    </row>
    <row r="741" spans="1:2" x14ac:dyDescent="0.3">
      <c r="A741" s="16"/>
      <c r="B741">
        <f>COUNTIF(Equipamento_Tunel!$H$2:$H$158,A741)</f>
        <v>0</v>
      </c>
    </row>
    <row r="742" spans="1:2" x14ac:dyDescent="0.3">
      <c r="A742" s="31"/>
      <c r="B742">
        <f>COUNTIF(Equipamento_Tunel!$H$2:$H$158,A742)</f>
        <v>0</v>
      </c>
    </row>
    <row r="743" spans="1:2" x14ac:dyDescent="0.3">
      <c r="A743" s="16"/>
      <c r="B743">
        <f>COUNTIF(Equipamento_Tunel!$H$2:$H$158,A743)</f>
        <v>0</v>
      </c>
    </row>
    <row r="744" spans="1:2" x14ac:dyDescent="0.3">
      <c r="A744" s="31"/>
      <c r="B744">
        <f>COUNTIF(Equipamento_Tunel!$H$2:$H$158,A744)</f>
        <v>0</v>
      </c>
    </row>
    <row r="745" spans="1:2" x14ac:dyDescent="0.3">
      <c r="A745" s="16"/>
      <c r="B745">
        <f>COUNTIF(Equipamento_Tunel!$H$2:$H$158,A745)</f>
        <v>0</v>
      </c>
    </row>
    <row r="746" spans="1:2" x14ac:dyDescent="0.3">
      <c r="A746" s="31"/>
      <c r="B746">
        <f>COUNTIF(Equipamento_Tunel!$H$2:$H$158,A746)</f>
        <v>0</v>
      </c>
    </row>
    <row r="747" spans="1:2" x14ac:dyDescent="0.3">
      <c r="A747" s="16"/>
      <c r="B747">
        <f>COUNTIF(Equipamento_Tunel!$H$2:$H$158,A747)</f>
        <v>0</v>
      </c>
    </row>
    <row r="748" spans="1:2" x14ac:dyDescent="0.3">
      <c r="A748" s="31"/>
      <c r="B748">
        <f>COUNTIF(Equipamento_Tunel!$H$2:$H$158,A748)</f>
        <v>0</v>
      </c>
    </row>
    <row r="749" spans="1:2" x14ac:dyDescent="0.3">
      <c r="A749" s="16"/>
      <c r="B749">
        <f>COUNTIF(Equipamento_Tunel!$H$2:$H$158,A749)</f>
        <v>0</v>
      </c>
    </row>
    <row r="750" spans="1:2" x14ac:dyDescent="0.3">
      <c r="A750" s="31"/>
      <c r="B750">
        <f>COUNTIF(Equipamento_Tunel!$H$2:$H$158,A750)</f>
        <v>0</v>
      </c>
    </row>
    <row r="751" spans="1:2" x14ac:dyDescent="0.3">
      <c r="A751" s="16"/>
      <c r="B751">
        <f>COUNTIF(Equipamento_Tunel!$H$2:$H$158,A751)</f>
        <v>0</v>
      </c>
    </row>
    <row r="752" spans="1:2" x14ac:dyDescent="0.3">
      <c r="A752" s="31"/>
      <c r="B752">
        <f>COUNTIF(Equipamento_Tunel!$H$2:$H$158,A752)</f>
        <v>0</v>
      </c>
    </row>
    <row r="753" spans="1:2" x14ac:dyDescent="0.3">
      <c r="A753" s="16"/>
      <c r="B753">
        <f>COUNTIF(Equipamento_Tunel!$H$2:$H$158,A753)</f>
        <v>0</v>
      </c>
    </row>
    <row r="754" spans="1:2" x14ac:dyDescent="0.3">
      <c r="A754" s="31"/>
      <c r="B754">
        <f>COUNTIF(Equipamento_Tunel!$H$2:$H$158,A754)</f>
        <v>0</v>
      </c>
    </row>
    <row r="755" spans="1:2" x14ac:dyDescent="0.3">
      <c r="A755" s="16"/>
      <c r="B755">
        <f>COUNTIF(Equipamento_Tunel!$H$2:$H$158,A755)</f>
        <v>0</v>
      </c>
    </row>
    <row r="756" spans="1:2" x14ac:dyDescent="0.3">
      <c r="A756" s="31"/>
      <c r="B756">
        <f>COUNTIF(Equipamento_Tunel!$H$2:$H$158,A756)</f>
        <v>0</v>
      </c>
    </row>
    <row r="757" spans="1:2" x14ac:dyDescent="0.3">
      <c r="A757" s="16"/>
      <c r="B757">
        <f>COUNTIF(Equipamento_Tunel!$H$2:$H$158,A757)</f>
        <v>0</v>
      </c>
    </row>
    <row r="758" spans="1:2" x14ac:dyDescent="0.3">
      <c r="A758" s="31"/>
      <c r="B758">
        <f>COUNTIF(Equipamento_Tunel!$H$2:$H$158,A758)</f>
        <v>0</v>
      </c>
    </row>
    <row r="759" spans="1:2" x14ac:dyDescent="0.3">
      <c r="A759" s="16"/>
      <c r="B759">
        <f>COUNTIF(Equipamento_Tunel!$H$2:$H$158,A759)</f>
        <v>0</v>
      </c>
    </row>
    <row r="760" spans="1:2" x14ac:dyDescent="0.3">
      <c r="A760" s="31"/>
      <c r="B760">
        <f>COUNTIF(Equipamento_Tunel!$H$2:$H$158,A760)</f>
        <v>0</v>
      </c>
    </row>
    <row r="761" spans="1:2" x14ac:dyDescent="0.3">
      <c r="A761" s="16"/>
      <c r="B761">
        <f>COUNTIF(Equipamento_Tunel!$H$2:$H$158,A761)</f>
        <v>0</v>
      </c>
    </row>
    <row r="762" spans="1:2" x14ac:dyDescent="0.3">
      <c r="A762" s="31"/>
      <c r="B762">
        <f>COUNTIF(Equipamento_Tunel!$H$2:$H$158,A762)</f>
        <v>0</v>
      </c>
    </row>
    <row r="763" spans="1:2" x14ac:dyDescent="0.3">
      <c r="A763" s="16"/>
      <c r="B763">
        <f>COUNTIF(Equipamento_Tunel!$H$2:$H$158,A763)</f>
        <v>0</v>
      </c>
    </row>
    <row r="764" spans="1:2" x14ac:dyDescent="0.3">
      <c r="A764" s="31"/>
      <c r="B764">
        <f>COUNTIF(Equipamento_Tunel!$H$2:$H$158,A764)</f>
        <v>0</v>
      </c>
    </row>
    <row r="765" spans="1:2" x14ac:dyDescent="0.3">
      <c r="A765" s="16"/>
      <c r="B765">
        <f>COUNTIF(Equipamento_Tunel!$H$2:$H$158,A765)</f>
        <v>0</v>
      </c>
    </row>
    <row r="766" spans="1:2" x14ac:dyDescent="0.3">
      <c r="A766" s="31"/>
      <c r="B766">
        <f>COUNTIF(Equipamento_Tunel!$H$2:$H$158,A766)</f>
        <v>0</v>
      </c>
    </row>
    <row r="767" spans="1:2" x14ac:dyDescent="0.3">
      <c r="A767" s="16"/>
      <c r="B767">
        <f>COUNTIF(Equipamento_Tunel!$H$2:$H$158,A767)</f>
        <v>0</v>
      </c>
    </row>
    <row r="768" spans="1:2" x14ac:dyDescent="0.3">
      <c r="A768" s="31"/>
      <c r="B768">
        <f>COUNTIF(Equipamento_Tunel!$H$2:$H$158,A768)</f>
        <v>0</v>
      </c>
    </row>
    <row r="769" spans="1:2" x14ac:dyDescent="0.3">
      <c r="A769" s="16"/>
      <c r="B769">
        <f>COUNTIF(Equipamento_Tunel!$H$2:$H$158,A769)</f>
        <v>0</v>
      </c>
    </row>
    <row r="770" spans="1:2" x14ac:dyDescent="0.3">
      <c r="A770" s="31"/>
      <c r="B770">
        <f>COUNTIF(Equipamento_Tunel!$H$2:$H$158,A770)</f>
        <v>0</v>
      </c>
    </row>
    <row r="771" spans="1:2" x14ac:dyDescent="0.3">
      <c r="A771" s="16"/>
      <c r="B771">
        <f>COUNTIF(Equipamento_Tunel!$H$2:$H$158,A771)</f>
        <v>0</v>
      </c>
    </row>
    <row r="772" spans="1:2" x14ac:dyDescent="0.3">
      <c r="A772" s="31"/>
      <c r="B772">
        <f>COUNTIF(Equipamento_Tunel!$H$2:$H$158,A772)</f>
        <v>0</v>
      </c>
    </row>
    <row r="773" spans="1:2" x14ac:dyDescent="0.3">
      <c r="A773" s="16"/>
      <c r="B773">
        <f>COUNTIF(Equipamento_Tunel!$H$2:$H$158,A773)</f>
        <v>0</v>
      </c>
    </row>
    <row r="774" spans="1:2" x14ac:dyDescent="0.3">
      <c r="A774" s="31"/>
      <c r="B774">
        <f>COUNTIF(Equipamento_Tunel!$H$2:$H$158,A774)</f>
        <v>0</v>
      </c>
    </row>
    <row r="775" spans="1:2" x14ac:dyDescent="0.3">
      <c r="A775" s="16"/>
      <c r="B775">
        <f>COUNTIF(Equipamento_Tunel!$H$2:$H$158,A775)</f>
        <v>0</v>
      </c>
    </row>
    <row r="776" spans="1:2" x14ac:dyDescent="0.3">
      <c r="A776" s="31"/>
      <c r="B776">
        <f>COUNTIF(Equipamento_Tunel!$H$2:$H$158,A776)</f>
        <v>0</v>
      </c>
    </row>
    <row r="777" spans="1:2" x14ac:dyDescent="0.3">
      <c r="A777" s="16"/>
      <c r="B777">
        <f>COUNTIF(Equipamento_Tunel!$H$2:$H$158,A777)</f>
        <v>0</v>
      </c>
    </row>
    <row r="778" spans="1:2" x14ac:dyDescent="0.3">
      <c r="A778" s="31"/>
      <c r="B778">
        <f>COUNTIF(Equipamento_Tunel!$H$2:$H$158,A778)</f>
        <v>0</v>
      </c>
    </row>
    <row r="779" spans="1:2" x14ac:dyDescent="0.3">
      <c r="A779" s="16"/>
      <c r="B779">
        <f>COUNTIF(Equipamento_Tunel!$H$2:$H$158,A779)</f>
        <v>0</v>
      </c>
    </row>
    <row r="780" spans="1:2" x14ac:dyDescent="0.3">
      <c r="A780" s="31"/>
      <c r="B780">
        <f>COUNTIF(Equipamento_Tunel!$H$2:$H$158,A780)</f>
        <v>0</v>
      </c>
    </row>
    <row r="781" spans="1:2" x14ac:dyDescent="0.3">
      <c r="A781" s="16"/>
      <c r="B781">
        <f>COUNTIF(Equipamento_Tunel!$H$2:$H$158,A781)</f>
        <v>0</v>
      </c>
    </row>
    <row r="782" spans="1:2" x14ac:dyDescent="0.3">
      <c r="A782" s="31"/>
      <c r="B782">
        <f>COUNTIF(Equipamento_Tunel!$H$2:$H$158,A782)</f>
        <v>0</v>
      </c>
    </row>
    <row r="783" spans="1:2" x14ac:dyDescent="0.3">
      <c r="A783" s="16"/>
      <c r="B783">
        <f>COUNTIF(Equipamento_Tunel!$H$2:$H$158,A783)</f>
        <v>0</v>
      </c>
    </row>
    <row r="784" spans="1:2" x14ac:dyDescent="0.3">
      <c r="A784" s="31"/>
      <c r="B784">
        <f>COUNTIF(Equipamento_Tunel!$H$2:$H$158,A784)</f>
        <v>0</v>
      </c>
    </row>
    <row r="785" spans="1:2" x14ac:dyDescent="0.3">
      <c r="A785" s="16"/>
      <c r="B785">
        <f>COUNTIF(Equipamento_Tunel!$H$2:$H$158,A785)</f>
        <v>0</v>
      </c>
    </row>
    <row r="786" spans="1:2" x14ac:dyDescent="0.3">
      <c r="A786" s="31"/>
      <c r="B786">
        <f>COUNTIF(Equipamento_Tunel!$H$2:$H$158,A786)</f>
        <v>0</v>
      </c>
    </row>
    <row r="787" spans="1:2" x14ac:dyDescent="0.3">
      <c r="A787" s="16"/>
      <c r="B787">
        <f>COUNTIF(Equipamento_Tunel!$H$2:$H$158,A787)</f>
        <v>0</v>
      </c>
    </row>
    <row r="788" spans="1:2" x14ac:dyDescent="0.3">
      <c r="A788" s="31"/>
      <c r="B788">
        <f>COUNTIF(Equipamento_Tunel!$H$2:$H$158,A788)</f>
        <v>0</v>
      </c>
    </row>
    <row r="789" spans="1:2" x14ac:dyDescent="0.3">
      <c r="A789" s="16"/>
      <c r="B789">
        <f>COUNTIF(Equipamento_Tunel!$H$2:$H$158,A789)</f>
        <v>0</v>
      </c>
    </row>
    <row r="790" spans="1:2" x14ac:dyDescent="0.3">
      <c r="A790" s="31"/>
      <c r="B790">
        <f>COUNTIF(Equipamento_Tunel!$H$2:$H$158,A790)</f>
        <v>0</v>
      </c>
    </row>
    <row r="791" spans="1:2" x14ac:dyDescent="0.3">
      <c r="A791" s="16"/>
      <c r="B791">
        <f>COUNTIF(Equipamento_Tunel!$H$2:$H$158,A791)</f>
        <v>0</v>
      </c>
    </row>
    <row r="792" spans="1:2" x14ac:dyDescent="0.3">
      <c r="A792" s="31"/>
      <c r="B792">
        <f>COUNTIF(Equipamento_Tunel!$H$2:$H$158,A792)</f>
        <v>0</v>
      </c>
    </row>
    <row r="793" spans="1:2" x14ac:dyDescent="0.3">
      <c r="A793" s="16"/>
      <c r="B793">
        <f>COUNTIF(Equipamento_Tunel!$H$2:$H$158,A793)</f>
        <v>0</v>
      </c>
    </row>
    <row r="794" spans="1:2" x14ac:dyDescent="0.3">
      <c r="A794" s="31"/>
      <c r="B794">
        <f>COUNTIF(Equipamento_Tunel!$H$2:$H$158,A794)</f>
        <v>0</v>
      </c>
    </row>
    <row r="795" spans="1:2" x14ac:dyDescent="0.3">
      <c r="A795" s="16"/>
      <c r="B795">
        <f>COUNTIF(Equipamento_Tunel!$H$2:$H$158,A795)</f>
        <v>0</v>
      </c>
    </row>
    <row r="796" spans="1:2" x14ac:dyDescent="0.3">
      <c r="A796" s="31"/>
      <c r="B796">
        <f>COUNTIF(Equipamento_Tunel!$H$2:$H$158,A796)</f>
        <v>0</v>
      </c>
    </row>
    <row r="797" spans="1:2" x14ac:dyDescent="0.3">
      <c r="A797" s="16"/>
      <c r="B797">
        <f>COUNTIF(Equipamento_Tunel!$H$2:$H$158,A797)</f>
        <v>0</v>
      </c>
    </row>
    <row r="798" spans="1:2" x14ac:dyDescent="0.3">
      <c r="A798" s="31"/>
      <c r="B798">
        <f>COUNTIF(Equipamento_Tunel!$H$2:$H$158,A798)</f>
        <v>0</v>
      </c>
    </row>
    <row r="799" spans="1:2" x14ac:dyDescent="0.3">
      <c r="A799" s="16"/>
      <c r="B799">
        <f>COUNTIF(Equipamento_Tunel!$H$2:$H$158,A799)</f>
        <v>0</v>
      </c>
    </row>
    <row r="800" spans="1:2" x14ac:dyDescent="0.3">
      <c r="A800" s="31"/>
      <c r="B800">
        <f>COUNTIF(Equipamento_Tunel!$H$2:$H$158,A800)</f>
        <v>0</v>
      </c>
    </row>
    <row r="801" spans="1:2" x14ac:dyDescent="0.3">
      <c r="A801" s="16"/>
      <c r="B801">
        <f>COUNTIF(Equipamento_Tunel!$H$2:$H$158,A801)</f>
        <v>0</v>
      </c>
    </row>
    <row r="802" spans="1:2" x14ac:dyDescent="0.3">
      <c r="A802" s="31"/>
      <c r="B802">
        <f>COUNTIF(Equipamento_Tunel!$H$2:$H$158,A802)</f>
        <v>0</v>
      </c>
    </row>
    <row r="803" spans="1:2" x14ac:dyDescent="0.3">
      <c r="A803" s="16"/>
      <c r="B803">
        <f>COUNTIF(Equipamento_Tunel!$H$2:$H$158,A803)</f>
        <v>0</v>
      </c>
    </row>
    <row r="804" spans="1:2" x14ac:dyDescent="0.3">
      <c r="A804" s="31"/>
      <c r="B804">
        <f>COUNTIF(Equipamento_Tunel!$H$2:$H$158,A804)</f>
        <v>0</v>
      </c>
    </row>
    <row r="805" spans="1:2" x14ac:dyDescent="0.3">
      <c r="A805" s="16"/>
      <c r="B805">
        <f>COUNTIF(Equipamento_Tunel!$H$2:$H$158,A805)</f>
        <v>0</v>
      </c>
    </row>
    <row r="806" spans="1:2" x14ac:dyDescent="0.3">
      <c r="A806" s="31"/>
      <c r="B806">
        <f>COUNTIF(Equipamento_Tunel!$H$2:$H$158,A806)</f>
        <v>0</v>
      </c>
    </row>
    <row r="807" spans="1:2" x14ac:dyDescent="0.3">
      <c r="A807" s="16"/>
      <c r="B807">
        <f>COUNTIF(Equipamento_Tunel!$H$2:$H$158,A807)</f>
        <v>0</v>
      </c>
    </row>
    <row r="808" spans="1:2" x14ac:dyDescent="0.3">
      <c r="A808" s="31"/>
      <c r="B808">
        <f>COUNTIF(Equipamento_Tunel!$H$2:$H$158,A808)</f>
        <v>0</v>
      </c>
    </row>
    <row r="809" spans="1:2" x14ac:dyDescent="0.3">
      <c r="A809" s="16"/>
      <c r="B809">
        <f>COUNTIF(Equipamento_Tunel!$H$2:$H$158,A809)</f>
        <v>0</v>
      </c>
    </row>
    <row r="810" spans="1:2" x14ac:dyDescent="0.3">
      <c r="A810" s="31"/>
      <c r="B810">
        <f>COUNTIF(Equipamento_Tunel!$H$2:$H$158,A810)</f>
        <v>0</v>
      </c>
    </row>
    <row r="811" spans="1:2" x14ac:dyDescent="0.3">
      <c r="A811" s="16"/>
      <c r="B811">
        <f>COUNTIF(Equipamento_Tunel!$H$2:$H$158,A811)</f>
        <v>0</v>
      </c>
    </row>
    <row r="812" spans="1:2" x14ac:dyDescent="0.3">
      <c r="A812" s="31"/>
      <c r="B812">
        <f>COUNTIF(Equipamento_Tunel!$H$2:$H$158,A812)</f>
        <v>0</v>
      </c>
    </row>
    <row r="813" spans="1:2" x14ac:dyDescent="0.3">
      <c r="A813" s="16"/>
      <c r="B813">
        <f>COUNTIF(Equipamento_Tunel!$H$2:$H$158,A813)</f>
        <v>0</v>
      </c>
    </row>
    <row r="814" spans="1:2" x14ac:dyDescent="0.3">
      <c r="A814" s="31"/>
      <c r="B814">
        <f>COUNTIF(Equipamento_Tunel!$H$2:$H$158,A814)</f>
        <v>0</v>
      </c>
    </row>
    <row r="815" spans="1:2" x14ac:dyDescent="0.3">
      <c r="A815" s="16"/>
      <c r="B815">
        <f>COUNTIF(Equipamento_Tunel!$H$2:$H$158,A815)</f>
        <v>0</v>
      </c>
    </row>
    <row r="816" spans="1:2" x14ac:dyDescent="0.3">
      <c r="A816" s="31"/>
      <c r="B816">
        <f>COUNTIF(Equipamento_Tunel!$H$2:$H$158,A816)</f>
        <v>0</v>
      </c>
    </row>
    <row r="817" spans="1:2" x14ac:dyDescent="0.3">
      <c r="A817" s="16"/>
      <c r="B817">
        <f>COUNTIF(Equipamento_Tunel!$H$2:$H$158,A817)</f>
        <v>0</v>
      </c>
    </row>
    <row r="818" spans="1:2" x14ac:dyDescent="0.3">
      <c r="A818" s="31"/>
      <c r="B818">
        <f>COUNTIF(Equipamento_Tunel!$H$2:$H$158,A818)</f>
        <v>0</v>
      </c>
    </row>
    <row r="819" spans="1:2" x14ac:dyDescent="0.3">
      <c r="A819" s="16"/>
      <c r="B819">
        <f>COUNTIF(Equipamento_Tunel!$H$2:$H$158,A819)</f>
        <v>0</v>
      </c>
    </row>
    <row r="820" spans="1:2" x14ac:dyDescent="0.3">
      <c r="A820" s="31"/>
      <c r="B820">
        <f>COUNTIF(Equipamento_Tunel!$H$2:$H$158,A820)</f>
        <v>0</v>
      </c>
    </row>
    <row r="821" spans="1:2" x14ac:dyDescent="0.3">
      <c r="A821" s="16"/>
      <c r="B821">
        <f>COUNTIF(Equipamento_Tunel!$H$2:$H$158,A821)</f>
        <v>0</v>
      </c>
    </row>
    <row r="822" spans="1:2" x14ac:dyDescent="0.3">
      <c r="A822" s="31"/>
      <c r="B822">
        <f>COUNTIF(Equipamento_Tunel!$H$2:$H$158,A822)</f>
        <v>0</v>
      </c>
    </row>
    <row r="823" spans="1:2" x14ac:dyDescent="0.3">
      <c r="A823" s="16"/>
      <c r="B823">
        <f>COUNTIF(Equipamento_Tunel!$H$2:$H$158,A823)</f>
        <v>0</v>
      </c>
    </row>
    <row r="824" spans="1:2" x14ac:dyDescent="0.3">
      <c r="A824" s="31"/>
      <c r="B824">
        <f>COUNTIF(Equipamento_Tunel!$H$2:$H$158,A824)</f>
        <v>0</v>
      </c>
    </row>
    <row r="825" spans="1:2" x14ac:dyDescent="0.3">
      <c r="A825" s="16"/>
      <c r="B825">
        <f>COUNTIF(Equipamento_Tunel!$H$2:$H$158,A825)</f>
        <v>0</v>
      </c>
    </row>
    <row r="826" spans="1:2" x14ac:dyDescent="0.3">
      <c r="A826" s="31"/>
      <c r="B826">
        <f>COUNTIF(Equipamento_Tunel!$H$2:$H$158,A826)</f>
        <v>0</v>
      </c>
    </row>
    <row r="827" spans="1:2" x14ac:dyDescent="0.3">
      <c r="A827" s="16"/>
      <c r="B827">
        <f>COUNTIF(Equipamento_Tunel!$H$2:$H$158,A827)</f>
        <v>0</v>
      </c>
    </row>
    <row r="828" spans="1:2" x14ac:dyDescent="0.3">
      <c r="A828" s="31"/>
      <c r="B828">
        <f>COUNTIF(Equipamento_Tunel!$H$2:$H$158,A828)</f>
        <v>0</v>
      </c>
    </row>
    <row r="829" spans="1:2" x14ac:dyDescent="0.3">
      <c r="A829" s="16"/>
      <c r="B829">
        <f>COUNTIF(Equipamento_Tunel!$H$2:$H$158,A829)</f>
        <v>0</v>
      </c>
    </row>
    <row r="830" spans="1:2" x14ac:dyDescent="0.3">
      <c r="A830" s="31"/>
      <c r="B830">
        <f>COUNTIF(Equipamento_Tunel!$H$2:$H$158,A830)</f>
        <v>0</v>
      </c>
    </row>
    <row r="831" spans="1:2" x14ac:dyDescent="0.3">
      <c r="A831" s="16"/>
      <c r="B831">
        <f>COUNTIF(Equipamento_Tunel!$H$2:$H$158,A831)</f>
        <v>0</v>
      </c>
    </row>
    <row r="832" spans="1:2" x14ac:dyDescent="0.3">
      <c r="A832" s="31"/>
      <c r="B832">
        <f>COUNTIF(Equipamento_Tunel!$H$2:$H$158,A832)</f>
        <v>0</v>
      </c>
    </row>
    <row r="833" spans="1:2" x14ac:dyDescent="0.3">
      <c r="A833" s="16"/>
      <c r="B833">
        <f>COUNTIF(Equipamento_Tunel!$H$2:$H$158,A833)</f>
        <v>0</v>
      </c>
    </row>
    <row r="834" spans="1:2" x14ac:dyDescent="0.3">
      <c r="A834" s="31"/>
      <c r="B834">
        <f>COUNTIF(Equipamento_Tunel!$H$2:$H$158,A834)</f>
        <v>0</v>
      </c>
    </row>
    <row r="835" spans="1:2" x14ac:dyDescent="0.3">
      <c r="A835" s="16"/>
      <c r="B835">
        <f>COUNTIF(Equipamento_Tunel!$H$2:$H$158,A835)</f>
        <v>0</v>
      </c>
    </row>
    <row r="836" spans="1:2" x14ac:dyDescent="0.3">
      <c r="A836" s="31"/>
      <c r="B836">
        <f>COUNTIF(Equipamento_Tunel!$H$2:$H$158,A836)</f>
        <v>0</v>
      </c>
    </row>
    <row r="837" spans="1:2" x14ac:dyDescent="0.3">
      <c r="A837" s="16"/>
      <c r="B837">
        <f>COUNTIF(Equipamento_Tunel!$H$2:$H$158,A837)</f>
        <v>0</v>
      </c>
    </row>
    <row r="838" spans="1:2" x14ac:dyDescent="0.3">
      <c r="A838" s="31"/>
      <c r="B838">
        <f>COUNTIF(Equipamento_Tunel!$H$2:$H$158,A838)</f>
        <v>0</v>
      </c>
    </row>
    <row r="839" spans="1:2" x14ac:dyDescent="0.3">
      <c r="A839" s="16"/>
      <c r="B839">
        <f>COUNTIF(Equipamento_Tunel!$H$2:$H$158,A839)</f>
        <v>0</v>
      </c>
    </row>
    <row r="840" spans="1:2" x14ac:dyDescent="0.3">
      <c r="A840" s="31"/>
      <c r="B840">
        <f>COUNTIF(Equipamento_Tunel!$H$2:$H$158,A840)</f>
        <v>0</v>
      </c>
    </row>
    <row r="841" spans="1:2" x14ac:dyDescent="0.3">
      <c r="A841" s="16"/>
      <c r="B841">
        <f>COUNTIF(Equipamento_Tunel!$H$2:$H$158,A841)</f>
        <v>0</v>
      </c>
    </row>
    <row r="842" spans="1:2" x14ac:dyDescent="0.3">
      <c r="A842" s="31"/>
      <c r="B842">
        <f>COUNTIF(Equipamento_Tunel!$H$2:$H$158,A842)</f>
        <v>0</v>
      </c>
    </row>
    <row r="843" spans="1:2" x14ac:dyDescent="0.3">
      <c r="A843" s="16"/>
      <c r="B843">
        <f>COUNTIF(Equipamento_Tunel!$H$2:$H$158,A843)</f>
        <v>0</v>
      </c>
    </row>
    <row r="844" spans="1:2" x14ac:dyDescent="0.3">
      <c r="A844" s="31"/>
      <c r="B844">
        <f>COUNTIF(Equipamento_Tunel!$H$2:$H$158,A844)</f>
        <v>0</v>
      </c>
    </row>
    <row r="845" spans="1:2" x14ac:dyDescent="0.3">
      <c r="A845" s="16"/>
      <c r="B845">
        <f>COUNTIF(Equipamento_Tunel!$H$2:$H$158,A845)</f>
        <v>0</v>
      </c>
    </row>
    <row r="846" spans="1:2" x14ac:dyDescent="0.3">
      <c r="A846" s="31"/>
      <c r="B846">
        <f>COUNTIF(Equipamento_Tunel!$H$2:$H$158,A846)</f>
        <v>0</v>
      </c>
    </row>
    <row r="847" spans="1:2" x14ac:dyDescent="0.3">
      <c r="A847" s="16"/>
      <c r="B847">
        <f>COUNTIF(Equipamento_Tunel!$H$2:$H$158,A847)</f>
        <v>0</v>
      </c>
    </row>
    <row r="848" spans="1:2" x14ac:dyDescent="0.3">
      <c r="A848" s="31"/>
      <c r="B848">
        <f>COUNTIF(Equipamento_Tunel!$H$2:$H$158,A848)</f>
        <v>0</v>
      </c>
    </row>
    <row r="849" spans="1:2" x14ac:dyDescent="0.3">
      <c r="A849" s="16"/>
      <c r="B849">
        <f>COUNTIF(Equipamento_Tunel!$H$2:$H$158,A849)</f>
        <v>0</v>
      </c>
    </row>
    <row r="850" spans="1:2" x14ac:dyDescent="0.3">
      <c r="A850" s="31"/>
      <c r="B850">
        <f>COUNTIF(Equipamento_Tunel!$H$2:$H$158,A850)</f>
        <v>0</v>
      </c>
    </row>
    <row r="851" spans="1:2" x14ac:dyDescent="0.3">
      <c r="A851" s="16"/>
      <c r="B851">
        <f>COUNTIF(Equipamento_Tunel!$H$2:$H$158,A851)</f>
        <v>0</v>
      </c>
    </row>
    <row r="852" spans="1:2" x14ac:dyDescent="0.3">
      <c r="A852" s="31"/>
      <c r="B852">
        <f>COUNTIF(Equipamento_Tunel!$H$2:$H$158,A852)</f>
        <v>0</v>
      </c>
    </row>
    <row r="853" spans="1:2" x14ac:dyDescent="0.3">
      <c r="A853" s="16"/>
      <c r="B853">
        <f>COUNTIF(Equipamento_Tunel!$H$2:$H$158,A853)</f>
        <v>0</v>
      </c>
    </row>
    <row r="854" spans="1:2" x14ac:dyDescent="0.3">
      <c r="A854" s="31"/>
      <c r="B854">
        <f>COUNTIF(Equipamento_Tunel!$H$2:$H$158,A854)</f>
        <v>0</v>
      </c>
    </row>
    <row r="855" spans="1:2" x14ac:dyDescent="0.3">
      <c r="A855" s="16"/>
      <c r="B855">
        <f>COUNTIF(Equipamento_Tunel!$H$2:$H$158,A855)</f>
        <v>0</v>
      </c>
    </row>
    <row r="856" spans="1:2" x14ac:dyDescent="0.3">
      <c r="A856" s="31"/>
      <c r="B856">
        <f>COUNTIF(Equipamento_Tunel!$H$2:$H$158,A856)</f>
        <v>0</v>
      </c>
    </row>
    <row r="857" spans="1:2" x14ac:dyDescent="0.3">
      <c r="A857" s="16"/>
      <c r="B857">
        <f>COUNTIF(Equipamento_Tunel!$H$2:$H$158,A857)</f>
        <v>0</v>
      </c>
    </row>
    <row r="858" spans="1:2" x14ac:dyDescent="0.3">
      <c r="A858" s="31"/>
      <c r="B858">
        <f>COUNTIF(Equipamento_Tunel!$H$2:$H$158,A858)</f>
        <v>0</v>
      </c>
    </row>
    <row r="859" spans="1:2" x14ac:dyDescent="0.3">
      <c r="A859" s="16"/>
      <c r="B859">
        <f>COUNTIF(Equipamento_Tunel!$H$2:$H$158,A859)</f>
        <v>0</v>
      </c>
    </row>
    <row r="860" spans="1:2" x14ac:dyDescent="0.3">
      <c r="A860" s="31"/>
      <c r="B860">
        <f>COUNTIF(Equipamento_Tunel!$H$2:$H$158,A860)</f>
        <v>0</v>
      </c>
    </row>
    <row r="861" spans="1:2" x14ac:dyDescent="0.3">
      <c r="A861" s="16"/>
      <c r="B861">
        <f>COUNTIF(Equipamento_Tunel!$H$2:$H$158,A861)</f>
        <v>0</v>
      </c>
    </row>
    <row r="862" spans="1:2" x14ac:dyDescent="0.3">
      <c r="A862" s="31"/>
      <c r="B862">
        <f>COUNTIF(Equipamento_Tunel!$H$2:$H$158,A862)</f>
        <v>0</v>
      </c>
    </row>
    <row r="863" spans="1:2" x14ac:dyDescent="0.3">
      <c r="A863" s="16"/>
      <c r="B863">
        <f>COUNTIF(Equipamento_Tunel!$H$2:$H$158,A863)</f>
        <v>0</v>
      </c>
    </row>
    <row r="864" spans="1:2" x14ac:dyDescent="0.3">
      <c r="A864" s="31"/>
      <c r="B864">
        <f>COUNTIF(Equipamento_Tunel!$H$2:$H$158,A864)</f>
        <v>0</v>
      </c>
    </row>
    <row r="865" spans="1:2" x14ac:dyDescent="0.3">
      <c r="A865" s="16"/>
      <c r="B865">
        <f>COUNTIF(Equipamento_Tunel!$H$2:$H$158,A865)</f>
        <v>0</v>
      </c>
    </row>
    <row r="866" spans="1:2" x14ac:dyDescent="0.3">
      <c r="A866" s="31"/>
      <c r="B866">
        <f>COUNTIF(Equipamento_Tunel!$H$2:$H$158,A866)</f>
        <v>0</v>
      </c>
    </row>
    <row r="867" spans="1:2" x14ac:dyDescent="0.3">
      <c r="A867" s="16"/>
      <c r="B867">
        <f>COUNTIF(Equipamento_Tunel!$H$2:$H$158,A867)</f>
        <v>0</v>
      </c>
    </row>
    <row r="868" spans="1:2" x14ac:dyDescent="0.3">
      <c r="A868" s="31"/>
      <c r="B868">
        <f>COUNTIF(Equipamento_Tunel!$H$2:$H$158,A868)</f>
        <v>0</v>
      </c>
    </row>
    <row r="869" spans="1:2" x14ac:dyDescent="0.3">
      <c r="A869" s="16"/>
      <c r="B869">
        <f>COUNTIF(Equipamento_Tunel!$H$2:$H$158,A869)</f>
        <v>0</v>
      </c>
    </row>
    <row r="870" spans="1:2" x14ac:dyDescent="0.3">
      <c r="A870" s="31"/>
      <c r="B870">
        <f>COUNTIF(Equipamento_Tunel!$H$2:$H$158,A870)</f>
        <v>0</v>
      </c>
    </row>
    <row r="871" spans="1:2" x14ac:dyDescent="0.3">
      <c r="A871" s="16"/>
      <c r="B871">
        <f>COUNTIF(Equipamento_Tunel!$H$2:$H$158,A871)</f>
        <v>0</v>
      </c>
    </row>
    <row r="872" spans="1:2" x14ac:dyDescent="0.3">
      <c r="A872" s="31"/>
      <c r="B872">
        <f>COUNTIF(Equipamento_Tunel!$H$2:$H$158,A872)</f>
        <v>0</v>
      </c>
    </row>
    <row r="873" spans="1:2" x14ac:dyDescent="0.3">
      <c r="A873" s="16"/>
      <c r="B873">
        <f>COUNTIF(Equipamento_Tunel!$H$2:$H$158,A873)</f>
        <v>0</v>
      </c>
    </row>
    <row r="874" spans="1:2" x14ac:dyDescent="0.3">
      <c r="A874" s="31"/>
      <c r="B874">
        <f>COUNTIF(Equipamento_Tunel!$H$2:$H$158,A874)</f>
        <v>0</v>
      </c>
    </row>
    <row r="875" spans="1:2" x14ac:dyDescent="0.3">
      <c r="A875" s="16"/>
      <c r="B875">
        <f>COUNTIF(Equipamento_Tunel!$H$2:$H$158,A875)</f>
        <v>0</v>
      </c>
    </row>
    <row r="876" spans="1:2" x14ac:dyDescent="0.3">
      <c r="A876" s="31"/>
      <c r="B876">
        <f>COUNTIF(Equipamento_Tunel!$H$2:$H$158,A876)</f>
        <v>0</v>
      </c>
    </row>
    <row r="877" spans="1:2" x14ac:dyDescent="0.3">
      <c r="A877" s="16"/>
      <c r="B877">
        <f>COUNTIF(Equipamento_Tunel!$H$2:$H$158,A877)</f>
        <v>0</v>
      </c>
    </row>
    <row r="878" spans="1:2" x14ac:dyDescent="0.3">
      <c r="A878" s="31"/>
      <c r="B878">
        <f>COUNTIF(Equipamento_Tunel!$H$2:$H$158,A878)</f>
        <v>0</v>
      </c>
    </row>
    <row r="879" spans="1:2" x14ac:dyDescent="0.3">
      <c r="A879" s="16"/>
      <c r="B879">
        <f>COUNTIF(Equipamento_Tunel!$H$2:$H$158,A879)</f>
        <v>0</v>
      </c>
    </row>
    <row r="880" spans="1:2" x14ac:dyDescent="0.3">
      <c r="A880" s="31"/>
      <c r="B880">
        <f>COUNTIF(Equipamento_Tunel!$H$2:$H$158,A880)</f>
        <v>0</v>
      </c>
    </row>
    <row r="881" spans="1:2" x14ac:dyDescent="0.3">
      <c r="A881" s="16"/>
      <c r="B881">
        <f>COUNTIF(Equipamento_Tunel!$H$2:$H$158,A881)</f>
        <v>0</v>
      </c>
    </row>
    <row r="882" spans="1:2" x14ac:dyDescent="0.3">
      <c r="A882" s="31"/>
      <c r="B882">
        <f>COUNTIF(Equipamento_Tunel!$H$2:$H$158,A882)</f>
        <v>0</v>
      </c>
    </row>
    <row r="883" spans="1:2" x14ac:dyDescent="0.3">
      <c r="A883" s="16"/>
      <c r="B883">
        <f>COUNTIF(Equipamento_Tunel!$H$2:$H$158,A883)</f>
        <v>0</v>
      </c>
    </row>
    <row r="884" spans="1:2" x14ac:dyDescent="0.3">
      <c r="A884" s="31"/>
      <c r="B884">
        <f>COUNTIF(Equipamento_Tunel!$H$2:$H$158,A884)</f>
        <v>0</v>
      </c>
    </row>
    <row r="885" spans="1:2" x14ac:dyDescent="0.3">
      <c r="A885" s="16"/>
      <c r="B885">
        <f>COUNTIF(Equipamento_Tunel!$H$2:$H$158,A885)</f>
        <v>0</v>
      </c>
    </row>
    <row r="886" spans="1:2" x14ac:dyDescent="0.3">
      <c r="A886" s="31"/>
      <c r="B886">
        <f>COUNTIF(Equipamento_Tunel!$H$2:$H$158,A886)</f>
        <v>0</v>
      </c>
    </row>
    <row r="887" spans="1:2" x14ac:dyDescent="0.3">
      <c r="A887" s="16"/>
      <c r="B887">
        <f>COUNTIF(Equipamento_Tunel!$H$2:$H$158,A887)</f>
        <v>0</v>
      </c>
    </row>
    <row r="888" spans="1:2" x14ac:dyDescent="0.3">
      <c r="A888" s="31"/>
      <c r="B888">
        <f>COUNTIF(Equipamento_Tunel!$H$2:$H$158,A888)</f>
        <v>0</v>
      </c>
    </row>
    <row r="889" spans="1:2" x14ac:dyDescent="0.3">
      <c r="A889" s="16"/>
      <c r="B889">
        <f>COUNTIF(Equipamento_Tunel!$H$2:$H$158,A889)</f>
        <v>0</v>
      </c>
    </row>
    <row r="890" spans="1:2" x14ac:dyDescent="0.3">
      <c r="A890" s="31"/>
      <c r="B890">
        <f>COUNTIF(Equipamento_Tunel!$H$2:$H$158,A890)</f>
        <v>0</v>
      </c>
    </row>
    <row r="891" spans="1:2" x14ac:dyDescent="0.3">
      <c r="A891" s="16"/>
      <c r="B891">
        <f>COUNTIF(Equipamento_Tunel!$H$2:$H$158,A891)</f>
        <v>0</v>
      </c>
    </row>
    <row r="892" spans="1:2" x14ac:dyDescent="0.3">
      <c r="A892" s="31"/>
      <c r="B892">
        <f>COUNTIF(Equipamento_Tunel!$H$2:$H$158,A892)</f>
        <v>0</v>
      </c>
    </row>
    <row r="893" spans="1:2" x14ac:dyDescent="0.3">
      <c r="A893" s="16"/>
      <c r="B893">
        <f>COUNTIF(Equipamento_Tunel!$H$2:$H$158,A893)</f>
        <v>0</v>
      </c>
    </row>
    <row r="894" spans="1:2" x14ac:dyDescent="0.3">
      <c r="A894" s="31"/>
      <c r="B894">
        <f>COUNTIF(Equipamento_Tunel!$H$2:$H$158,A894)</f>
        <v>0</v>
      </c>
    </row>
    <row r="895" spans="1:2" x14ac:dyDescent="0.3">
      <c r="A895" s="16"/>
      <c r="B895">
        <f>COUNTIF(Equipamento_Tunel!$H$2:$H$158,A895)</f>
        <v>0</v>
      </c>
    </row>
    <row r="896" spans="1:2" x14ac:dyDescent="0.3">
      <c r="A896" s="31"/>
      <c r="B896">
        <f>COUNTIF(Equipamento_Tunel!$H$2:$H$158,A896)</f>
        <v>0</v>
      </c>
    </row>
    <row r="897" spans="1:2" x14ac:dyDescent="0.3">
      <c r="A897" s="16"/>
      <c r="B897">
        <f>COUNTIF(Equipamento_Tunel!$H$2:$H$158,A897)</f>
        <v>0</v>
      </c>
    </row>
    <row r="898" spans="1:2" x14ac:dyDescent="0.3">
      <c r="A898" s="31"/>
      <c r="B898">
        <f>COUNTIF(Equipamento_Tunel!$H$2:$H$158,A898)</f>
        <v>0</v>
      </c>
    </row>
    <row r="899" spans="1:2" x14ac:dyDescent="0.3">
      <c r="A899" s="16"/>
      <c r="B899">
        <f>COUNTIF(Equipamento_Tunel!$H$2:$H$158,A899)</f>
        <v>0</v>
      </c>
    </row>
    <row r="900" spans="1:2" x14ac:dyDescent="0.3">
      <c r="A900" s="31"/>
      <c r="B900">
        <f>COUNTIF(Equipamento_Tunel!$H$2:$H$158,A900)</f>
        <v>0</v>
      </c>
    </row>
    <row r="901" spans="1:2" x14ac:dyDescent="0.3">
      <c r="A901" s="16"/>
      <c r="B901">
        <f>COUNTIF(Equipamento_Tunel!$H$2:$H$158,A901)</f>
        <v>0</v>
      </c>
    </row>
    <row r="902" spans="1:2" x14ac:dyDescent="0.3">
      <c r="A902" s="31"/>
      <c r="B902">
        <f>COUNTIF(Equipamento_Tunel!$H$2:$H$158,A902)</f>
        <v>0</v>
      </c>
    </row>
    <row r="903" spans="1:2" x14ac:dyDescent="0.3">
      <c r="A903" s="16"/>
      <c r="B903">
        <f>COUNTIF(Equipamento_Tunel!$H$2:$H$158,A903)</f>
        <v>0</v>
      </c>
    </row>
    <row r="904" spans="1:2" x14ac:dyDescent="0.3">
      <c r="A904" s="31"/>
      <c r="B904">
        <f>COUNTIF(Equipamento_Tunel!$H$2:$H$158,A904)</f>
        <v>0</v>
      </c>
    </row>
    <row r="905" spans="1:2" x14ac:dyDescent="0.3">
      <c r="A905" s="16"/>
      <c r="B905">
        <f>COUNTIF(Equipamento_Tunel!$H$2:$H$158,A905)</f>
        <v>0</v>
      </c>
    </row>
    <row r="906" spans="1:2" x14ac:dyDescent="0.3">
      <c r="A906" s="31"/>
      <c r="B906">
        <f>COUNTIF(Equipamento_Tunel!$H$2:$H$158,A906)</f>
        <v>0</v>
      </c>
    </row>
    <row r="907" spans="1:2" x14ac:dyDescent="0.3">
      <c r="A907" s="16"/>
      <c r="B907">
        <f>COUNTIF(Equipamento_Tunel!$H$2:$H$158,A907)</f>
        <v>0</v>
      </c>
    </row>
    <row r="908" spans="1:2" x14ac:dyDescent="0.3">
      <c r="A908" s="31"/>
      <c r="B908">
        <f>COUNTIF(Equipamento_Tunel!$H$2:$H$158,A908)</f>
        <v>0</v>
      </c>
    </row>
    <row r="909" spans="1:2" x14ac:dyDescent="0.3">
      <c r="A909" s="16"/>
      <c r="B909">
        <f>COUNTIF(Equipamento_Tunel!$H$2:$H$158,A909)</f>
        <v>0</v>
      </c>
    </row>
    <row r="910" spans="1:2" x14ac:dyDescent="0.3">
      <c r="A910" s="31"/>
      <c r="B910">
        <f>COUNTIF(Equipamento_Tunel!$H$2:$H$158,A910)</f>
        <v>0</v>
      </c>
    </row>
    <row r="911" spans="1:2" x14ac:dyDescent="0.3">
      <c r="A911" s="16"/>
      <c r="B911">
        <f>COUNTIF(Equipamento_Tunel!$H$2:$H$158,A911)</f>
        <v>0</v>
      </c>
    </row>
    <row r="912" spans="1:2" x14ac:dyDescent="0.3">
      <c r="A912" s="31"/>
      <c r="B912">
        <f>COUNTIF(Equipamento_Tunel!$H$2:$H$158,A912)</f>
        <v>0</v>
      </c>
    </row>
    <row r="913" spans="1:2" x14ac:dyDescent="0.3">
      <c r="A913" s="16"/>
      <c r="B913">
        <f>COUNTIF(Equipamento_Tunel!$H$2:$H$158,A913)</f>
        <v>0</v>
      </c>
    </row>
    <row r="914" spans="1:2" x14ac:dyDescent="0.3">
      <c r="A914" s="31"/>
      <c r="B914">
        <f>COUNTIF(Equipamento_Tunel!$H$2:$H$158,A914)</f>
        <v>0</v>
      </c>
    </row>
    <row r="915" spans="1:2" x14ac:dyDescent="0.3">
      <c r="A915" s="16"/>
      <c r="B915">
        <f>COUNTIF(Equipamento_Tunel!$H$2:$H$158,A915)</f>
        <v>0</v>
      </c>
    </row>
    <row r="916" spans="1:2" x14ac:dyDescent="0.3">
      <c r="A916" s="31"/>
      <c r="B916">
        <f>COUNTIF(Equipamento_Tunel!$H$2:$H$158,A916)</f>
        <v>0</v>
      </c>
    </row>
    <row r="917" spans="1:2" x14ac:dyDescent="0.3">
      <c r="A917" s="16"/>
      <c r="B917">
        <f>COUNTIF(Equipamento_Tunel!$H$2:$H$158,A917)</f>
        <v>0</v>
      </c>
    </row>
    <row r="918" spans="1:2" x14ac:dyDescent="0.3">
      <c r="A918" s="31"/>
      <c r="B918">
        <f>COUNTIF(Equipamento_Tunel!$H$2:$H$158,A918)</f>
        <v>0</v>
      </c>
    </row>
    <row r="919" spans="1:2" x14ac:dyDescent="0.3">
      <c r="A919" s="16"/>
      <c r="B919">
        <f>COUNTIF(Equipamento_Tunel!$H$2:$H$158,A919)</f>
        <v>0</v>
      </c>
    </row>
    <row r="920" spans="1:2" x14ac:dyDescent="0.3">
      <c r="A920" s="31"/>
      <c r="B920">
        <f>COUNTIF(Equipamento_Tunel!$H$2:$H$158,A920)</f>
        <v>0</v>
      </c>
    </row>
    <row r="921" spans="1:2" x14ac:dyDescent="0.3">
      <c r="A921" s="16"/>
      <c r="B921">
        <f>COUNTIF(Equipamento_Tunel!$H$2:$H$158,A921)</f>
        <v>0</v>
      </c>
    </row>
    <row r="922" spans="1:2" x14ac:dyDescent="0.3">
      <c r="A922" s="31"/>
      <c r="B922">
        <f>COUNTIF(Equipamento_Tunel!$H$2:$H$158,A922)</f>
        <v>0</v>
      </c>
    </row>
    <row r="923" spans="1:2" x14ac:dyDescent="0.3">
      <c r="A923" s="16"/>
      <c r="B923">
        <f>COUNTIF(Equipamento_Tunel!$H$2:$H$158,A923)</f>
        <v>0</v>
      </c>
    </row>
    <row r="924" spans="1:2" x14ac:dyDescent="0.3">
      <c r="A924" s="31"/>
      <c r="B924">
        <f>COUNTIF(Equipamento_Tunel!$H$2:$H$158,A924)</f>
        <v>0</v>
      </c>
    </row>
    <row r="925" spans="1:2" x14ac:dyDescent="0.3">
      <c r="A925" s="16"/>
      <c r="B925">
        <f>COUNTIF(Equipamento_Tunel!$H$2:$H$158,A925)</f>
        <v>0</v>
      </c>
    </row>
    <row r="926" spans="1:2" x14ac:dyDescent="0.3">
      <c r="A926" s="31"/>
      <c r="B926">
        <f>COUNTIF(Equipamento_Tunel!$H$2:$H$158,A926)</f>
        <v>0</v>
      </c>
    </row>
    <row r="927" spans="1:2" x14ac:dyDescent="0.3">
      <c r="A927" s="16"/>
      <c r="B927">
        <f>COUNTIF(Equipamento_Tunel!$H$2:$H$158,A927)</f>
        <v>0</v>
      </c>
    </row>
    <row r="928" spans="1:2" x14ac:dyDescent="0.3">
      <c r="A928" s="31"/>
      <c r="B928">
        <f>COUNTIF(Equipamento_Tunel!$H$2:$H$158,A928)</f>
        <v>0</v>
      </c>
    </row>
    <row r="929" spans="1:2" x14ac:dyDescent="0.3">
      <c r="A929" s="16"/>
      <c r="B929">
        <f>COUNTIF(Equipamento_Tunel!$H$2:$H$158,A929)</f>
        <v>0</v>
      </c>
    </row>
    <row r="930" spans="1:2" x14ac:dyDescent="0.3">
      <c r="A930" s="31"/>
      <c r="B930">
        <f>COUNTIF(Equipamento_Tunel!$H$2:$H$158,A930)</f>
        <v>0</v>
      </c>
    </row>
    <row r="931" spans="1:2" x14ac:dyDescent="0.3">
      <c r="A931" s="16"/>
      <c r="B931">
        <f>COUNTIF(Equipamento_Tunel!$H$2:$H$158,A931)</f>
        <v>0</v>
      </c>
    </row>
    <row r="932" spans="1:2" x14ac:dyDescent="0.3">
      <c r="A932" s="31"/>
      <c r="B932">
        <f>COUNTIF(Equipamento_Tunel!$H$2:$H$158,A932)</f>
        <v>0</v>
      </c>
    </row>
    <row r="933" spans="1:2" x14ac:dyDescent="0.3">
      <c r="A933" s="16"/>
      <c r="B933">
        <f>COUNTIF(Equipamento_Tunel!$H$2:$H$158,A933)</f>
        <v>0</v>
      </c>
    </row>
    <row r="934" spans="1:2" x14ac:dyDescent="0.3">
      <c r="A934" s="31"/>
      <c r="B934">
        <f>COUNTIF(Equipamento_Tunel!$H$2:$H$158,A934)</f>
        <v>0</v>
      </c>
    </row>
    <row r="935" spans="1:2" x14ac:dyDescent="0.3">
      <c r="A935" s="16"/>
      <c r="B935">
        <f>COUNTIF(Equipamento_Tunel!$H$2:$H$158,A935)</f>
        <v>0</v>
      </c>
    </row>
    <row r="936" spans="1:2" x14ac:dyDescent="0.3">
      <c r="A936" s="31"/>
      <c r="B936">
        <f>COUNTIF(Equipamento_Tunel!$H$2:$H$158,A936)</f>
        <v>0</v>
      </c>
    </row>
    <row r="937" spans="1:2" x14ac:dyDescent="0.3">
      <c r="A937" s="16"/>
      <c r="B937">
        <f>COUNTIF(Equipamento_Tunel!$H$2:$H$158,A937)</f>
        <v>0</v>
      </c>
    </row>
    <row r="938" spans="1:2" x14ac:dyDescent="0.3">
      <c r="A938" s="31"/>
      <c r="B938">
        <f>COUNTIF(Equipamento_Tunel!$H$2:$H$158,A938)</f>
        <v>0</v>
      </c>
    </row>
    <row r="939" spans="1:2" x14ac:dyDescent="0.3">
      <c r="A939" s="16"/>
      <c r="B939">
        <f>COUNTIF(Equipamento_Tunel!$H$2:$H$158,A939)</f>
        <v>0</v>
      </c>
    </row>
    <row r="940" spans="1:2" x14ac:dyDescent="0.3">
      <c r="A940" s="31"/>
      <c r="B940">
        <f>COUNTIF(Equipamento_Tunel!$H$2:$H$158,A940)</f>
        <v>0</v>
      </c>
    </row>
    <row r="941" spans="1:2" x14ac:dyDescent="0.3">
      <c r="A941" s="16"/>
      <c r="B941">
        <f>COUNTIF(Equipamento_Tunel!$H$2:$H$158,A941)</f>
        <v>0</v>
      </c>
    </row>
    <row r="942" spans="1:2" x14ac:dyDescent="0.3">
      <c r="A942" s="31"/>
      <c r="B942">
        <f>COUNTIF(Equipamento_Tunel!$H$2:$H$158,A942)</f>
        <v>0</v>
      </c>
    </row>
    <row r="943" spans="1:2" x14ac:dyDescent="0.3">
      <c r="A943" s="16"/>
      <c r="B943">
        <f>COUNTIF(Equipamento_Tunel!$H$2:$H$158,A943)</f>
        <v>0</v>
      </c>
    </row>
    <row r="944" spans="1:2" x14ac:dyDescent="0.3">
      <c r="A944" s="31"/>
      <c r="B944">
        <f>COUNTIF(Equipamento_Tunel!$H$2:$H$158,A944)</f>
        <v>0</v>
      </c>
    </row>
    <row r="945" spans="1:2" x14ac:dyDescent="0.3">
      <c r="A945" s="16"/>
      <c r="B945">
        <f>COUNTIF(Equipamento_Tunel!$H$2:$H$158,A945)</f>
        <v>0</v>
      </c>
    </row>
    <row r="946" spans="1:2" x14ac:dyDescent="0.3">
      <c r="A946" s="31"/>
      <c r="B946">
        <f>COUNTIF(Equipamento_Tunel!$H$2:$H$158,A946)</f>
        <v>0</v>
      </c>
    </row>
    <row r="947" spans="1:2" x14ac:dyDescent="0.3">
      <c r="A947" s="16"/>
      <c r="B947">
        <f>COUNTIF(Equipamento_Tunel!$H$2:$H$158,A947)</f>
        <v>0</v>
      </c>
    </row>
    <row r="948" spans="1:2" x14ac:dyDescent="0.3">
      <c r="A948" s="31"/>
      <c r="B948">
        <f>COUNTIF(Equipamento_Tunel!$H$2:$H$158,A948)</f>
        <v>0</v>
      </c>
    </row>
    <row r="949" spans="1:2" x14ac:dyDescent="0.3">
      <c r="A949" s="16"/>
      <c r="B949">
        <f>COUNTIF(Equipamento_Tunel!$H$2:$H$158,A949)</f>
        <v>0</v>
      </c>
    </row>
    <row r="950" spans="1:2" x14ac:dyDescent="0.3">
      <c r="A950" s="31"/>
      <c r="B950">
        <f>COUNTIF(Equipamento_Tunel!$H$2:$H$158,A950)</f>
        <v>0</v>
      </c>
    </row>
    <row r="951" spans="1:2" x14ac:dyDescent="0.3">
      <c r="A951" s="16"/>
      <c r="B951">
        <f>COUNTIF(Equipamento_Tunel!$H$2:$H$158,A951)</f>
        <v>0</v>
      </c>
    </row>
    <row r="952" spans="1:2" x14ac:dyDescent="0.3">
      <c r="A952" s="31"/>
      <c r="B952">
        <f>COUNTIF(Equipamento_Tunel!$H$2:$H$158,A952)</f>
        <v>0</v>
      </c>
    </row>
    <row r="953" spans="1:2" x14ac:dyDescent="0.3">
      <c r="A953" s="16"/>
      <c r="B953">
        <f>COUNTIF(Equipamento_Tunel!$H$2:$H$158,A953)</f>
        <v>0</v>
      </c>
    </row>
    <row r="954" spans="1:2" x14ac:dyDescent="0.3">
      <c r="A954" s="31"/>
      <c r="B954">
        <f>COUNTIF(Equipamento_Tunel!$H$2:$H$158,A954)</f>
        <v>0</v>
      </c>
    </row>
    <row r="955" spans="1:2" x14ac:dyDescent="0.3">
      <c r="A955" s="16"/>
      <c r="B955">
        <f>COUNTIF(Equipamento_Tunel!$H$2:$H$158,A955)</f>
        <v>0</v>
      </c>
    </row>
    <row r="956" spans="1:2" x14ac:dyDescent="0.3">
      <c r="A956" s="31"/>
      <c r="B956">
        <f>COUNTIF(Equipamento_Tunel!$H$2:$H$158,A956)</f>
        <v>0</v>
      </c>
    </row>
    <row r="957" spans="1:2" x14ac:dyDescent="0.3">
      <c r="A957" s="16"/>
      <c r="B957">
        <f>COUNTIF(Equipamento_Tunel!$H$2:$H$158,A957)</f>
        <v>0</v>
      </c>
    </row>
    <row r="958" spans="1:2" x14ac:dyDescent="0.3">
      <c r="A958" s="31"/>
      <c r="B958">
        <f>COUNTIF(Equipamento_Tunel!$H$2:$H$158,A958)</f>
        <v>0</v>
      </c>
    </row>
    <row r="959" spans="1:2" x14ac:dyDescent="0.3">
      <c r="A959" s="16"/>
      <c r="B959">
        <f>COUNTIF(Equipamento_Tunel!$H$2:$H$158,A959)</f>
        <v>0</v>
      </c>
    </row>
    <row r="960" spans="1:2" x14ac:dyDescent="0.3">
      <c r="A960" s="31"/>
      <c r="B960">
        <f>COUNTIF(Equipamento_Tunel!$H$2:$H$158,A960)</f>
        <v>0</v>
      </c>
    </row>
    <row r="961" spans="1:2" x14ac:dyDescent="0.3">
      <c r="A961" s="16"/>
      <c r="B961">
        <f>COUNTIF(Equipamento_Tunel!$H$2:$H$158,A961)</f>
        <v>0</v>
      </c>
    </row>
    <row r="962" spans="1:2" x14ac:dyDescent="0.3">
      <c r="A962" s="31"/>
      <c r="B962">
        <f>COUNTIF(Equipamento_Tunel!$H$2:$H$158,A962)</f>
        <v>0</v>
      </c>
    </row>
    <row r="963" spans="1:2" x14ac:dyDescent="0.3">
      <c r="A963" s="16"/>
      <c r="B963">
        <f>COUNTIF(Equipamento_Tunel!$H$2:$H$158,A963)</f>
        <v>0</v>
      </c>
    </row>
    <row r="964" spans="1:2" x14ac:dyDescent="0.3">
      <c r="A964" s="31"/>
      <c r="B964">
        <f>COUNTIF(Equipamento_Tunel!$H$2:$H$158,A964)</f>
        <v>0</v>
      </c>
    </row>
    <row r="965" spans="1:2" x14ac:dyDescent="0.3">
      <c r="A965" s="16"/>
      <c r="B965">
        <f>COUNTIF(Equipamento_Tunel!$H$2:$H$158,A965)</f>
        <v>0</v>
      </c>
    </row>
    <row r="966" spans="1:2" x14ac:dyDescent="0.3">
      <c r="A966" s="31"/>
      <c r="B966">
        <f>COUNTIF(Equipamento_Tunel!$H$2:$H$158,A966)</f>
        <v>0</v>
      </c>
    </row>
    <row r="967" spans="1:2" x14ac:dyDescent="0.3">
      <c r="A967" s="16"/>
      <c r="B967">
        <f>COUNTIF(Equipamento_Tunel!$H$2:$H$158,A967)</f>
        <v>0</v>
      </c>
    </row>
    <row r="968" spans="1:2" x14ac:dyDescent="0.3">
      <c r="A968" s="31"/>
      <c r="B968">
        <f>COUNTIF(Equipamento_Tunel!$H$2:$H$158,A968)</f>
        <v>0</v>
      </c>
    </row>
    <row r="969" spans="1:2" x14ac:dyDescent="0.3">
      <c r="A969" s="16"/>
      <c r="B969">
        <f>COUNTIF(Equipamento_Tunel!$H$2:$H$158,A969)</f>
        <v>0</v>
      </c>
    </row>
    <row r="970" spans="1:2" x14ac:dyDescent="0.3">
      <c r="A970" s="31"/>
      <c r="B970">
        <f>COUNTIF(Equipamento_Tunel!$H$2:$H$158,A970)</f>
        <v>0</v>
      </c>
    </row>
    <row r="971" spans="1:2" x14ac:dyDescent="0.3">
      <c r="A971" s="16"/>
      <c r="B971">
        <f>COUNTIF(Equipamento_Tunel!$H$2:$H$158,A971)</f>
        <v>0</v>
      </c>
    </row>
    <row r="972" spans="1:2" x14ac:dyDescent="0.3">
      <c r="A972" s="31"/>
      <c r="B972">
        <f>COUNTIF(Equipamento_Tunel!$H$2:$H$158,A972)</f>
        <v>0</v>
      </c>
    </row>
    <row r="973" spans="1:2" x14ac:dyDescent="0.3">
      <c r="A973" s="16"/>
      <c r="B973">
        <f>COUNTIF(Equipamento_Tunel!$H$2:$H$158,A973)</f>
        <v>0</v>
      </c>
    </row>
    <row r="974" spans="1:2" x14ac:dyDescent="0.3">
      <c r="A974" s="31"/>
      <c r="B974">
        <f>COUNTIF(Equipamento_Tunel!$H$2:$H$158,A974)</f>
        <v>0</v>
      </c>
    </row>
    <row r="975" spans="1:2" x14ac:dyDescent="0.3">
      <c r="A975" s="16"/>
      <c r="B975">
        <f>COUNTIF(Equipamento_Tunel!$H$2:$H$158,A975)</f>
        <v>0</v>
      </c>
    </row>
    <row r="976" spans="1:2" x14ac:dyDescent="0.3">
      <c r="A976" s="31"/>
      <c r="B976">
        <f>COUNTIF(Equipamento_Tunel!$H$2:$H$158,A976)</f>
        <v>0</v>
      </c>
    </row>
    <row r="977" spans="1:2" x14ac:dyDescent="0.3">
      <c r="A977" s="16"/>
      <c r="B977">
        <f>COUNTIF(Equipamento_Tunel!$H$2:$H$158,A977)</f>
        <v>0</v>
      </c>
    </row>
    <row r="978" spans="1:2" x14ac:dyDescent="0.3">
      <c r="A978" s="31"/>
      <c r="B978">
        <f>COUNTIF(Equipamento_Tunel!$H$2:$H$158,A978)</f>
        <v>0</v>
      </c>
    </row>
    <row r="979" spans="1:2" x14ac:dyDescent="0.3">
      <c r="A979" s="16"/>
      <c r="B979">
        <f>COUNTIF(Equipamento_Tunel!$H$2:$H$158,A979)</f>
        <v>0</v>
      </c>
    </row>
    <row r="980" spans="1:2" x14ac:dyDescent="0.3">
      <c r="A980" s="31"/>
      <c r="B980">
        <f>COUNTIF(Equipamento_Tunel!$H$2:$H$158,A980)</f>
        <v>0</v>
      </c>
    </row>
    <row r="981" spans="1:2" x14ac:dyDescent="0.3">
      <c r="A981" s="16"/>
      <c r="B981">
        <f>COUNTIF(Equipamento_Tunel!$H$2:$H$158,A981)</f>
        <v>0</v>
      </c>
    </row>
    <row r="982" spans="1:2" x14ac:dyDescent="0.3">
      <c r="A982" s="31"/>
      <c r="B982">
        <f>COUNTIF(Equipamento_Tunel!$H$2:$H$158,A982)</f>
        <v>0</v>
      </c>
    </row>
    <row r="983" spans="1:2" x14ac:dyDescent="0.3">
      <c r="A983" s="16"/>
      <c r="B983">
        <f>COUNTIF(Equipamento_Tunel!$H$2:$H$158,A983)</f>
        <v>0</v>
      </c>
    </row>
    <row r="984" spans="1:2" x14ac:dyDescent="0.3">
      <c r="A984" s="31"/>
      <c r="B984">
        <f>COUNTIF(Equipamento_Tunel!$H$2:$H$158,A984)</f>
        <v>0</v>
      </c>
    </row>
    <row r="985" spans="1:2" x14ac:dyDescent="0.3">
      <c r="A985" s="16"/>
      <c r="B985">
        <f>COUNTIF(Equipamento_Tunel!$H$2:$H$158,A985)</f>
        <v>0</v>
      </c>
    </row>
    <row r="986" spans="1:2" x14ac:dyDescent="0.3">
      <c r="A986" s="31"/>
      <c r="B986">
        <f>COUNTIF(Equipamento_Tunel!$H$2:$H$158,A986)</f>
        <v>0</v>
      </c>
    </row>
    <row r="987" spans="1:2" x14ac:dyDescent="0.3">
      <c r="A987" s="16"/>
      <c r="B987">
        <f>COUNTIF(Equipamento_Tunel!$H$2:$H$158,A987)</f>
        <v>0</v>
      </c>
    </row>
    <row r="988" spans="1:2" x14ac:dyDescent="0.3">
      <c r="A988" s="31"/>
      <c r="B988">
        <f>COUNTIF(Equipamento_Tunel!$H$2:$H$158,A988)</f>
        <v>0</v>
      </c>
    </row>
    <row r="989" spans="1:2" x14ac:dyDescent="0.3">
      <c r="A989" s="16"/>
      <c r="B989">
        <f>COUNTIF(Equipamento_Tunel!$H$2:$H$158,A989)</f>
        <v>0</v>
      </c>
    </row>
    <row r="990" spans="1:2" x14ac:dyDescent="0.3">
      <c r="A990" s="31"/>
      <c r="B990">
        <f>COUNTIF(Equipamento_Tunel!$H$2:$H$158,A990)</f>
        <v>0</v>
      </c>
    </row>
    <row r="991" spans="1:2" x14ac:dyDescent="0.3">
      <c r="A991" s="16"/>
      <c r="B991">
        <f>COUNTIF(Equipamento_Tunel!$H$2:$H$158,A991)</f>
        <v>0</v>
      </c>
    </row>
    <row r="992" spans="1:2" x14ac:dyDescent="0.3">
      <c r="A992" s="31"/>
      <c r="B992">
        <f>COUNTIF(Equipamento_Tunel!$H$2:$H$158,A992)</f>
        <v>0</v>
      </c>
    </row>
    <row r="993" spans="1:2" x14ac:dyDescent="0.3">
      <c r="A993" s="16"/>
      <c r="B993">
        <f>COUNTIF(Equipamento_Tunel!$H$2:$H$158,A993)</f>
        <v>0</v>
      </c>
    </row>
    <row r="994" spans="1:2" x14ac:dyDescent="0.3">
      <c r="A994" s="31"/>
      <c r="B994">
        <f>COUNTIF(Equipamento_Tunel!$H$2:$H$158,A994)</f>
        <v>0</v>
      </c>
    </row>
    <row r="995" spans="1:2" x14ac:dyDescent="0.3">
      <c r="A995" s="16"/>
      <c r="B995">
        <f>COUNTIF(Equipamento_Tunel!$H$2:$H$158,A995)</f>
        <v>0</v>
      </c>
    </row>
    <row r="996" spans="1:2" x14ac:dyDescent="0.3">
      <c r="A996" s="31"/>
      <c r="B996">
        <f>COUNTIF(Equipamento_Tunel!$H$2:$H$158,A996)</f>
        <v>0</v>
      </c>
    </row>
    <row r="997" spans="1:2" x14ac:dyDescent="0.3">
      <c r="A997" s="16"/>
      <c r="B997">
        <f>COUNTIF(Equipamento_Tunel!$H$2:$H$158,A997)</f>
        <v>0</v>
      </c>
    </row>
    <row r="998" spans="1:2" x14ac:dyDescent="0.3">
      <c r="A998" s="31"/>
      <c r="B998">
        <f>COUNTIF(Equipamento_Tunel!$H$2:$H$158,A998)</f>
        <v>0</v>
      </c>
    </row>
    <row r="999" spans="1:2" x14ac:dyDescent="0.3">
      <c r="A999" s="16"/>
      <c r="B999">
        <f>COUNTIF(Equipamento_Tunel!$H$2:$H$158,A999)</f>
        <v>0</v>
      </c>
    </row>
    <row r="1000" spans="1:2" x14ac:dyDescent="0.3">
      <c r="A1000" s="31"/>
      <c r="B1000">
        <f>COUNTIF(Equipamento_Tunel!$H$2:$H$158,A1000)</f>
        <v>0</v>
      </c>
    </row>
    <row r="1001" spans="1:2" x14ac:dyDescent="0.3">
      <c r="A1001" s="16"/>
      <c r="B1001">
        <f>COUNTIF(Equipamento_Tunel!$H$2:$H$158,A1001)</f>
        <v>0</v>
      </c>
    </row>
    <row r="1002" spans="1:2" x14ac:dyDescent="0.3">
      <c r="A1002" s="31"/>
      <c r="B1002">
        <f>COUNTIF(Equipamento_Tunel!$H$2:$H$158,A1002)</f>
        <v>0</v>
      </c>
    </row>
    <row r="1003" spans="1:2" x14ac:dyDescent="0.3">
      <c r="A1003" s="16"/>
      <c r="B1003">
        <f>COUNTIF(Equipamento_Tunel!$H$2:$H$158,A1003)</f>
        <v>0</v>
      </c>
    </row>
    <row r="1004" spans="1:2" x14ac:dyDescent="0.3">
      <c r="A1004" s="31"/>
      <c r="B1004">
        <f>COUNTIF(Equipamento_Tunel!$H$2:$H$158,A1004)</f>
        <v>0</v>
      </c>
    </row>
    <row r="1005" spans="1:2" x14ac:dyDescent="0.3">
      <c r="A1005" s="16"/>
      <c r="B1005">
        <f>COUNTIF(Equipamento_Tunel!$H$2:$H$158,A1005)</f>
        <v>0</v>
      </c>
    </row>
    <row r="1006" spans="1:2" x14ac:dyDescent="0.3">
      <c r="A1006" s="31"/>
      <c r="B1006">
        <f>COUNTIF(Equipamento_Tunel!$H$2:$H$158,A1006)</f>
        <v>0</v>
      </c>
    </row>
    <row r="1007" spans="1:2" x14ac:dyDescent="0.3">
      <c r="A1007" s="16"/>
      <c r="B1007">
        <f>COUNTIF(Equipamento_Tunel!$H$2:$H$158,A1007)</f>
        <v>0</v>
      </c>
    </row>
    <row r="1008" spans="1:2" x14ac:dyDescent="0.3">
      <c r="A1008" s="31"/>
      <c r="B1008">
        <f>COUNTIF(Equipamento_Tunel!$H$2:$H$158,A1008)</f>
        <v>0</v>
      </c>
    </row>
    <row r="1009" spans="1:2" x14ac:dyDescent="0.3">
      <c r="A1009" s="16"/>
      <c r="B1009">
        <f>COUNTIF(Equipamento_Tunel!$H$2:$H$158,A1009)</f>
        <v>0</v>
      </c>
    </row>
    <row r="1010" spans="1:2" x14ac:dyDescent="0.3">
      <c r="A1010" s="31"/>
      <c r="B1010">
        <f>COUNTIF(Equipamento_Tunel!$H$2:$H$158,A1010)</f>
        <v>0</v>
      </c>
    </row>
    <row r="1011" spans="1:2" x14ac:dyDescent="0.3">
      <c r="A1011" s="16"/>
      <c r="B1011">
        <f>COUNTIF(Equipamento_Tunel!$H$2:$H$158,A1011)</f>
        <v>0</v>
      </c>
    </row>
    <row r="1012" spans="1:2" x14ac:dyDescent="0.3">
      <c r="A1012" s="31"/>
      <c r="B1012">
        <f>COUNTIF(Equipamento_Tunel!$H$2:$H$158,A1012)</f>
        <v>0</v>
      </c>
    </row>
    <row r="1013" spans="1:2" x14ac:dyDescent="0.3">
      <c r="A1013" s="16"/>
      <c r="B1013">
        <f>COUNTIF(Equipamento_Tunel!$H$2:$H$158,A1013)</f>
        <v>0</v>
      </c>
    </row>
    <row r="1014" spans="1:2" x14ac:dyDescent="0.3">
      <c r="A1014" s="31"/>
      <c r="B1014">
        <f>COUNTIF(Equipamento_Tunel!$H$2:$H$158,A1014)</f>
        <v>0</v>
      </c>
    </row>
    <row r="1015" spans="1:2" x14ac:dyDescent="0.3">
      <c r="A1015" s="16"/>
      <c r="B1015">
        <f>COUNTIF(Equipamento_Tunel!$H$2:$H$158,A1015)</f>
        <v>0</v>
      </c>
    </row>
    <row r="1016" spans="1:2" x14ac:dyDescent="0.3">
      <c r="A1016" s="31"/>
      <c r="B1016">
        <f>COUNTIF(Equipamento_Tunel!$H$2:$H$158,A1016)</f>
        <v>0</v>
      </c>
    </row>
    <row r="1017" spans="1:2" x14ac:dyDescent="0.3">
      <c r="A1017" s="16"/>
      <c r="B1017">
        <f>COUNTIF(Equipamento_Tunel!$H$2:$H$158,A1017)</f>
        <v>0</v>
      </c>
    </row>
    <row r="1018" spans="1:2" x14ac:dyDescent="0.3">
      <c r="A1018" s="31"/>
      <c r="B1018">
        <f>COUNTIF(Equipamento_Tunel!$H$2:$H$158,A1018)</f>
        <v>0</v>
      </c>
    </row>
    <row r="1019" spans="1:2" x14ac:dyDescent="0.3">
      <c r="A1019" s="16"/>
      <c r="B1019">
        <f>COUNTIF(Equipamento_Tunel!$H$2:$H$158,A1019)</f>
        <v>0</v>
      </c>
    </row>
    <row r="1020" spans="1:2" x14ac:dyDescent="0.3">
      <c r="A1020" s="31"/>
      <c r="B1020">
        <f>COUNTIF(Equipamento_Tunel!$H$2:$H$158,A1020)</f>
        <v>0</v>
      </c>
    </row>
    <row r="1021" spans="1:2" x14ac:dyDescent="0.3">
      <c r="A1021" s="16"/>
      <c r="B1021">
        <f>COUNTIF(Equipamento_Tunel!$H$2:$H$158,A1021)</f>
        <v>0</v>
      </c>
    </row>
    <row r="1022" spans="1:2" x14ac:dyDescent="0.3">
      <c r="A1022" s="31"/>
      <c r="B1022">
        <f>COUNTIF(Equipamento_Tunel!$H$2:$H$158,A1022)</f>
        <v>0</v>
      </c>
    </row>
    <row r="1023" spans="1:2" x14ac:dyDescent="0.3">
      <c r="A1023" s="16"/>
      <c r="B1023">
        <f>COUNTIF(Equipamento_Tunel!$H$2:$H$158,A1023)</f>
        <v>0</v>
      </c>
    </row>
    <row r="1024" spans="1:2" x14ac:dyDescent="0.3">
      <c r="A1024" s="31"/>
      <c r="B1024">
        <f>COUNTIF(Equipamento_Tunel!$H$2:$H$158,A1024)</f>
        <v>0</v>
      </c>
    </row>
    <row r="1025" spans="1:2" x14ac:dyDescent="0.3">
      <c r="A1025" s="16"/>
      <c r="B1025">
        <f>COUNTIF(Equipamento_Tunel!$H$2:$H$158,A1025)</f>
        <v>0</v>
      </c>
    </row>
    <row r="1026" spans="1:2" x14ac:dyDescent="0.3">
      <c r="A1026" s="31"/>
      <c r="B1026">
        <f>COUNTIF(Equipamento_Tunel!$H$2:$H$158,A1026)</f>
        <v>0</v>
      </c>
    </row>
    <row r="1027" spans="1:2" x14ac:dyDescent="0.3">
      <c r="A1027" s="16"/>
      <c r="B1027">
        <f>COUNTIF(Equipamento_Tunel!$H$2:$H$158,A1027)</f>
        <v>0</v>
      </c>
    </row>
    <row r="1028" spans="1:2" x14ac:dyDescent="0.3">
      <c r="A1028" s="31"/>
      <c r="B1028">
        <f>COUNTIF(Equipamento_Tunel!$H$2:$H$158,A1028)</f>
        <v>0</v>
      </c>
    </row>
    <row r="1029" spans="1:2" x14ac:dyDescent="0.3">
      <c r="A1029" s="16"/>
      <c r="B1029">
        <f>COUNTIF(Equipamento_Tunel!$H$2:$H$158,A1029)</f>
        <v>0</v>
      </c>
    </row>
    <row r="1030" spans="1:2" x14ac:dyDescent="0.3">
      <c r="A1030" s="31"/>
      <c r="B1030">
        <f>COUNTIF(Equipamento_Tunel!$H$2:$H$158,A1030)</f>
        <v>0</v>
      </c>
    </row>
    <row r="1031" spans="1:2" x14ac:dyDescent="0.3">
      <c r="A1031" s="16"/>
      <c r="B1031">
        <f>COUNTIF(Equipamento_Tunel!$H$2:$H$158,A1031)</f>
        <v>0</v>
      </c>
    </row>
    <row r="1032" spans="1:2" x14ac:dyDescent="0.3">
      <c r="A1032" s="31"/>
      <c r="B1032">
        <f>COUNTIF(Equipamento_Tunel!$H$2:$H$158,A1032)</f>
        <v>0</v>
      </c>
    </row>
    <row r="1033" spans="1:2" x14ac:dyDescent="0.3">
      <c r="A1033" s="16"/>
      <c r="B1033">
        <f>COUNTIF(Equipamento_Tunel!$H$2:$H$158,A1033)</f>
        <v>0</v>
      </c>
    </row>
    <row r="1034" spans="1:2" x14ac:dyDescent="0.3">
      <c r="A1034" s="31"/>
      <c r="B1034">
        <f>COUNTIF(Equipamento_Tunel!$H$2:$H$158,A1034)</f>
        <v>0</v>
      </c>
    </row>
    <row r="1035" spans="1:2" x14ac:dyDescent="0.3">
      <c r="A1035" s="16"/>
      <c r="B1035">
        <f>COUNTIF(Equipamento_Tunel!$H$2:$H$158,A1035)</f>
        <v>0</v>
      </c>
    </row>
    <row r="1036" spans="1:2" x14ac:dyDescent="0.3">
      <c r="A1036" s="31"/>
      <c r="B1036">
        <f>COUNTIF(Equipamento_Tunel!$H$2:$H$158,A1036)</f>
        <v>0</v>
      </c>
    </row>
    <row r="1037" spans="1:2" x14ac:dyDescent="0.3">
      <c r="A1037" s="16"/>
      <c r="B1037">
        <f>COUNTIF(Equipamento_Tunel!$H$2:$H$158,A1037)</f>
        <v>0</v>
      </c>
    </row>
    <row r="1038" spans="1:2" x14ac:dyDescent="0.3">
      <c r="A1038" s="31"/>
      <c r="B1038">
        <f>COUNTIF(Equipamento_Tunel!$H$2:$H$158,A1038)</f>
        <v>0</v>
      </c>
    </row>
    <row r="1039" spans="1:2" x14ac:dyDescent="0.3">
      <c r="A1039" s="16"/>
      <c r="B1039">
        <f>COUNTIF(Equipamento_Tunel!$H$2:$H$158,A1039)</f>
        <v>0</v>
      </c>
    </row>
    <row r="1040" spans="1:2" x14ac:dyDescent="0.3">
      <c r="A1040" s="31"/>
      <c r="B1040">
        <f>COUNTIF(Equipamento_Tunel!$H$2:$H$158,A1040)</f>
        <v>0</v>
      </c>
    </row>
    <row r="1041" spans="1:2" x14ac:dyDescent="0.3">
      <c r="A1041" s="16"/>
      <c r="B1041">
        <f>COUNTIF(Equipamento_Tunel!$H$2:$H$158,A1041)</f>
        <v>0</v>
      </c>
    </row>
    <row r="1042" spans="1:2" x14ac:dyDescent="0.3">
      <c r="A1042" s="31"/>
      <c r="B1042">
        <f>COUNTIF(Equipamento_Tunel!$H$2:$H$158,A1042)</f>
        <v>0</v>
      </c>
    </row>
    <row r="1043" spans="1:2" x14ac:dyDescent="0.3">
      <c r="A1043" s="16"/>
      <c r="B1043">
        <f>COUNTIF(Equipamento_Tunel!$H$2:$H$158,A1043)</f>
        <v>0</v>
      </c>
    </row>
    <row r="1044" spans="1:2" x14ac:dyDescent="0.3">
      <c r="A1044" s="31"/>
      <c r="B1044">
        <f>COUNTIF(Equipamento_Tunel!$H$2:$H$158,A1044)</f>
        <v>0</v>
      </c>
    </row>
    <row r="1045" spans="1:2" x14ac:dyDescent="0.3">
      <c r="A1045" s="16"/>
      <c r="B1045">
        <f>COUNTIF(Equipamento_Tunel!$H$2:$H$158,A1045)</f>
        <v>0</v>
      </c>
    </row>
    <row r="1046" spans="1:2" x14ac:dyDescent="0.3">
      <c r="A1046" s="31"/>
      <c r="B1046">
        <f>COUNTIF(Equipamento_Tunel!$H$2:$H$158,A1046)</f>
        <v>0</v>
      </c>
    </row>
    <row r="1047" spans="1:2" x14ac:dyDescent="0.3">
      <c r="A1047" s="16"/>
      <c r="B1047">
        <f>COUNTIF(Equipamento_Tunel!$H$2:$H$158,A1047)</f>
        <v>0</v>
      </c>
    </row>
    <row r="1048" spans="1:2" x14ac:dyDescent="0.3">
      <c r="A1048" s="31"/>
      <c r="B1048">
        <f>COUNTIF(Equipamento_Tunel!$H$2:$H$158,A1048)</f>
        <v>0</v>
      </c>
    </row>
    <row r="1049" spans="1:2" x14ac:dyDescent="0.3">
      <c r="A1049" s="16"/>
      <c r="B1049">
        <f>COUNTIF(Equipamento_Tunel!$H$2:$H$158,A1049)</f>
        <v>0</v>
      </c>
    </row>
    <row r="1050" spans="1:2" x14ac:dyDescent="0.3">
      <c r="A1050" s="31"/>
      <c r="B1050">
        <f>COUNTIF(Equipamento_Tunel!$H$2:$H$158,A1050)</f>
        <v>0</v>
      </c>
    </row>
    <row r="1051" spans="1:2" x14ac:dyDescent="0.3">
      <c r="A1051" s="16"/>
      <c r="B1051">
        <f>COUNTIF(Equipamento_Tunel!$H$2:$H$158,A1051)</f>
        <v>0</v>
      </c>
    </row>
    <row r="1052" spans="1:2" x14ac:dyDescent="0.3">
      <c r="A1052" s="31"/>
      <c r="B1052">
        <f>COUNTIF(Equipamento_Tunel!$H$2:$H$158,A1052)</f>
        <v>0</v>
      </c>
    </row>
    <row r="1053" spans="1:2" x14ac:dyDescent="0.3">
      <c r="A1053" s="16"/>
      <c r="B1053">
        <f>COUNTIF(Equipamento_Tunel!$H$2:$H$158,A1053)</f>
        <v>0</v>
      </c>
    </row>
    <row r="1054" spans="1:2" x14ac:dyDescent="0.3">
      <c r="A1054" s="31"/>
      <c r="B1054">
        <f>COUNTIF(Equipamento_Tunel!$H$2:$H$158,A1054)</f>
        <v>0</v>
      </c>
    </row>
    <row r="1055" spans="1:2" x14ac:dyDescent="0.3">
      <c r="A1055" s="16"/>
      <c r="B1055">
        <f>COUNTIF(Equipamento_Tunel!$H$2:$H$158,A1055)</f>
        <v>0</v>
      </c>
    </row>
    <row r="1056" spans="1:2" x14ac:dyDescent="0.3">
      <c r="A1056" s="31"/>
      <c r="B1056">
        <f>COUNTIF(Equipamento_Tunel!$H$2:$H$158,A1056)</f>
        <v>0</v>
      </c>
    </row>
    <row r="1057" spans="1:2" x14ac:dyDescent="0.3">
      <c r="A1057" s="16"/>
      <c r="B1057">
        <f>COUNTIF(Equipamento_Tunel!$H$2:$H$158,A1057)</f>
        <v>0</v>
      </c>
    </row>
    <row r="1058" spans="1:2" x14ac:dyDescent="0.3">
      <c r="A1058" s="31"/>
      <c r="B1058">
        <f>COUNTIF(Equipamento_Tunel!$H$2:$H$158,A1058)</f>
        <v>0</v>
      </c>
    </row>
    <row r="1059" spans="1:2" x14ac:dyDescent="0.3">
      <c r="A1059" s="16"/>
      <c r="B1059">
        <f>COUNTIF(Equipamento_Tunel!$H$2:$H$158,A1059)</f>
        <v>0</v>
      </c>
    </row>
    <row r="1060" spans="1:2" x14ac:dyDescent="0.3">
      <c r="A1060" s="31"/>
      <c r="B1060">
        <f>COUNTIF(Equipamento_Tunel!$H$2:$H$158,A1060)</f>
        <v>0</v>
      </c>
    </row>
    <row r="1061" spans="1:2" x14ac:dyDescent="0.3">
      <c r="A1061" s="16"/>
      <c r="B1061">
        <f>COUNTIF(Equipamento_Tunel!$H$2:$H$158,A1061)</f>
        <v>0</v>
      </c>
    </row>
    <row r="1062" spans="1:2" x14ac:dyDescent="0.3">
      <c r="A1062" s="31"/>
      <c r="B1062">
        <f>COUNTIF(Equipamento_Tunel!$H$2:$H$158,A1062)</f>
        <v>0</v>
      </c>
    </row>
    <row r="1063" spans="1:2" x14ac:dyDescent="0.3">
      <c r="A1063" s="16"/>
      <c r="B1063">
        <f>COUNTIF(Equipamento_Tunel!$H$2:$H$158,A1063)</f>
        <v>0</v>
      </c>
    </row>
    <row r="1064" spans="1:2" x14ac:dyDescent="0.3">
      <c r="A1064" s="31"/>
      <c r="B1064">
        <f>COUNTIF(Equipamento_Tunel!$H$2:$H$158,A1064)</f>
        <v>0</v>
      </c>
    </row>
    <row r="1065" spans="1:2" x14ac:dyDescent="0.3">
      <c r="A1065" s="16"/>
      <c r="B1065">
        <f>COUNTIF(Equipamento_Tunel!$H$2:$H$158,A1065)</f>
        <v>0</v>
      </c>
    </row>
    <row r="1066" spans="1:2" x14ac:dyDescent="0.3">
      <c r="A1066" s="31"/>
      <c r="B1066">
        <f>COUNTIF(Equipamento_Tunel!$H$2:$H$158,A1066)</f>
        <v>0</v>
      </c>
    </row>
    <row r="1067" spans="1:2" x14ac:dyDescent="0.3">
      <c r="A1067" s="16"/>
      <c r="B1067">
        <f>COUNTIF(Equipamento_Tunel!$H$2:$H$158,A1067)</f>
        <v>0</v>
      </c>
    </row>
    <row r="1068" spans="1:2" x14ac:dyDescent="0.3">
      <c r="A1068" s="31"/>
      <c r="B1068">
        <f>COUNTIF(Equipamento_Tunel!$H$2:$H$158,A1068)</f>
        <v>0</v>
      </c>
    </row>
    <row r="1069" spans="1:2" x14ac:dyDescent="0.3">
      <c r="A1069" s="16"/>
      <c r="B1069">
        <f>COUNTIF(Equipamento_Tunel!$H$2:$H$158,A1069)</f>
        <v>0</v>
      </c>
    </row>
    <row r="1070" spans="1:2" x14ac:dyDescent="0.3">
      <c r="A1070" s="31"/>
      <c r="B1070">
        <f>COUNTIF(Equipamento_Tunel!$H$2:$H$158,A1070)</f>
        <v>0</v>
      </c>
    </row>
    <row r="1071" spans="1:2" x14ac:dyDescent="0.3">
      <c r="A1071" s="16"/>
      <c r="B1071">
        <f>COUNTIF(Equipamento_Tunel!$H$2:$H$158,A1071)</f>
        <v>0</v>
      </c>
    </row>
    <row r="1072" spans="1:2" x14ac:dyDescent="0.3">
      <c r="A1072" s="31"/>
      <c r="B1072">
        <f>COUNTIF(Equipamento_Tunel!$H$2:$H$158,A1072)</f>
        <v>0</v>
      </c>
    </row>
    <row r="1073" spans="1:2" x14ac:dyDescent="0.3">
      <c r="A1073" s="16"/>
      <c r="B1073">
        <f>COUNTIF(Equipamento_Tunel!$H$2:$H$158,A1073)</f>
        <v>0</v>
      </c>
    </row>
    <row r="1074" spans="1:2" x14ac:dyDescent="0.3">
      <c r="A1074" s="31"/>
      <c r="B1074">
        <f>COUNTIF(Equipamento_Tunel!$H$2:$H$158,A1074)</f>
        <v>0</v>
      </c>
    </row>
    <row r="1075" spans="1:2" x14ac:dyDescent="0.3">
      <c r="A1075" s="16"/>
      <c r="B1075">
        <f>COUNTIF(Equipamento_Tunel!$H$2:$H$158,A1075)</f>
        <v>0</v>
      </c>
    </row>
    <row r="1076" spans="1:2" x14ac:dyDescent="0.3">
      <c r="A1076" s="31"/>
      <c r="B1076">
        <f>COUNTIF(Equipamento_Tunel!$H$2:$H$158,A1076)</f>
        <v>0</v>
      </c>
    </row>
    <row r="1077" spans="1:2" x14ac:dyDescent="0.3">
      <c r="A1077" s="16"/>
      <c r="B1077">
        <f>COUNTIF(Equipamento_Tunel!$H$2:$H$158,A1077)</f>
        <v>0</v>
      </c>
    </row>
    <row r="1078" spans="1:2" x14ac:dyDescent="0.3">
      <c r="A1078" s="31"/>
      <c r="B1078">
        <f>COUNTIF(Equipamento_Tunel!$H$2:$H$158,A1078)</f>
        <v>0</v>
      </c>
    </row>
    <row r="1079" spans="1:2" x14ac:dyDescent="0.3">
      <c r="A1079" s="16"/>
      <c r="B1079">
        <f>COUNTIF(Equipamento_Tunel!$H$2:$H$158,A1079)</f>
        <v>0</v>
      </c>
    </row>
    <row r="1080" spans="1:2" x14ac:dyDescent="0.3">
      <c r="A1080" s="31"/>
      <c r="B1080">
        <f>COUNTIF(Equipamento_Tunel!$H$2:$H$158,A1080)</f>
        <v>0</v>
      </c>
    </row>
    <row r="1081" spans="1:2" x14ac:dyDescent="0.3">
      <c r="A1081" s="16"/>
      <c r="B1081">
        <f>COUNTIF(Equipamento_Tunel!$H$2:$H$158,A1081)</f>
        <v>0</v>
      </c>
    </row>
    <row r="1082" spans="1:2" x14ac:dyDescent="0.3">
      <c r="A1082" s="31"/>
      <c r="B1082">
        <f>COUNTIF(Equipamento_Tunel!$H$2:$H$158,A1082)</f>
        <v>0</v>
      </c>
    </row>
    <row r="1083" spans="1:2" x14ac:dyDescent="0.3">
      <c r="A1083" s="16"/>
      <c r="B1083">
        <f>COUNTIF(Equipamento_Tunel!$H$2:$H$158,A1083)</f>
        <v>0</v>
      </c>
    </row>
    <row r="1084" spans="1:2" x14ac:dyDescent="0.3">
      <c r="A1084" s="31"/>
      <c r="B1084">
        <f>COUNTIF(Equipamento_Tunel!$H$2:$H$158,A1084)</f>
        <v>0</v>
      </c>
    </row>
    <row r="1085" spans="1:2" x14ac:dyDescent="0.3">
      <c r="A1085" s="16"/>
      <c r="B1085">
        <f>COUNTIF(Equipamento_Tunel!$H$2:$H$158,A1085)</f>
        <v>0</v>
      </c>
    </row>
    <row r="1086" spans="1:2" x14ac:dyDescent="0.3">
      <c r="A1086" s="31"/>
      <c r="B1086">
        <f>COUNTIF(Equipamento_Tunel!$H$2:$H$158,A1086)</f>
        <v>0</v>
      </c>
    </row>
    <row r="1087" spans="1:2" x14ac:dyDescent="0.3">
      <c r="A1087" s="16"/>
      <c r="B1087">
        <f>COUNTIF(Equipamento_Tunel!$H$2:$H$158,A1087)</f>
        <v>0</v>
      </c>
    </row>
    <row r="1088" spans="1:2" x14ac:dyDescent="0.3">
      <c r="A1088" s="31"/>
      <c r="B1088">
        <f>COUNTIF(Equipamento_Tunel!$H$2:$H$158,A1088)</f>
        <v>0</v>
      </c>
    </row>
    <row r="1089" spans="1:2" x14ac:dyDescent="0.3">
      <c r="A1089" s="16"/>
      <c r="B1089">
        <f>COUNTIF(Equipamento_Tunel!$H$2:$H$158,A1089)</f>
        <v>0</v>
      </c>
    </row>
    <row r="1090" spans="1:2" x14ac:dyDescent="0.3">
      <c r="A1090" s="31"/>
      <c r="B1090">
        <f>COUNTIF(Equipamento_Tunel!$H$2:$H$158,A1090)</f>
        <v>0</v>
      </c>
    </row>
    <row r="1091" spans="1:2" x14ac:dyDescent="0.3">
      <c r="A1091" s="16"/>
      <c r="B1091">
        <f>COUNTIF(Equipamento_Tunel!$H$2:$H$158,A1091)</f>
        <v>0</v>
      </c>
    </row>
    <row r="1092" spans="1:2" x14ac:dyDescent="0.3">
      <c r="A1092" s="31"/>
      <c r="B1092">
        <f>COUNTIF(Equipamento_Tunel!$H$2:$H$158,A1092)</f>
        <v>0</v>
      </c>
    </row>
    <row r="1093" spans="1:2" x14ac:dyDescent="0.3">
      <c r="A1093" s="16"/>
      <c r="B1093">
        <f>COUNTIF(Equipamento_Tunel!$H$2:$H$158,A1093)</f>
        <v>0</v>
      </c>
    </row>
    <row r="1094" spans="1:2" x14ac:dyDescent="0.3">
      <c r="A1094" s="31"/>
      <c r="B1094">
        <f>COUNTIF(Equipamento_Tunel!$H$2:$H$158,A1094)</f>
        <v>0</v>
      </c>
    </row>
    <row r="1095" spans="1:2" x14ac:dyDescent="0.3">
      <c r="A1095" s="16"/>
      <c r="B1095">
        <f>COUNTIF(Equipamento_Tunel!$H$2:$H$158,A1095)</f>
        <v>0</v>
      </c>
    </row>
    <row r="1096" spans="1:2" x14ac:dyDescent="0.3">
      <c r="A1096" s="31"/>
      <c r="B1096">
        <f>COUNTIF(Equipamento_Tunel!$H$2:$H$158,A1096)</f>
        <v>0</v>
      </c>
    </row>
    <row r="1097" spans="1:2" x14ac:dyDescent="0.3">
      <c r="A1097" s="16"/>
      <c r="B1097">
        <f>COUNTIF(Equipamento_Tunel!$H$2:$H$158,A1097)</f>
        <v>0</v>
      </c>
    </row>
    <row r="1098" spans="1:2" x14ac:dyDescent="0.3">
      <c r="A1098" s="31"/>
      <c r="B1098">
        <f>COUNTIF(Equipamento_Tunel!$H$2:$H$158,A1098)</f>
        <v>0</v>
      </c>
    </row>
    <row r="1099" spans="1:2" x14ac:dyDescent="0.3">
      <c r="A1099" s="16"/>
      <c r="B1099">
        <f>COUNTIF(Equipamento_Tunel!$H$2:$H$158,A1099)</f>
        <v>0</v>
      </c>
    </row>
    <row r="1100" spans="1:2" x14ac:dyDescent="0.3">
      <c r="A1100" s="31"/>
      <c r="B1100">
        <f>COUNTIF(Equipamento_Tunel!$H$2:$H$158,A1100)</f>
        <v>0</v>
      </c>
    </row>
    <row r="1101" spans="1:2" x14ac:dyDescent="0.3">
      <c r="A1101" s="16"/>
      <c r="B1101">
        <f>COUNTIF(Equipamento_Tunel!$H$2:$H$158,A1101)</f>
        <v>0</v>
      </c>
    </row>
    <row r="1102" spans="1:2" x14ac:dyDescent="0.3">
      <c r="A1102" s="31"/>
      <c r="B1102">
        <f>COUNTIF(Equipamento_Tunel!$H$2:$H$158,A1102)</f>
        <v>0</v>
      </c>
    </row>
    <row r="1103" spans="1:2" x14ac:dyDescent="0.3">
      <c r="A1103" s="16"/>
      <c r="B1103">
        <f>COUNTIF(Equipamento_Tunel!$H$2:$H$158,A1103)</f>
        <v>0</v>
      </c>
    </row>
    <row r="1104" spans="1:2" x14ac:dyDescent="0.3">
      <c r="A1104" s="31"/>
      <c r="B1104">
        <f>COUNTIF(Equipamento_Tunel!$H$2:$H$158,A1104)</f>
        <v>0</v>
      </c>
    </row>
    <row r="1105" spans="1:2" x14ac:dyDescent="0.3">
      <c r="A1105" s="16"/>
      <c r="B1105">
        <f>COUNTIF(Equipamento_Tunel!$H$2:$H$158,A1105)</f>
        <v>0</v>
      </c>
    </row>
    <row r="1106" spans="1:2" x14ac:dyDescent="0.3">
      <c r="A1106" s="31"/>
      <c r="B1106">
        <f>COUNTIF(Equipamento_Tunel!$H$2:$H$158,A1106)</f>
        <v>0</v>
      </c>
    </row>
    <row r="1107" spans="1:2" x14ac:dyDescent="0.3">
      <c r="A1107" s="16"/>
      <c r="B1107">
        <f>COUNTIF(Equipamento_Tunel!$H$2:$H$158,A1107)</f>
        <v>0</v>
      </c>
    </row>
    <row r="1108" spans="1:2" x14ac:dyDescent="0.3">
      <c r="A1108" s="31"/>
      <c r="B1108">
        <f>COUNTIF(Equipamento_Tunel!$H$2:$H$158,A1108)</f>
        <v>0</v>
      </c>
    </row>
    <row r="1109" spans="1:2" x14ac:dyDescent="0.3">
      <c r="A1109" s="16"/>
      <c r="B1109">
        <f>COUNTIF(Equipamento_Tunel!$H$2:$H$158,A1109)</f>
        <v>0</v>
      </c>
    </row>
    <row r="1110" spans="1:2" x14ac:dyDescent="0.3">
      <c r="A1110" s="31"/>
      <c r="B1110">
        <f>COUNTIF(Equipamento_Tunel!$H$2:$H$158,A1110)</f>
        <v>0</v>
      </c>
    </row>
    <row r="1111" spans="1:2" x14ac:dyDescent="0.3">
      <c r="A1111" s="16"/>
      <c r="B1111">
        <f>COUNTIF(Equipamento_Tunel!$H$2:$H$158,A1111)</f>
        <v>0</v>
      </c>
    </row>
    <row r="1112" spans="1:2" x14ac:dyDescent="0.3">
      <c r="A1112" s="31"/>
      <c r="B1112">
        <f>COUNTIF(Equipamento_Tunel!$H$2:$H$158,A1112)</f>
        <v>0</v>
      </c>
    </row>
    <row r="1113" spans="1:2" x14ac:dyDescent="0.3">
      <c r="A1113" s="16"/>
      <c r="B1113">
        <f>COUNTIF(Equipamento_Tunel!$H$2:$H$158,A1113)</f>
        <v>0</v>
      </c>
    </row>
    <row r="1114" spans="1:2" x14ac:dyDescent="0.3">
      <c r="A1114" s="31"/>
      <c r="B1114">
        <f>COUNTIF(Equipamento_Tunel!$H$2:$H$158,A1114)</f>
        <v>0</v>
      </c>
    </row>
    <row r="1115" spans="1:2" x14ac:dyDescent="0.3">
      <c r="A1115" s="16"/>
      <c r="B1115">
        <f>COUNTIF(Equipamento_Tunel!$H$2:$H$158,A1115)</f>
        <v>0</v>
      </c>
    </row>
    <row r="1116" spans="1:2" x14ac:dyDescent="0.3">
      <c r="A1116" s="31"/>
      <c r="B1116">
        <f>COUNTIF(Equipamento_Tunel!$H$2:$H$158,A1116)</f>
        <v>0</v>
      </c>
    </row>
    <row r="1117" spans="1:2" x14ac:dyDescent="0.3">
      <c r="A1117" s="16"/>
      <c r="B1117">
        <f>COUNTIF(Equipamento_Tunel!$H$2:$H$158,A1117)</f>
        <v>0</v>
      </c>
    </row>
    <row r="1118" spans="1:2" x14ac:dyDescent="0.3">
      <c r="A1118" s="31"/>
      <c r="B1118">
        <f>COUNTIF(Equipamento_Tunel!$H$2:$H$158,A1118)</f>
        <v>0</v>
      </c>
    </row>
    <row r="1119" spans="1:2" x14ac:dyDescent="0.3">
      <c r="A1119" s="16"/>
      <c r="B1119">
        <f>COUNTIF(Equipamento_Tunel!$H$2:$H$158,A1119)</f>
        <v>0</v>
      </c>
    </row>
    <row r="1120" spans="1:2" x14ac:dyDescent="0.3">
      <c r="A1120" s="31"/>
      <c r="B1120">
        <f>COUNTIF(Equipamento_Tunel!$H$2:$H$158,A1120)</f>
        <v>0</v>
      </c>
    </row>
    <row r="1121" spans="1:2" x14ac:dyDescent="0.3">
      <c r="A1121" s="16"/>
      <c r="B1121">
        <f>COUNTIF(Equipamento_Tunel!$H$2:$H$158,A1121)</f>
        <v>0</v>
      </c>
    </row>
    <row r="1122" spans="1:2" x14ac:dyDescent="0.3">
      <c r="A1122" s="31"/>
      <c r="B1122">
        <f>COUNTIF(Equipamento_Tunel!$H$2:$H$158,A1122)</f>
        <v>0</v>
      </c>
    </row>
    <row r="1123" spans="1:2" x14ac:dyDescent="0.3">
      <c r="A1123" s="16"/>
      <c r="B1123">
        <f>COUNTIF(Equipamento_Tunel!$H$2:$H$158,A1123)</f>
        <v>0</v>
      </c>
    </row>
    <row r="1124" spans="1:2" x14ac:dyDescent="0.3">
      <c r="A1124" s="31"/>
      <c r="B1124">
        <f>COUNTIF(Equipamento_Tunel!$H$2:$H$158,A1124)</f>
        <v>0</v>
      </c>
    </row>
    <row r="1125" spans="1:2" x14ac:dyDescent="0.3">
      <c r="A1125" s="16"/>
      <c r="B1125">
        <f>COUNTIF(Equipamento_Tunel!$H$2:$H$158,A1125)</f>
        <v>0</v>
      </c>
    </row>
    <row r="1126" spans="1:2" x14ac:dyDescent="0.3">
      <c r="A1126" s="31"/>
      <c r="B1126">
        <f>COUNTIF(Equipamento_Tunel!$H$2:$H$158,A1126)</f>
        <v>0</v>
      </c>
    </row>
    <row r="1127" spans="1:2" x14ac:dyDescent="0.3">
      <c r="A1127" s="16"/>
      <c r="B1127">
        <f>COUNTIF(Equipamento_Tunel!$H$2:$H$158,A1127)</f>
        <v>0</v>
      </c>
    </row>
    <row r="1128" spans="1:2" x14ac:dyDescent="0.3">
      <c r="A1128" s="31"/>
      <c r="B1128">
        <f>COUNTIF(Equipamento_Tunel!$H$2:$H$158,A1128)</f>
        <v>0</v>
      </c>
    </row>
    <row r="1129" spans="1:2" x14ac:dyDescent="0.3">
      <c r="A1129" s="16"/>
      <c r="B1129">
        <f>COUNTIF(Equipamento_Tunel!$H$2:$H$158,A1129)</f>
        <v>0</v>
      </c>
    </row>
    <row r="1130" spans="1:2" x14ac:dyDescent="0.3">
      <c r="A1130" s="31"/>
      <c r="B1130">
        <f>COUNTIF(Equipamento_Tunel!$H$2:$H$158,A1130)</f>
        <v>0</v>
      </c>
    </row>
    <row r="1131" spans="1:2" x14ac:dyDescent="0.3">
      <c r="A1131" s="16"/>
      <c r="B1131">
        <f>COUNTIF(Equipamento_Tunel!$H$2:$H$158,A1131)</f>
        <v>0</v>
      </c>
    </row>
    <row r="1132" spans="1:2" x14ac:dyDescent="0.3">
      <c r="A1132" s="31"/>
      <c r="B1132">
        <f>COUNTIF(Equipamento_Tunel!$H$2:$H$158,A1132)</f>
        <v>0</v>
      </c>
    </row>
    <row r="1133" spans="1:2" x14ac:dyDescent="0.3">
      <c r="A1133" s="16"/>
      <c r="B1133">
        <f>COUNTIF(Equipamento_Tunel!$H$2:$H$158,A1133)</f>
        <v>0</v>
      </c>
    </row>
    <row r="1134" spans="1:2" x14ac:dyDescent="0.3">
      <c r="A1134" s="31"/>
      <c r="B1134">
        <f>COUNTIF(Equipamento_Tunel!$H$2:$H$158,A1134)</f>
        <v>0</v>
      </c>
    </row>
    <row r="1135" spans="1:2" x14ac:dyDescent="0.3">
      <c r="A1135" s="16"/>
      <c r="B1135">
        <f>COUNTIF(Equipamento_Tunel!$H$2:$H$158,A1135)</f>
        <v>0</v>
      </c>
    </row>
    <row r="1136" spans="1:2" x14ac:dyDescent="0.3">
      <c r="A1136" s="31"/>
      <c r="B1136">
        <f>COUNTIF(Equipamento_Tunel!$H$2:$H$158,A1136)</f>
        <v>0</v>
      </c>
    </row>
    <row r="1137" spans="1:2" x14ac:dyDescent="0.3">
      <c r="A1137" s="16"/>
      <c r="B1137">
        <f>COUNTIF(Equipamento_Tunel!$H$2:$H$158,A1137)</f>
        <v>0</v>
      </c>
    </row>
    <row r="1138" spans="1:2" x14ac:dyDescent="0.3">
      <c r="A1138" s="31"/>
      <c r="B1138">
        <f>COUNTIF(Equipamento_Tunel!$H$2:$H$158,A1138)</f>
        <v>0</v>
      </c>
    </row>
    <row r="1139" spans="1:2" x14ac:dyDescent="0.3">
      <c r="A1139" s="16"/>
      <c r="B1139">
        <f>COUNTIF(Equipamento_Tunel!$H$2:$H$158,A1139)</f>
        <v>0</v>
      </c>
    </row>
    <row r="1140" spans="1:2" x14ac:dyDescent="0.3">
      <c r="A1140" s="31"/>
      <c r="B1140">
        <f>COUNTIF(Equipamento_Tunel!$H$2:$H$158,A1140)</f>
        <v>0</v>
      </c>
    </row>
    <row r="1141" spans="1:2" x14ac:dyDescent="0.3">
      <c r="A1141" s="16"/>
      <c r="B1141">
        <f>COUNTIF(Equipamento_Tunel!$H$2:$H$158,A1141)</f>
        <v>0</v>
      </c>
    </row>
    <row r="1142" spans="1:2" x14ac:dyDescent="0.3">
      <c r="A1142" s="31"/>
      <c r="B1142">
        <f>COUNTIF(Equipamento_Tunel!$H$2:$H$158,A1142)</f>
        <v>0</v>
      </c>
    </row>
    <row r="1143" spans="1:2" x14ac:dyDescent="0.3">
      <c r="A1143" s="16"/>
      <c r="B1143">
        <f>COUNTIF(Equipamento_Tunel!$H$2:$H$158,A1143)</f>
        <v>0</v>
      </c>
    </row>
    <row r="1144" spans="1:2" x14ac:dyDescent="0.3">
      <c r="A1144" s="31"/>
      <c r="B1144">
        <f>COUNTIF(Equipamento_Tunel!$H$2:$H$158,A1144)</f>
        <v>0</v>
      </c>
    </row>
    <row r="1145" spans="1:2" x14ac:dyDescent="0.3">
      <c r="A1145" s="16"/>
      <c r="B1145">
        <f>COUNTIF(Equipamento_Tunel!$H$2:$H$158,A1145)</f>
        <v>0</v>
      </c>
    </row>
    <row r="1146" spans="1:2" x14ac:dyDescent="0.3">
      <c r="A1146" s="31"/>
      <c r="B1146">
        <f>COUNTIF(Equipamento_Tunel!$H$2:$H$158,A1146)</f>
        <v>0</v>
      </c>
    </row>
    <row r="1147" spans="1:2" x14ac:dyDescent="0.3">
      <c r="A1147" s="16"/>
      <c r="B1147">
        <f>COUNTIF(Equipamento_Tunel!$H$2:$H$158,A1147)</f>
        <v>0</v>
      </c>
    </row>
    <row r="1148" spans="1:2" x14ac:dyDescent="0.3">
      <c r="A1148" s="31"/>
      <c r="B1148">
        <f>COUNTIF(Equipamento_Tunel!$H$2:$H$158,A1148)</f>
        <v>0</v>
      </c>
    </row>
    <row r="1149" spans="1:2" x14ac:dyDescent="0.3">
      <c r="A1149" s="16"/>
      <c r="B1149">
        <f>COUNTIF(Equipamento_Tunel!$H$2:$H$158,A1149)</f>
        <v>0</v>
      </c>
    </row>
    <row r="1150" spans="1:2" x14ac:dyDescent="0.3">
      <c r="A1150" s="31"/>
      <c r="B1150">
        <f>COUNTIF(Equipamento_Tunel!$H$2:$H$158,A1150)</f>
        <v>0</v>
      </c>
    </row>
    <row r="1151" spans="1:2" x14ac:dyDescent="0.3">
      <c r="A1151" s="16"/>
      <c r="B1151">
        <f>COUNTIF(Equipamento_Tunel!$H$2:$H$158,A1151)</f>
        <v>0</v>
      </c>
    </row>
    <row r="1152" spans="1:2" x14ac:dyDescent="0.3">
      <c r="A1152" s="31"/>
      <c r="B1152">
        <f>COUNTIF(Equipamento_Tunel!$H$2:$H$158,A1152)</f>
        <v>0</v>
      </c>
    </row>
    <row r="1153" spans="1:2" x14ac:dyDescent="0.3">
      <c r="A1153" s="16"/>
      <c r="B1153">
        <f>COUNTIF(Equipamento_Tunel!$H$2:$H$158,A1153)</f>
        <v>0</v>
      </c>
    </row>
    <row r="1154" spans="1:2" x14ac:dyDescent="0.3">
      <c r="A1154" s="31"/>
      <c r="B1154">
        <f>COUNTIF(Equipamento_Tunel!$H$2:$H$158,A1154)</f>
        <v>0</v>
      </c>
    </row>
    <row r="1155" spans="1:2" x14ac:dyDescent="0.3">
      <c r="A1155" s="16"/>
      <c r="B1155">
        <f>COUNTIF(Equipamento_Tunel!$H$2:$H$158,A1155)</f>
        <v>0</v>
      </c>
    </row>
    <row r="1156" spans="1:2" x14ac:dyDescent="0.3">
      <c r="A1156" s="31"/>
      <c r="B1156">
        <f>COUNTIF(Equipamento_Tunel!$H$2:$H$158,A1156)</f>
        <v>0</v>
      </c>
    </row>
    <row r="1157" spans="1:2" x14ac:dyDescent="0.3">
      <c r="A1157" s="16"/>
      <c r="B1157">
        <f>COUNTIF(Equipamento_Tunel!$H$2:$H$158,A1157)</f>
        <v>0</v>
      </c>
    </row>
    <row r="1158" spans="1:2" x14ac:dyDescent="0.3">
      <c r="A1158" s="31"/>
      <c r="B1158">
        <f>COUNTIF(Equipamento_Tunel!$H$2:$H$158,A1158)</f>
        <v>0</v>
      </c>
    </row>
    <row r="1159" spans="1:2" x14ac:dyDescent="0.3">
      <c r="A1159" s="16"/>
      <c r="B1159">
        <f>COUNTIF(Equipamento_Tunel!$H$2:$H$158,A1159)</f>
        <v>0</v>
      </c>
    </row>
    <row r="1160" spans="1:2" x14ac:dyDescent="0.3">
      <c r="A1160" s="31"/>
      <c r="B1160">
        <f>COUNTIF(Equipamento_Tunel!$H$2:$H$158,A1160)</f>
        <v>0</v>
      </c>
    </row>
    <row r="1161" spans="1:2" x14ac:dyDescent="0.3">
      <c r="A1161" s="16"/>
      <c r="B1161">
        <f>COUNTIF(Equipamento_Tunel!$H$2:$H$158,A1161)</f>
        <v>0</v>
      </c>
    </row>
    <row r="1162" spans="1:2" x14ac:dyDescent="0.3">
      <c r="A1162" s="31"/>
      <c r="B1162">
        <f>COUNTIF(Equipamento_Tunel!$H$2:$H$158,A1162)</f>
        <v>0</v>
      </c>
    </row>
    <row r="1163" spans="1:2" x14ac:dyDescent="0.3">
      <c r="A1163" s="16"/>
      <c r="B1163">
        <f>COUNTIF(Equipamento_Tunel!$H$2:$H$158,A1163)</f>
        <v>0</v>
      </c>
    </row>
    <row r="1164" spans="1:2" x14ac:dyDescent="0.3">
      <c r="A1164" s="31"/>
      <c r="B1164">
        <f>COUNTIF(Equipamento_Tunel!$H$2:$H$158,A1164)</f>
        <v>0</v>
      </c>
    </row>
    <row r="1165" spans="1:2" x14ac:dyDescent="0.3">
      <c r="A1165" s="16"/>
      <c r="B1165">
        <f>COUNTIF(Equipamento_Tunel!$H$2:$H$158,A1165)</f>
        <v>0</v>
      </c>
    </row>
    <row r="1166" spans="1:2" x14ac:dyDescent="0.3">
      <c r="A1166" s="31"/>
      <c r="B1166">
        <f>COUNTIF(Equipamento_Tunel!$H$2:$H$158,A1166)</f>
        <v>0</v>
      </c>
    </row>
    <row r="1167" spans="1:2" x14ac:dyDescent="0.3">
      <c r="A1167" s="16"/>
      <c r="B1167">
        <f>COUNTIF(Equipamento_Tunel!$H$2:$H$158,A1167)</f>
        <v>0</v>
      </c>
    </row>
    <row r="1168" spans="1:2" x14ac:dyDescent="0.3">
      <c r="A1168" s="31"/>
      <c r="B1168">
        <f>COUNTIF(Equipamento_Tunel!$H$2:$H$158,A1168)</f>
        <v>0</v>
      </c>
    </row>
    <row r="1169" spans="1:2" x14ac:dyDescent="0.3">
      <c r="A1169" s="16"/>
      <c r="B1169">
        <f>COUNTIF(Equipamento_Tunel!$H$2:$H$158,A1169)</f>
        <v>0</v>
      </c>
    </row>
    <row r="1170" spans="1:2" x14ac:dyDescent="0.3">
      <c r="A1170" s="31"/>
      <c r="B1170">
        <f>COUNTIF(Equipamento_Tunel!$H$2:$H$158,A1170)</f>
        <v>0</v>
      </c>
    </row>
    <row r="1171" spans="1:2" x14ac:dyDescent="0.3">
      <c r="A1171" s="16"/>
      <c r="B1171">
        <f>COUNTIF(Equipamento_Tunel!$H$2:$H$158,A1171)</f>
        <v>0</v>
      </c>
    </row>
    <row r="1172" spans="1:2" x14ac:dyDescent="0.3">
      <c r="A1172" s="31"/>
      <c r="B1172">
        <f>COUNTIF(Equipamento_Tunel!$H$2:$H$158,A1172)</f>
        <v>0</v>
      </c>
    </row>
    <row r="1173" spans="1:2" x14ac:dyDescent="0.3">
      <c r="A1173" s="16"/>
      <c r="B1173">
        <f>COUNTIF(Equipamento_Tunel!$H$2:$H$158,A1173)</f>
        <v>0</v>
      </c>
    </row>
    <row r="1174" spans="1:2" x14ac:dyDescent="0.3">
      <c r="A1174" s="31"/>
      <c r="B1174">
        <f>COUNTIF(Equipamento_Tunel!$H$2:$H$158,A1174)</f>
        <v>0</v>
      </c>
    </row>
    <row r="1175" spans="1:2" x14ac:dyDescent="0.3">
      <c r="A1175" s="16"/>
      <c r="B1175">
        <f>COUNTIF(Equipamento_Tunel!$H$2:$H$158,A1175)</f>
        <v>0</v>
      </c>
    </row>
    <row r="1176" spans="1:2" x14ac:dyDescent="0.3">
      <c r="A1176" s="31"/>
      <c r="B1176">
        <f>COUNTIF(Equipamento_Tunel!$H$2:$H$158,A1176)</f>
        <v>0</v>
      </c>
    </row>
    <row r="1177" spans="1:2" x14ac:dyDescent="0.3">
      <c r="A1177" s="16"/>
      <c r="B1177">
        <f>COUNTIF(Equipamento_Tunel!$H$2:$H$158,A1177)</f>
        <v>0</v>
      </c>
    </row>
    <row r="1178" spans="1:2" x14ac:dyDescent="0.3">
      <c r="A1178" s="31"/>
      <c r="B1178">
        <f>COUNTIF(Equipamento_Tunel!$H$2:$H$158,A1178)</f>
        <v>0</v>
      </c>
    </row>
    <row r="1179" spans="1:2" x14ac:dyDescent="0.3">
      <c r="A1179" s="16"/>
      <c r="B1179">
        <f>COUNTIF(Equipamento_Tunel!$H$2:$H$158,A1179)</f>
        <v>0</v>
      </c>
    </row>
    <row r="1180" spans="1:2" x14ac:dyDescent="0.3">
      <c r="A1180" s="31"/>
      <c r="B1180">
        <f>COUNTIF(Equipamento_Tunel!$H$2:$H$158,A1180)</f>
        <v>0</v>
      </c>
    </row>
    <row r="1181" spans="1:2" x14ac:dyDescent="0.3">
      <c r="A1181" s="16"/>
      <c r="B1181">
        <f>COUNTIF(Equipamento_Tunel!$H$2:$H$158,A1181)</f>
        <v>0</v>
      </c>
    </row>
    <row r="1182" spans="1:2" x14ac:dyDescent="0.3">
      <c r="A1182" s="31"/>
      <c r="B1182">
        <f>COUNTIF(Equipamento_Tunel!$H$2:$H$158,A1182)</f>
        <v>0</v>
      </c>
    </row>
    <row r="1183" spans="1:2" x14ac:dyDescent="0.3">
      <c r="A1183" s="16"/>
      <c r="B1183">
        <f>COUNTIF(Equipamento_Tunel!$H$2:$H$158,A1183)</f>
        <v>0</v>
      </c>
    </row>
    <row r="1184" spans="1:2" x14ac:dyDescent="0.3">
      <c r="A1184" s="31"/>
      <c r="B1184">
        <f>COUNTIF(Equipamento_Tunel!$H$2:$H$158,A1184)</f>
        <v>0</v>
      </c>
    </row>
    <row r="1185" spans="1:2" x14ac:dyDescent="0.3">
      <c r="A1185" s="16"/>
      <c r="B1185">
        <f>COUNTIF(Equipamento_Tunel!$H$2:$H$158,A1185)</f>
        <v>0</v>
      </c>
    </row>
    <row r="1186" spans="1:2" x14ac:dyDescent="0.3">
      <c r="A1186" s="31"/>
      <c r="B1186">
        <f>COUNTIF(Equipamento_Tunel!$H$2:$H$158,A1186)</f>
        <v>0</v>
      </c>
    </row>
    <row r="1187" spans="1:2" x14ac:dyDescent="0.3">
      <c r="A1187" s="16"/>
      <c r="B1187">
        <f>COUNTIF(Equipamento_Tunel!$H$2:$H$158,A1187)</f>
        <v>0</v>
      </c>
    </row>
    <row r="1188" spans="1:2" x14ac:dyDescent="0.3">
      <c r="A1188" s="31"/>
      <c r="B1188">
        <f>COUNTIF(Equipamento_Tunel!$H$2:$H$158,A1188)</f>
        <v>0</v>
      </c>
    </row>
    <row r="1189" spans="1:2" x14ac:dyDescent="0.3">
      <c r="A1189" s="16"/>
      <c r="B1189">
        <f>COUNTIF(Equipamento_Tunel!$H$2:$H$158,A1189)</f>
        <v>0</v>
      </c>
    </row>
    <row r="1190" spans="1:2" x14ac:dyDescent="0.3">
      <c r="A1190" s="31"/>
      <c r="B1190">
        <f>COUNTIF(Equipamento_Tunel!$H$2:$H$158,A1190)</f>
        <v>0</v>
      </c>
    </row>
    <row r="1191" spans="1:2" x14ac:dyDescent="0.3">
      <c r="A1191" s="16"/>
      <c r="B1191">
        <f>COUNTIF(Equipamento_Tunel!$H$2:$H$158,A1191)</f>
        <v>0</v>
      </c>
    </row>
    <row r="1192" spans="1:2" x14ac:dyDescent="0.3">
      <c r="A1192" s="31"/>
      <c r="B1192">
        <f>COUNTIF(Equipamento_Tunel!$H$2:$H$158,A1192)</f>
        <v>0</v>
      </c>
    </row>
    <row r="1193" spans="1:2" x14ac:dyDescent="0.3">
      <c r="A1193" s="16"/>
      <c r="B1193">
        <f>COUNTIF(Equipamento_Tunel!$H$2:$H$158,A1193)</f>
        <v>0</v>
      </c>
    </row>
    <row r="1194" spans="1:2" x14ac:dyDescent="0.3">
      <c r="A1194" s="31"/>
      <c r="B1194">
        <f>COUNTIF(Equipamento_Tunel!$H$2:$H$158,A1194)</f>
        <v>0</v>
      </c>
    </row>
    <row r="1195" spans="1:2" x14ac:dyDescent="0.3">
      <c r="A1195" s="16"/>
      <c r="B1195">
        <f>COUNTIF(Equipamento_Tunel!$H$2:$H$158,A1195)</f>
        <v>0</v>
      </c>
    </row>
    <row r="1196" spans="1:2" x14ac:dyDescent="0.3">
      <c r="A1196" s="31"/>
      <c r="B1196">
        <f>COUNTIF(Equipamento_Tunel!$H$2:$H$158,A1196)</f>
        <v>0</v>
      </c>
    </row>
    <row r="1197" spans="1:2" x14ac:dyDescent="0.3">
      <c r="A1197" s="16"/>
      <c r="B1197">
        <f>COUNTIF(Equipamento_Tunel!$H$2:$H$158,A1197)</f>
        <v>0</v>
      </c>
    </row>
    <row r="1198" spans="1:2" x14ac:dyDescent="0.3">
      <c r="A1198" s="31"/>
      <c r="B1198">
        <f>COUNTIF(Equipamento_Tunel!$H$2:$H$158,A1198)</f>
        <v>0</v>
      </c>
    </row>
    <row r="1199" spans="1:2" x14ac:dyDescent="0.3">
      <c r="A1199" s="16"/>
      <c r="B1199">
        <f>COUNTIF(Equipamento_Tunel!$H$2:$H$158,A1199)</f>
        <v>0</v>
      </c>
    </row>
    <row r="1200" spans="1:2" x14ac:dyDescent="0.3">
      <c r="A1200" s="31"/>
      <c r="B1200">
        <f>COUNTIF(Equipamento_Tunel!$H$2:$H$158,A1200)</f>
        <v>0</v>
      </c>
    </row>
    <row r="1201" spans="1:2" x14ac:dyDescent="0.3">
      <c r="A1201" s="16"/>
      <c r="B1201">
        <f>COUNTIF(Equipamento_Tunel!$H$2:$H$158,A1201)</f>
        <v>0</v>
      </c>
    </row>
    <row r="1202" spans="1:2" x14ac:dyDescent="0.3">
      <c r="A1202" s="31"/>
      <c r="B1202">
        <f>COUNTIF(Equipamento_Tunel!$H$2:$H$158,A1202)</f>
        <v>0</v>
      </c>
    </row>
    <row r="1203" spans="1:2" x14ac:dyDescent="0.3">
      <c r="A1203" s="16"/>
      <c r="B1203">
        <f>COUNTIF(Equipamento_Tunel!$H$2:$H$158,A1203)</f>
        <v>0</v>
      </c>
    </row>
    <row r="1204" spans="1:2" x14ac:dyDescent="0.3">
      <c r="A1204" s="31"/>
      <c r="B1204">
        <f>COUNTIF(Equipamento_Tunel!$H$2:$H$158,A1204)</f>
        <v>0</v>
      </c>
    </row>
    <row r="1205" spans="1:2" x14ac:dyDescent="0.3">
      <c r="A1205" s="16"/>
      <c r="B1205">
        <f>COUNTIF(Equipamento_Tunel!$H$2:$H$158,A1205)</f>
        <v>0</v>
      </c>
    </row>
    <row r="1206" spans="1:2" x14ac:dyDescent="0.3">
      <c r="A1206" s="31"/>
      <c r="B1206">
        <f>COUNTIF(Equipamento_Tunel!$H$2:$H$158,A1206)</f>
        <v>0</v>
      </c>
    </row>
    <row r="1207" spans="1:2" x14ac:dyDescent="0.3">
      <c r="A1207" s="16"/>
      <c r="B1207">
        <f>COUNTIF(Equipamento_Tunel!$H$2:$H$158,A1207)</f>
        <v>0</v>
      </c>
    </row>
    <row r="1208" spans="1:2" x14ac:dyDescent="0.3">
      <c r="A1208" s="31"/>
      <c r="B1208">
        <f>COUNTIF(Equipamento_Tunel!$H$2:$H$158,A1208)</f>
        <v>0</v>
      </c>
    </row>
    <row r="1209" spans="1:2" x14ac:dyDescent="0.3">
      <c r="A1209" s="16"/>
      <c r="B1209">
        <f>COUNTIF(Equipamento_Tunel!$H$2:$H$158,A1209)</f>
        <v>0</v>
      </c>
    </row>
    <row r="1210" spans="1:2" x14ac:dyDescent="0.3">
      <c r="A1210" s="31"/>
      <c r="B1210">
        <f>COUNTIF(Equipamento_Tunel!$H$2:$H$158,A1210)</f>
        <v>0</v>
      </c>
    </row>
    <row r="1211" spans="1:2" x14ac:dyDescent="0.3">
      <c r="A1211" s="16"/>
      <c r="B1211">
        <f>COUNTIF(Equipamento_Tunel!$H$2:$H$158,A1211)</f>
        <v>0</v>
      </c>
    </row>
    <row r="1212" spans="1:2" x14ac:dyDescent="0.3">
      <c r="A1212" s="31"/>
      <c r="B1212">
        <f>COUNTIF(Equipamento_Tunel!$H$2:$H$158,A1212)</f>
        <v>0</v>
      </c>
    </row>
    <row r="1213" spans="1:2" x14ac:dyDescent="0.3">
      <c r="A1213" s="16"/>
      <c r="B1213">
        <f>COUNTIF(Equipamento_Tunel!$H$2:$H$158,A1213)</f>
        <v>0</v>
      </c>
    </row>
    <row r="1214" spans="1:2" x14ac:dyDescent="0.3">
      <c r="A1214" s="31"/>
      <c r="B1214">
        <f>COUNTIF(Equipamento_Tunel!$H$2:$H$158,A1214)</f>
        <v>0</v>
      </c>
    </row>
    <row r="1215" spans="1:2" x14ac:dyDescent="0.3">
      <c r="A1215" s="16"/>
      <c r="B1215">
        <f>COUNTIF(Equipamento_Tunel!$H$2:$H$158,A1215)</f>
        <v>0</v>
      </c>
    </row>
    <row r="1216" spans="1:2" x14ac:dyDescent="0.3">
      <c r="A1216" s="31"/>
      <c r="B1216">
        <f>COUNTIF(Equipamento_Tunel!$H$2:$H$158,A1216)</f>
        <v>0</v>
      </c>
    </row>
    <row r="1217" spans="1:2" x14ac:dyDescent="0.3">
      <c r="A1217" s="16"/>
      <c r="B1217">
        <f>COUNTIF(Equipamento_Tunel!$H$2:$H$158,A1217)</f>
        <v>0</v>
      </c>
    </row>
    <row r="1218" spans="1:2" x14ac:dyDescent="0.3">
      <c r="A1218" s="31"/>
      <c r="B1218">
        <f>COUNTIF(Equipamento_Tunel!$H$2:$H$158,A1218)</f>
        <v>0</v>
      </c>
    </row>
    <row r="1219" spans="1:2" x14ac:dyDescent="0.3">
      <c r="A1219" s="16"/>
      <c r="B1219">
        <f>COUNTIF(Equipamento_Tunel!$H$2:$H$158,A1219)</f>
        <v>0</v>
      </c>
    </row>
    <row r="1220" spans="1:2" x14ac:dyDescent="0.3">
      <c r="A1220" s="31"/>
      <c r="B1220">
        <f>COUNTIF(Equipamento_Tunel!$H$2:$H$158,A1220)</f>
        <v>0</v>
      </c>
    </row>
    <row r="1221" spans="1:2" x14ac:dyDescent="0.3">
      <c r="A1221" s="16"/>
      <c r="B1221">
        <f>COUNTIF(Equipamento_Tunel!$H$2:$H$158,A1221)</f>
        <v>0</v>
      </c>
    </row>
    <row r="1222" spans="1:2" x14ac:dyDescent="0.3">
      <c r="A1222" s="31"/>
      <c r="B1222">
        <f>COUNTIF(Equipamento_Tunel!$H$2:$H$158,A1222)</f>
        <v>0</v>
      </c>
    </row>
    <row r="1223" spans="1:2" x14ac:dyDescent="0.3">
      <c r="A1223" s="16"/>
      <c r="B1223">
        <f>COUNTIF(Equipamento_Tunel!$H$2:$H$158,A1223)</f>
        <v>0</v>
      </c>
    </row>
    <row r="1224" spans="1:2" x14ac:dyDescent="0.3">
      <c r="A1224" s="31"/>
      <c r="B1224">
        <f>COUNTIF(Equipamento_Tunel!$H$2:$H$158,A1224)</f>
        <v>0</v>
      </c>
    </row>
    <row r="1225" spans="1:2" x14ac:dyDescent="0.3">
      <c r="A1225" s="16"/>
      <c r="B1225">
        <f>COUNTIF(Equipamento_Tunel!$H$2:$H$158,A1225)</f>
        <v>0</v>
      </c>
    </row>
    <row r="1226" spans="1:2" x14ac:dyDescent="0.3">
      <c r="A1226" s="31"/>
      <c r="B1226">
        <f>COUNTIF(Equipamento_Tunel!$H$2:$H$158,A1226)</f>
        <v>0</v>
      </c>
    </row>
    <row r="1227" spans="1:2" x14ac:dyDescent="0.3">
      <c r="A1227" s="16"/>
      <c r="B1227">
        <f>COUNTIF(Equipamento_Tunel!$H$2:$H$158,A1227)</f>
        <v>0</v>
      </c>
    </row>
    <row r="1228" spans="1:2" x14ac:dyDescent="0.3">
      <c r="A1228" s="31"/>
      <c r="B1228">
        <f>COUNTIF(Equipamento_Tunel!$H$2:$H$158,A1228)</f>
        <v>0</v>
      </c>
    </row>
    <row r="1229" spans="1:2" x14ac:dyDescent="0.3">
      <c r="A1229" s="16"/>
      <c r="B1229">
        <f>COUNTIF(Equipamento_Tunel!$H$2:$H$158,A1229)</f>
        <v>0</v>
      </c>
    </row>
    <row r="1230" spans="1:2" x14ac:dyDescent="0.3">
      <c r="A1230" s="31"/>
      <c r="B1230">
        <f>COUNTIF(Equipamento_Tunel!$H$2:$H$158,A1230)</f>
        <v>0</v>
      </c>
    </row>
    <row r="1231" spans="1:2" x14ac:dyDescent="0.3">
      <c r="A1231" s="16"/>
      <c r="B1231">
        <f>COUNTIF(Equipamento_Tunel!$H$2:$H$158,A1231)</f>
        <v>0</v>
      </c>
    </row>
    <row r="1232" spans="1:2" x14ac:dyDescent="0.3">
      <c r="A1232" s="31"/>
      <c r="B1232">
        <f>COUNTIF(Equipamento_Tunel!$H$2:$H$158,A1232)</f>
        <v>0</v>
      </c>
    </row>
    <row r="1233" spans="1:2" x14ac:dyDescent="0.3">
      <c r="A1233" s="16"/>
      <c r="B1233">
        <f>COUNTIF(Equipamento_Tunel!$H$2:$H$158,A1233)</f>
        <v>0</v>
      </c>
    </row>
    <row r="1234" spans="1:2" x14ac:dyDescent="0.3">
      <c r="A1234" s="31"/>
      <c r="B1234">
        <f>COUNTIF(Equipamento_Tunel!$H$2:$H$158,A1234)</f>
        <v>0</v>
      </c>
    </row>
    <row r="1235" spans="1:2" x14ac:dyDescent="0.3">
      <c r="A1235" s="16"/>
      <c r="B1235">
        <f>COUNTIF(Equipamento_Tunel!$H$2:$H$158,A1235)</f>
        <v>0</v>
      </c>
    </row>
    <row r="1236" spans="1:2" x14ac:dyDescent="0.3">
      <c r="A1236" s="31"/>
      <c r="B1236">
        <f>COUNTIF(Equipamento_Tunel!$H$2:$H$158,A1236)</f>
        <v>0</v>
      </c>
    </row>
    <row r="1237" spans="1:2" x14ac:dyDescent="0.3">
      <c r="A1237" s="16"/>
      <c r="B1237">
        <f>COUNTIF(Equipamento_Tunel!$H$2:$H$158,A1237)</f>
        <v>0</v>
      </c>
    </row>
    <row r="1238" spans="1:2" x14ac:dyDescent="0.3">
      <c r="A1238" s="31"/>
      <c r="B1238">
        <f>COUNTIF(Equipamento_Tunel!$H$2:$H$158,A1238)</f>
        <v>0</v>
      </c>
    </row>
    <row r="1239" spans="1:2" x14ac:dyDescent="0.3">
      <c r="A1239" s="16"/>
      <c r="B1239">
        <f>COUNTIF(Equipamento_Tunel!$H$2:$H$158,A1239)</f>
        <v>0</v>
      </c>
    </row>
    <row r="1240" spans="1:2" x14ac:dyDescent="0.3">
      <c r="A1240" s="31"/>
      <c r="B1240">
        <f>COUNTIF(Equipamento_Tunel!$H$2:$H$158,A1240)</f>
        <v>0</v>
      </c>
    </row>
    <row r="1241" spans="1:2" x14ac:dyDescent="0.3">
      <c r="A1241" s="16"/>
      <c r="B1241">
        <f>COUNTIF(Equipamento_Tunel!$H$2:$H$158,A1241)</f>
        <v>0</v>
      </c>
    </row>
    <row r="1242" spans="1:2" x14ac:dyDescent="0.3">
      <c r="A1242" s="31"/>
      <c r="B1242">
        <f>COUNTIF(Equipamento_Tunel!$H$2:$H$158,A1242)</f>
        <v>0</v>
      </c>
    </row>
    <row r="1243" spans="1:2" x14ac:dyDescent="0.3">
      <c r="A1243" s="16"/>
      <c r="B1243">
        <f>COUNTIF(Equipamento_Tunel!$H$2:$H$158,A1243)</f>
        <v>0</v>
      </c>
    </row>
    <row r="1244" spans="1:2" x14ac:dyDescent="0.3">
      <c r="A1244" s="31"/>
      <c r="B1244">
        <f>COUNTIF(Equipamento_Tunel!$H$2:$H$158,A1244)</f>
        <v>0</v>
      </c>
    </row>
    <row r="1245" spans="1:2" x14ac:dyDescent="0.3">
      <c r="A1245" s="16"/>
      <c r="B1245">
        <f>COUNTIF(Equipamento_Tunel!$H$2:$H$158,A1245)</f>
        <v>0</v>
      </c>
    </row>
    <row r="1246" spans="1:2" x14ac:dyDescent="0.3">
      <c r="A1246" s="31"/>
      <c r="B1246">
        <f>COUNTIF(Equipamento_Tunel!$H$2:$H$158,A1246)</f>
        <v>0</v>
      </c>
    </row>
    <row r="1247" spans="1:2" x14ac:dyDescent="0.3">
      <c r="A1247" s="16"/>
      <c r="B1247">
        <f>COUNTIF(Equipamento_Tunel!$H$2:$H$158,A1247)</f>
        <v>0</v>
      </c>
    </row>
    <row r="1248" spans="1:2" x14ac:dyDescent="0.3">
      <c r="A1248" s="31"/>
      <c r="B1248">
        <f>COUNTIF(Equipamento_Tunel!$H$2:$H$158,A1248)</f>
        <v>0</v>
      </c>
    </row>
    <row r="1249" spans="1:2" x14ac:dyDescent="0.3">
      <c r="A1249" s="16"/>
      <c r="B1249">
        <f>COUNTIF(Equipamento_Tunel!$H$2:$H$158,A1249)</f>
        <v>0</v>
      </c>
    </row>
    <row r="1250" spans="1:2" x14ac:dyDescent="0.3">
      <c r="A1250" s="31"/>
      <c r="B1250">
        <f>COUNTIF(Equipamento_Tunel!$H$2:$H$158,A1250)</f>
        <v>0</v>
      </c>
    </row>
    <row r="1251" spans="1:2" x14ac:dyDescent="0.3">
      <c r="A1251" s="16"/>
      <c r="B1251">
        <f>COUNTIF(Equipamento_Tunel!$H$2:$H$158,A1251)</f>
        <v>0</v>
      </c>
    </row>
    <row r="1252" spans="1:2" x14ac:dyDescent="0.3">
      <c r="A1252" s="31"/>
      <c r="B1252">
        <f>COUNTIF(Equipamento_Tunel!$H$2:$H$158,A1252)</f>
        <v>0</v>
      </c>
    </row>
    <row r="1253" spans="1:2" x14ac:dyDescent="0.3">
      <c r="A1253" s="16"/>
      <c r="B1253">
        <f>COUNTIF(Equipamento_Tunel!$H$2:$H$158,A1253)</f>
        <v>0</v>
      </c>
    </row>
    <row r="1254" spans="1:2" x14ac:dyDescent="0.3">
      <c r="A1254" s="31"/>
      <c r="B1254">
        <f>COUNTIF(Equipamento_Tunel!$H$2:$H$158,A1254)</f>
        <v>0</v>
      </c>
    </row>
    <row r="1255" spans="1:2" x14ac:dyDescent="0.3">
      <c r="A1255" s="16"/>
      <c r="B1255">
        <f>COUNTIF(Equipamento_Tunel!$H$2:$H$158,A1255)</f>
        <v>0</v>
      </c>
    </row>
    <row r="1256" spans="1:2" x14ac:dyDescent="0.3">
      <c r="A1256" s="31"/>
      <c r="B1256">
        <f>COUNTIF(Equipamento_Tunel!$H$2:$H$158,A1256)</f>
        <v>0</v>
      </c>
    </row>
    <row r="1257" spans="1:2" x14ac:dyDescent="0.3">
      <c r="A1257" s="16"/>
      <c r="B1257">
        <f>COUNTIF(Equipamento_Tunel!$H$2:$H$158,A1257)</f>
        <v>0</v>
      </c>
    </row>
    <row r="1258" spans="1:2" x14ac:dyDescent="0.3">
      <c r="A1258" s="31"/>
      <c r="B1258">
        <f>COUNTIF(Equipamento_Tunel!$H$2:$H$158,A1258)</f>
        <v>0</v>
      </c>
    </row>
    <row r="1259" spans="1:2" x14ac:dyDescent="0.3">
      <c r="A1259" s="16"/>
      <c r="B1259">
        <f>COUNTIF(Equipamento_Tunel!$H$2:$H$158,A1259)</f>
        <v>0</v>
      </c>
    </row>
    <row r="1260" spans="1:2" x14ac:dyDescent="0.3">
      <c r="A1260" s="31"/>
      <c r="B1260">
        <f>COUNTIF(Equipamento_Tunel!$H$2:$H$158,A1260)</f>
        <v>0</v>
      </c>
    </row>
    <row r="1261" spans="1:2" x14ac:dyDescent="0.3">
      <c r="A1261" s="16"/>
      <c r="B1261">
        <f>COUNTIF(Equipamento_Tunel!$H$2:$H$158,A1261)</f>
        <v>0</v>
      </c>
    </row>
    <row r="1262" spans="1:2" x14ac:dyDescent="0.3">
      <c r="A1262" s="31"/>
      <c r="B1262">
        <f>COUNTIF(Equipamento_Tunel!$H$2:$H$158,A1262)</f>
        <v>0</v>
      </c>
    </row>
    <row r="1263" spans="1:2" x14ac:dyDescent="0.3">
      <c r="A1263" s="16"/>
      <c r="B1263">
        <f>COUNTIF(Equipamento_Tunel!$H$2:$H$158,A1263)</f>
        <v>0</v>
      </c>
    </row>
    <row r="1264" spans="1:2" x14ac:dyDescent="0.3">
      <c r="A1264" s="31"/>
      <c r="B1264">
        <f>COUNTIF(Equipamento_Tunel!$H$2:$H$158,A1264)</f>
        <v>0</v>
      </c>
    </row>
    <row r="1265" spans="1:2" x14ac:dyDescent="0.3">
      <c r="A1265" s="16"/>
      <c r="B1265">
        <f>COUNTIF(Equipamento_Tunel!$H$2:$H$158,A1265)</f>
        <v>0</v>
      </c>
    </row>
    <row r="1266" spans="1:2" x14ac:dyDescent="0.3">
      <c r="A1266" s="31"/>
      <c r="B1266">
        <f>COUNTIF(Equipamento_Tunel!$H$2:$H$158,A1266)</f>
        <v>0</v>
      </c>
    </row>
    <row r="1267" spans="1:2" x14ac:dyDescent="0.3">
      <c r="A1267" s="16"/>
      <c r="B1267">
        <f>COUNTIF(Equipamento_Tunel!$H$2:$H$158,A1267)</f>
        <v>0</v>
      </c>
    </row>
    <row r="1268" spans="1:2" x14ac:dyDescent="0.3">
      <c r="A1268" s="31"/>
      <c r="B1268">
        <f>COUNTIF(Equipamento_Tunel!$H$2:$H$158,A1268)</f>
        <v>0</v>
      </c>
    </row>
    <row r="1269" spans="1:2" x14ac:dyDescent="0.3">
      <c r="A1269" s="16"/>
      <c r="B1269">
        <f>COUNTIF(Equipamento_Tunel!$H$2:$H$158,A1269)</f>
        <v>0</v>
      </c>
    </row>
    <row r="1270" spans="1:2" x14ac:dyDescent="0.3">
      <c r="A1270" s="31"/>
      <c r="B1270">
        <f>COUNTIF(Equipamento_Tunel!$H$2:$H$158,A1270)</f>
        <v>0</v>
      </c>
    </row>
    <row r="1271" spans="1:2" x14ac:dyDescent="0.3">
      <c r="A1271" s="16"/>
      <c r="B1271">
        <f>COUNTIF(Equipamento_Tunel!$H$2:$H$158,A1271)</f>
        <v>0</v>
      </c>
    </row>
    <row r="1272" spans="1:2" x14ac:dyDescent="0.3">
      <c r="A1272" s="31"/>
      <c r="B1272">
        <f>COUNTIF(Equipamento_Tunel!$H$2:$H$158,A1272)</f>
        <v>0</v>
      </c>
    </row>
    <row r="1273" spans="1:2" x14ac:dyDescent="0.3">
      <c r="A1273" s="16"/>
      <c r="B1273">
        <f>COUNTIF(Equipamento_Tunel!$H$2:$H$158,A1273)</f>
        <v>0</v>
      </c>
    </row>
    <row r="1274" spans="1:2" x14ac:dyDescent="0.3">
      <c r="A1274" s="31"/>
      <c r="B1274">
        <f>COUNTIF(Equipamento_Tunel!$H$2:$H$158,A1274)</f>
        <v>0</v>
      </c>
    </row>
    <row r="1275" spans="1:2" x14ac:dyDescent="0.3">
      <c r="A1275" s="16"/>
      <c r="B1275">
        <f>COUNTIF(Equipamento_Tunel!$H$2:$H$158,A1275)</f>
        <v>0</v>
      </c>
    </row>
    <row r="1276" spans="1:2" x14ac:dyDescent="0.3">
      <c r="A1276" s="31"/>
      <c r="B1276">
        <f>COUNTIF(Equipamento_Tunel!$H$2:$H$158,A1276)</f>
        <v>0</v>
      </c>
    </row>
    <row r="1277" spans="1:2" x14ac:dyDescent="0.3">
      <c r="A1277" s="16"/>
      <c r="B1277">
        <f>COUNTIF(Equipamento_Tunel!$H$2:$H$158,A1277)</f>
        <v>0</v>
      </c>
    </row>
    <row r="1278" spans="1:2" x14ac:dyDescent="0.3">
      <c r="A1278" s="31"/>
      <c r="B1278">
        <f>COUNTIF(Equipamento_Tunel!$H$2:$H$158,A1278)</f>
        <v>0</v>
      </c>
    </row>
    <row r="1279" spans="1:2" x14ac:dyDescent="0.3">
      <c r="A1279" s="16"/>
      <c r="B1279">
        <f>COUNTIF(Equipamento_Tunel!$H$2:$H$158,A1279)</f>
        <v>0</v>
      </c>
    </row>
    <row r="1280" spans="1:2" x14ac:dyDescent="0.3">
      <c r="A1280" s="31"/>
      <c r="B1280">
        <f>COUNTIF(Equipamento_Tunel!$H$2:$H$158,A1280)</f>
        <v>0</v>
      </c>
    </row>
    <row r="1281" spans="1:2" x14ac:dyDescent="0.3">
      <c r="A1281" s="16"/>
      <c r="B1281">
        <f>COUNTIF(Equipamento_Tunel!$H$2:$H$158,A1281)</f>
        <v>0</v>
      </c>
    </row>
    <row r="1282" spans="1:2" x14ac:dyDescent="0.3">
      <c r="A1282" s="31"/>
      <c r="B1282">
        <f>COUNTIF(Equipamento_Tunel!$H$2:$H$158,A1282)</f>
        <v>0</v>
      </c>
    </row>
    <row r="1283" spans="1:2" x14ac:dyDescent="0.3">
      <c r="A1283" s="16"/>
      <c r="B1283">
        <f>COUNTIF(Equipamento_Tunel!$H$2:$H$158,A1283)</f>
        <v>0</v>
      </c>
    </row>
    <row r="1284" spans="1:2" x14ac:dyDescent="0.3">
      <c r="A1284" s="31"/>
      <c r="B1284">
        <f>COUNTIF(Equipamento_Tunel!$H$2:$H$158,A1284)</f>
        <v>0</v>
      </c>
    </row>
    <row r="1285" spans="1:2" x14ac:dyDescent="0.3">
      <c r="A1285" s="16"/>
      <c r="B1285">
        <f>COUNTIF(Equipamento_Tunel!$H$2:$H$158,A1285)</f>
        <v>0</v>
      </c>
    </row>
    <row r="1286" spans="1:2" x14ac:dyDescent="0.3">
      <c r="A1286" s="31"/>
      <c r="B1286">
        <f>COUNTIF(Equipamento_Tunel!$H$2:$H$158,A1286)</f>
        <v>0</v>
      </c>
    </row>
    <row r="1287" spans="1:2" x14ac:dyDescent="0.3">
      <c r="A1287" s="16"/>
      <c r="B1287">
        <f>COUNTIF(Equipamento_Tunel!$H$2:$H$158,A1287)</f>
        <v>0</v>
      </c>
    </row>
    <row r="1288" spans="1:2" x14ac:dyDescent="0.3">
      <c r="A1288" s="31"/>
      <c r="B1288">
        <f>COUNTIF(Equipamento_Tunel!$H$2:$H$158,A1288)</f>
        <v>0</v>
      </c>
    </row>
    <row r="1289" spans="1:2" x14ac:dyDescent="0.3">
      <c r="A1289" s="16"/>
      <c r="B1289">
        <f>COUNTIF(Equipamento_Tunel!$H$2:$H$158,A1289)</f>
        <v>0</v>
      </c>
    </row>
    <row r="1290" spans="1:2" x14ac:dyDescent="0.3">
      <c r="A1290" s="31"/>
      <c r="B1290">
        <f>COUNTIF(Equipamento_Tunel!$H$2:$H$158,A1290)</f>
        <v>0</v>
      </c>
    </row>
    <row r="1291" spans="1:2" x14ac:dyDescent="0.3">
      <c r="A1291" s="16"/>
      <c r="B1291">
        <f>COUNTIF(Equipamento_Tunel!$H$2:$H$158,A1291)</f>
        <v>0</v>
      </c>
    </row>
    <row r="1292" spans="1:2" x14ac:dyDescent="0.3">
      <c r="A1292" s="31"/>
      <c r="B1292">
        <f>COUNTIF(Equipamento_Tunel!$H$2:$H$158,A1292)</f>
        <v>0</v>
      </c>
    </row>
    <row r="1293" spans="1:2" x14ac:dyDescent="0.3">
      <c r="A1293" s="16"/>
      <c r="B1293">
        <f>COUNTIF(Equipamento_Tunel!$H$2:$H$158,A1293)</f>
        <v>0</v>
      </c>
    </row>
    <row r="1294" spans="1:2" x14ac:dyDescent="0.3">
      <c r="A1294" s="31"/>
      <c r="B1294">
        <f>COUNTIF(Equipamento_Tunel!$H$2:$H$158,A1294)</f>
        <v>0</v>
      </c>
    </row>
    <row r="1295" spans="1:2" x14ac:dyDescent="0.3">
      <c r="A1295" s="16"/>
      <c r="B1295">
        <f>COUNTIF(Equipamento_Tunel!$H$2:$H$158,A1295)</f>
        <v>0</v>
      </c>
    </row>
    <row r="1296" spans="1:2" x14ac:dyDescent="0.3">
      <c r="A1296" s="31"/>
      <c r="B1296">
        <f>COUNTIF(Equipamento_Tunel!$H$2:$H$158,A1296)</f>
        <v>0</v>
      </c>
    </row>
    <row r="1297" spans="1:2" x14ac:dyDescent="0.3">
      <c r="A1297" s="16"/>
      <c r="B1297">
        <f>COUNTIF(Equipamento_Tunel!$H$2:$H$158,A1297)</f>
        <v>0</v>
      </c>
    </row>
    <row r="1298" spans="1:2" x14ac:dyDescent="0.3">
      <c r="A1298" s="31"/>
      <c r="B1298">
        <f>COUNTIF(Equipamento_Tunel!$H$2:$H$158,A1298)</f>
        <v>0</v>
      </c>
    </row>
    <row r="1299" spans="1:2" x14ac:dyDescent="0.3">
      <c r="A1299" s="16"/>
      <c r="B1299">
        <f>COUNTIF(Equipamento_Tunel!$H$2:$H$158,A1299)</f>
        <v>0</v>
      </c>
    </row>
    <row r="1300" spans="1:2" x14ac:dyDescent="0.3">
      <c r="A1300" s="31"/>
      <c r="B1300">
        <f>COUNTIF(Equipamento_Tunel!$H$2:$H$158,A1300)</f>
        <v>0</v>
      </c>
    </row>
    <row r="1301" spans="1:2" x14ac:dyDescent="0.3">
      <c r="A1301" s="16"/>
      <c r="B1301">
        <f>COUNTIF(Equipamento_Tunel!$H$2:$H$158,A1301)</f>
        <v>0</v>
      </c>
    </row>
    <row r="1302" spans="1:2" x14ac:dyDescent="0.3">
      <c r="A1302" s="31"/>
      <c r="B1302">
        <f>COUNTIF(Equipamento_Tunel!$H$2:$H$158,A1302)</f>
        <v>0</v>
      </c>
    </row>
    <row r="1303" spans="1:2" x14ac:dyDescent="0.3">
      <c r="A1303" s="16"/>
      <c r="B1303">
        <f>COUNTIF(Equipamento_Tunel!$H$2:$H$158,A1303)</f>
        <v>0</v>
      </c>
    </row>
    <row r="1304" spans="1:2" x14ac:dyDescent="0.3">
      <c r="A1304" s="31"/>
      <c r="B1304">
        <f>COUNTIF(Equipamento_Tunel!$H$2:$H$158,A1304)</f>
        <v>0</v>
      </c>
    </row>
    <row r="1305" spans="1:2" x14ac:dyDescent="0.3">
      <c r="A1305" s="16"/>
      <c r="B1305">
        <f>COUNTIF(Equipamento_Tunel!$H$2:$H$158,A1305)</f>
        <v>0</v>
      </c>
    </row>
    <row r="1306" spans="1:2" x14ac:dyDescent="0.3">
      <c r="A1306" s="31"/>
      <c r="B1306">
        <f>COUNTIF(Equipamento_Tunel!$H$2:$H$158,A1306)</f>
        <v>0</v>
      </c>
    </row>
    <row r="1307" spans="1:2" x14ac:dyDescent="0.3">
      <c r="A1307" s="16"/>
      <c r="B1307">
        <f>COUNTIF(Equipamento_Tunel!$H$2:$H$158,A1307)</f>
        <v>0</v>
      </c>
    </row>
    <row r="1308" spans="1:2" x14ac:dyDescent="0.3">
      <c r="A1308" s="31"/>
      <c r="B1308">
        <f>COUNTIF(Equipamento_Tunel!$H$2:$H$158,A1308)</f>
        <v>0</v>
      </c>
    </row>
    <row r="1309" spans="1:2" x14ac:dyDescent="0.3">
      <c r="A1309" s="16"/>
      <c r="B1309">
        <f>COUNTIF(Equipamento_Tunel!$H$2:$H$158,A1309)</f>
        <v>0</v>
      </c>
    </row>
    <row r="1310" spans="1:2" x14ac:dyDescent="0.3">
      <c r="A1310" s="31"/>
      <c r="B1310">
        <f>COUNTIF(Equipamento_Tunel!$H$2:$H$158,A1310)</f>
        <v>0</v>
      </c>
    </row>
    <row r="1311" spans="1:2" x14ac:dyDescent="0.3">
      <c r="A1311" s="16"/>
      <c r="B1311">
        <f>COUNTIF(Equipamento_Tunel!$H$2:$H$158,A1311)</f>
        <v>0</v>
      </c>
    </row>
    <row r="1312" spans="1:2" x14ac:dyDescent="0.3">
      <c r="A1312" s="31"/>
      <c r="B1312">
        <f>COUNTIF(Equipamento_Tunel!$H$2:$H$158,A1312)</f>
        <v>0</v>
      </c>
    </row>
    <row r="1313" spans="1:2" x14ac:dyDescent="0.3">
      <c r="A1313" s="16"/>
      <c r="B1313">
        <f>COUNTIF(Equipamento_Tunel!$H$2:$H$158,A1313)</f>
        <v>0</v>
      </c>
    </row>
    <row r="1314" spans="1:2" x14ac:dyDescent="0.3">
      <c r="A1314" s="31"/>
      <c r="B1314">
        <f>COUNTIF(Equipamento_Tunel!$H$2:$H$158,A1314)</f>
        <v>0</v>
      </c>
    </row>
    <row r="1315" spans="1:2" x14ac:dyDescent="0.3">
      <c r="A1315" s="16"/>
      <c r="B1315">
        <f>COUNTIF(Equipamento_Tunel!$H$2:$H$158,A1315)</f>
        <v>0</v>
      </c>
    </row>
    <row r="1316" spans="1:2" x14ac:dyDescent="0.3">
      <c r="A1316" s="31"/>
      <c r="B1316">
        <f>COUNTIF(Equipamento_Tunel!$H$2:$H$158,A1316)</f>
        <v>0</v>
      </c>
    </row>
    <row r="1317" spans="1:2" x14ac:dyDescent="0.3">
      <c r="A1317" s="16"/>
      <c r="B1317">
        <f>COUNTIF(Equipamento_Tunel!$H$2:$H$158,A1317)</f>
        <v>0</v>
      </c>
    </row>
    <row r="1318" spans="1:2" x14ac:dyDescent="0.3">
      <c r="A1318" s="31"/>
      <c r="B1318">
        <f>COUNTIF(Equipamento_Tunel!$H$2:$H$158,A1318)</f>
        <v>0</v>
      </c>
    </row>
    <row r="1319" spans="1:2" x14ac:dyDescent="0.3">
      <c r="A1319" s="16"/>
      <c r="B1319">
        <f>COUNTIF(Equipamento_Tunel!$H$2:$H$158,A1319)</f>
        <v>0</v>
      </c>
    </row>
    <row r="1320" spans="1:2" x14ac:dyDescent="0.3">
      <c r="A1320" s="31"/>
      <c r="B1320">
        <f>COUNTIF(Equipamento_Tunel!$H$2:$H$158,A1320)</f>
        <v>0</v>
      </c>
    </row>
    <row r="1321" spans="1:2" x14ac:dyDescent="0.3">
      <c r="A1321" s="16"/>
      <c r="B1321">
        <f>COUNTIF(Equipamento_Tunel!$H$2:$H$158,A1321)</f>
        <v>0</v>
      </c>
    </row>
    <row r="1322" spans="1:2" x14ac:dyDescent="0.3">
      <c r="A1322" s="31"/>
      <c r="B1322">
        <f>COUNTIF(Equipamento_Tunel!$H$2:$H$158,A1322)</f>
        <v>0</v>
      </c>
    </row>
    <row r="1323" spans="1:2" x14ac:dyDescent="0.3">
      <c r="A1323" s="16"/>
      <c r="B1323">
        <f>COUNTIF(Equipamento_Tunel!$H$2:$H$158,A1323)</f>
        <v>0</v>
      </c>
    </row>
    <row r="1324" spans="1:2" x14ac:dyDescent="0.3">
      <c r="A1324" s="31"/>
      <c r="B1324">
        <f>COUNTIF(Equipamento_Tunel!$H$2:$H$158,A1324)</f>
        <v>0</v>
      </c>
    </row>
    <row r="1325" spans="1:2" x14ac:dyDescent="0.3">
      <c r="A1325" s="16"/>
      <c r="B1325">
        <f>COUNTIF(Equipamento_Tunel!$H$2:$H$158,A1325)</f>
        <v>0</v>
      </c>
    </row>
    <row r="1326" spans="1:2" x14ac:dyDescent="0.3">
      <c r="A1326" s="31"/>
      <c r="B1326">
        <f>COUNTIF(Equipamento_Tunel!$H$2:$H$158,A1326)</f>
        <v>0</v>
      </c>
    </row>
    <row r="1327" spans="1:2" x14ac:dyDescent="0.3">
      <c r="A1327" s="16"/>
      <c r="B1327">
        <f>COUNTIF(Equipamento_Tunel!$H$2:$H$158,A1327)</f>
        <v>0</v>
      </c>
    </row>
    <row r="1328" spans="1:2" x14ac:dyDescent="0.3">
      <c r="A1328" s="31"/>
      <c r="B1328">
        <f>COUNTIF(Equipamento_Tunel!$H$2:$H$158,A1328)</f>
        <v>0</v>
      </c>
    </row>
    <row r="1329" spans="1:2" x14ac:dyDescent="0.3">
      <c r="A1329" s="16"/>
      <c r="B1329">
        <f>COUNTIF(Equipamento_Tunel!$H$2:$H$158,A1329)</f>
        <v>0</v>
      </c>
    </row>
    <row r="1330" spans="1:2" x14ac:dyDescent="0.3">
      <c r="A1330" s="31"/>
      <c r="B1330">
        <f>COUNTIF(Equipamento_Tunel!$H$2:$H$158,A1330)</f>
        <v>0</v>
      </c>
    </row>
    <row r="1331" spans="1:2" x14ac:dyDescent="0.3">
      <c r="A1331" s="16"/>
      <c r="B1331">
        <f>COUNTIF(Equipamento_Tunel!$H$2:$H$158,A1331)</f>
        <v>0</v>
      </c>
    </row>
    <row r="1332" spans="1:2" x14ac:dyDescent="0.3">
      <c r="A1332" s="31"/>
      <c r="B1332">
        <f>COUNTIF(Equipamento_Tunel!$H$2:$H$158,A1332)</f>
        <v>0</v>
      </c>
    </row>
    <row r="1333" spans="1:2" x14ac:dyDescent="0.3">
      <c r="A1333" s="16"/>
      <c r="B1333">
        <f>COUNTIF(Equipamento_Tunel!$H$2:$H$158,A1333)</f>
        <v>0</v>
      </c>
    </row>
    <row r="1334" spans="1:2" x14ac:dyDescent="0.3">
      <c r="A1334" s="31"/>
      <c r="B1334">
        <f>COUNTIF(Equipamento_Tunel!$H$2:$H$158,A1334)</f>
        <v>0</v>
      </c>
    </row>
    <row r="1335" spans="1:2" x14ac:dyDescent="0.3">
      <c r="A1335" s="16"/>
      <c r="B1335">
        <f>COUNTIF(Equipamento_Tunel!$H$2:$H$158,A1335)</f>
        <v>0</v>
      </c>
    </row>
    <row r="1336" spans="1:2" x14ac:dyDescent="0.3">
      <c r="A1336" s="31"/>
      <c r="B1336">
        <f>COUNTIF(Equipamento_Tunel!$H$2:$H$158,A1336)</f>
        <v>0</v>
      </c>
    </row>
    <row r="1337" spans="1:2" x14ac:dyDescent="0.3">
      <c r="A1337" s="16"/>
      <c r="B1337">
        <f>COUNTIF(Equipamento_Tunel!$H$2:$H$158,A1337)</f>
        <v>0</v>
      </c>
    </row>
    <row r="1338" spans="1:2" x14ac:dyDescent="0.3">
      <c r="A1338" s="31"/>
      <c r="B1338">
        <f>COUNTIF(Equipamento_Tunel!$H$2:$H$158,A1338)</f>
        <v>0</v>
      </c>
    </row>
    <row r="1339" spans="1:2" x14ac:dyDescent="0.3">
      <c r="A1339" s="16"/>
      <c r="B1339">
        <f>COUNTIF(Equipamento_Tunel!$H$2:$H$158,A1339)</f>
        <v>0</v>
      </c>
    </row>
    <row r="1340" spans="1:2" x14ac:dyDescent="0.3">
      <c r="A1340" s="31"/>
      <c r="B1340">
        <f>COUNTIF(Equipamento_Tunel!$H$2:$H$158,A1340)</f>
        <v>0</v>
      </c>
    </row>
    <row r="1341" spans="1:2" x14ac:dyDescent="0.3">
      <c r="A1341" s="16"/>
      <c r="B1341">
        <f>COUNTIF(Equipamento_Tunel!$H$2:$H$158,A1341)</f>
        <v>0</v>
      </c>
    </row>
    <row r="1342" spans="1:2" x14ac:dyDescent="0.3">
      <c r="A1342" s="31"/>
      <c r="B1342">
        <f>COUNTIF(Equipamento_Tunel!$H$2:$H$158,A1342)</f>
        <v>0</v>
      </c>
    </row>
    <row r="1343" spans="1:2" x14ac:dyDescent="0.3">
      <c r="A1343" s="16"/>
      <c r="B1343">
        <f>COUNTIF(Equipamento_Tunel!$H$2:$H$158,A1343)</f>
        <v>0</v>
      </c>
    </row>
    <row r="1344" spans="1:2" x14ac:dyDescent="0.3">
      <c r="A1344" s="31"/>
      <c r="B1344">
        <f>COUNTIF(Equipamento_Tunel!$H$2:$H$158,A1344)</f>
        <v>0</v>
      </c>
    </row>
    <row r="1345" spans="1:2" x14ac:dyDescent="0.3">
      <c r="A1345" s="16"/>
      <c r="B1345">
        <f>COUNTIF(Equipamento_Tunel!$H$2:$H$158,A1345)</f>
        <v>0</v>
      </c>
    </row>
    <row r="1346" spans="1:2" x14ac:dyDescent="0.3">
      <c r="A1346" s="31"/>
      <c r="B1346">
        <f>COUNTIF(Equipamento_Tunel!$H$2:$H$158,A1346)</f>
        <v>0</v>
      </c>
    </row>
    <row r="1347" spans="1:2" x14ac:dyDescent="0.3">
      <c r="A1347" s="16"/>
      <c r="B1347">
        <f>COUNTIF(Equipamento_Tunel!$H$2:$H$158,A1347)</f>
        <v>0</v>
      </c>
    </row>
    <row r="1348" spans="1:2" x14ac:dyDescent="0.3">
      <c r="A1348" s="31"/>
      <c r="B1348">
        <f>COUNTIF(Equipamento_Tunel!$H$2:$H$158,A1348)</f>
        <v>0</v>
      </c>
    </row>
    <row r="1349" spans="1:2" x14ac:dyDescent="0.3">
      <c r="A1349" s="16"/>
      <c r="B1349">
        <f>COUNTIF(Equipamento_Tunel!$H$2:$H$158,A1349)</f>
        <v>0</v>
      </c>
    </row>
    <row r="1350" spans="1:2" x14ac:dyDescent="0.3">
      <c r="A1350" s="31"/>
      <c r="B1350">
        <f>COUNTIF(Equipamento_Tunel!$H$2:$H$158,A1350)</f>
        <v>0</v>
      </c>
    </row>
    <row r="1351" spans="1:2" x14ac:dyDescent="0.3">
      <c r="A1351" s="16"/>
      <c r="B1351">
        <f>COUNTIF(Equipamento_Tunel!$H$2:$H$158,A1351)</f>
        <v>0</v>
      </c>
    </row>
    <row r="1352" spans="1:2" x14ac:dyDescent="0.3">
      <c r="A1352" s="31"/>
      <c r="B1352">
        <f>COUNTIF(Equipamento_Tunel!$H$2:$H$158,A1352)</f>
        <v>0</v>
      </c>
    </row>
    <row r="1353" spans="1:2" x14ac:dyDescent="0.3">
      <c r="A1353" s="16"/>
      <c r="B1353">
        <f>COUNTIF(Equipamento_Tunel!$H$2:$H$158,A1353)</f>
        <v>0</v>
      </c>
    </row>
    <row r="1354" spans="1:2" x14ac:dyDescent="0.3">
      <c r="A1354" s="31"/>
      <c r="B1354">
        <f>COUNTIF(Equipamento_Tunel!$H$2:$H$158,A1354)</f>
        <v>0</v>
      </c>
    </row>
    <row r="1355" spans="1:2" x14ac:dyDescent="0.3">
      <c r="A1355" s="16"/>
      <c r="B1355">
        <f>COUNTIF(Equipamento_Tunel!$H$2:$H$158,A1355)</f>
        <v>0</v>
      </c>
    </row>
    <row r="1356" spans="1:2" x14ac:dyDescent="0.3">
      <c r="A1356" s="31"/>
      <c r="B1356">
        <f>COUNTIF(Equipamento_Tunel!$H$2:$H$158,A1356)</f>
        <v>0</v>
      </c>
    </row>
    <row r="1357" spans="1:2" x14ac:dyDescent="0.3">
      <c r="A1357" s="16"/>
      <c r="B1357">
        <f>COUNTIF(Equipamento_Tunel!$H$2:$H$158,A1357)</f>
        <v>0</v>
      </c>
    </row>
    <row r="1358" spans="1:2" x14ac:dyDescent="0.3">
      <c r="A1358" s="31"/>
      <c r="B1358">
        <f>COUNTIF(Equipamento_Tunel!$H$2:$H$158,A1358)</f>
        <v>0</v>
      </c>
    </row>
    <row r="1359" spans="1:2" x14ac:dyDescent="0.3">
      <c r="A1359" s="16"/>
      <c r="B1359">
        <f>COUNTIF(Equipamento_Tunel!$H$2:$H$158,A1359)</f>
        <v>0</v>
      </c>
    </row>
    <row r="1360" spans="1:2" x14ac:dyDescent="0.3">
      <c r="A1360" s="31"/>
      <c r="B1360">
        <f>COUNTIF(Equipamento_Tunel!$H$2:$H$158,A1360)</f>
        <v>0</v>
      </c>
    </row>
    <row r="1361" spans="1:2" x14ac:dyDescent="0.3">
      <c r="A1361" s="16"/>
      <c r="B1361">
        <f>COUNTIF(Equipamento_Tunel!$H$2:$H$158,A1361)</f>
        <v>0</v>
      </c>
    </row>
    <row r="1362" spans="1:2" x14ac:dyDescent="0.3">
      <c r="A1362" s="31"/>
      <c r="B1362">
        <f>COUNTIF(Equipamento_Tunel!$H$2:$H$158,A1362)</f>
        <v>0</v>
      </c>
    </row>
    <row r="1363" spans="1:2" x14ac:dyDescent="0.3">
      <c r="A1363" s="16"/>
      <c r="B1363">
        <f>COUNTIF(Equipamento_Tunel!$H$2:$H$158,A1363)</f>
        <v>0</v>
      </c>
    </row>
    <row r="1364" spans="1:2" x14ac:dyDescent="0.3">
      <c r="A1364" s="31"/>
      <c r="B1364">
        <f>COUNTIF(Equipamento_Tunel!$H$2:$H$158,A1364)</f>
        <v>0</v>
      </c>
    </row>
    <row r="1365" spans="1:2" x14ac:dyDescent="0.3">
      <c r="A1365" s="16"/>
      <c r="B1365">
        <f>COUNTIF(Equipamento_Tunel!$H$2:$H$158,A1365)</f>
        <v>0</v>
      </c>
    </row>
    <row r="1366" spans="1:2" x14ac:dyDescent="0.3">
      <c r="A1366" s="31"/>
      <c r="B1366">
        <f>COUNTIF(Equipamento_Tunel!$H$2:$H$158,A1366)</f>
        <v>0</v>
      </c>
    </row>
    <row r="1367" spans="1:2" x14ac:dyDescent="0.3">
      <c r="A1367" s="16"/>
      <c r="B1367">
        <f>COUNTIF(Equipamento_Tunel!$H$2:$H$158,A1367)</f>
        <v>0</v>
      </c>
    </row>
    <row r="1368" spans="1:2" x14ac:dyDescent="0.3">
      <c r="A1368" s="31"/>
      <c r="B1368">
        <f>COUNTIF(Equipamento_Tunel!$H$2:$H$158,A1368)</f>
        <v>0</v>
      </c>
    </row>
    <row r="1369" spans="1:2" x14ac:dyDescent="0.3">
      <c r="A1369" s="16"/>
      <c r="B1369">
        <f>COUNTIF(Equipamento_Tunel!$H$2:$H$158,A1369)</f>
        <v>0</v>
      </c>
    </row>
    <row r="1370" spans="1:2" x14ac:dyDescent="0.3">
      <c r="A1370" s="31"/>
      <c r="B1370">
        <f>COUNTIF(Equipamento_Tunel!$H$2:$H$158,A1370)</f>
        <v>0</v>
      </c>
    </row>
    <row r="1371" spans="1:2" x14ac:dyDescent="0.3">
      <c r="A1371" s="16"/>
      <c r="B1371">
        <f>COUNTIF(Equipamento_Tunel!$H$2:$H$158,A1371)</f>
        <v>0</v>
      </c>
    </row>
    <row r="1372" spans="1:2" x14ac:dyDescent="0.3">
      <c r="A1372" s="31"/>
      <c r="B1372">
        <f>COUNTIF(Equipamento_Tunel!$H$2:$H$158,A1372)</f>
        <v>0</v>
      </c>
    </row>
    <row r="1373" spans="1:2" x14ac:dyDescent="0.3">
      <c r="A1373" s="16"/>
      <c r="B1373">
        <f>COUNTIF(Equipamento_Tunel!$H$2:$H$158,A1373)</f>
        <v>0</v>
      </c>
    </row>
    <row r="1374" spans="1:2" x14ac:dyDescent="0.3">
      <c r="A1374" s="31"/>
      <c r="B1374">
        <f>COUNTIF(Equipamento_Tunel!$H$2:$H$158,A1374)</f>
        <v>0</v>
      </c>
    </row>
    <row r="1375" spans="1:2" x14ac:dyDescent="0.3">
      <c r="A1375" s="16"/>
      <c r="B1375">
        <f>COUNTIF(Equipamento_Tunel!$H$2:$H$158,A1375)</f>
        <v>0</v>
      </c>
    </row>
    <row r="1376" spans="1:2" x14ac:dyDescent="0.3">
      <c r="A1376" s="31"/>
      <c r="B1376">
        <f>COUNTIF(Equipamento_Tunel!$H$2:$H$158,A1376)</f>
        <v>0</v>
      </c>
    </row>
    <row r="1377" spans="1:2" x14ac:dyDescent="0.3">
      <c r="A1377" s="16"/>
      <c r="B1377">
        <f>COUNTIF(Equipamento_Tunel!$H$2:$H$158,A1377)</f>
        <v>0</v>
      </c>
    </row>
    <row r="1378" spans="1:2" x14ac:dyDescent="0.3">
      <c r="A1378" s="31"/>
      <c r="B1378">
        <f>COUNTIF(Equipamento_Tunel!$H$2:$H$158,A1378)</f>
        <v>0</v>
      </c>
    </row>
    <row r="1379" spans="1:2" x14ac:dyDescent="0.3">
      <c r="A1379" s="16"/>
      <c r="B1379">
        <f>COUNTIF(Equipamento_Tunel!$H$2:$H$158,A1379)</f>
        <v>0</v>
      </c>
    </row>
    <row r="1380" spans="1:2" x14ac:dyDescent="0.3">
      <c r="A1380" s="31"/>
      <c r="B1380">
        <f>COUNTIF(Equipamento_Tunel!$H$2:$H$158,A1380)</f>
        <v>0</v>
      </c>
    </row>
    <row r="1381" spans="1:2" x14ac:dyDescent="0.3">
      <c r="A1381" s="16"/>
      <c r="B1381">
        <f>COUNTIF(Equipamento_Tunel!$H$2:$H$158,A1381)</f>
        <v>0</v>
      </c>
    </row>
    <row r="1382" spans="1:2" x14ac:dyDescent="0.3">
      <c r="A1382" s="31"/>
      <c r="B1382">
        <f>COUNTIF(Equipamento_Tunel!$H$2:$H$158,A1382)</f>
        <v>0</v>
      </c>
    </row>
    <row r="1383" spans="1:2" x14ac:dyDescent="0.3">
      <c r="A1383" s="16"/>
      <c r="B1383">
        <f>COUNTIF(Equipamento_Tunel!$H$2:$H$158,A1383)</f>
        <v>0</v>
      </c>
    </row>
    <row r="1384" spans="1:2" x14ac:dyDescent="0.3">
      <c r="A1384" s="31"/>
      <c r="B1384">
        <f>COUNTIF(Equipamento_Tunel!$H$2:$H$158,A1384)</f>
        <v>0</v>
      </c>
    </row>
    <row r="1385" spans="1:2" x14ac:dyDescent="0.3">
      <c r="A1385" s="16"/>
      <c r="B1385">
        <f>COUNTIF(Equipamento_Tunel!$H$2:$H$158,A1385)</f>
        <v>0</v>
      </c>
    </row>
    <row r="1386" spans="1:2" x14ac:dyDescent="0.3">
      <c r="A1386" s="31"/>
      <c r="B1386">
        <f>COUNTIF(Equipamento_Tunel!$H$2:$H$158,A1386)</f>
        <v>0</v>
      </c>
    </row>
    <row r="1387" spans="1:2" x14ac:dyDescent="0.3">
      <c r="A1387" s="16"/>
      <c r="B1387">
        <f>COUNTIF(Equipamento_Tunel!$H$2:$H$158,A1387)</f>
        <v>0</v>
      </c>
    </row>
    <row r="1388" spans="1:2" x14ac:dyDescent="0.3">
      <c r="A1388" s="31"/>
      <c r="B1388">
        <f>COUNTIF(Equipamento_Tunel!$H$2:$H$158,A1388)</f>
        <v>0</v>
      </c>
    </row>
    <row r="1389" spans="1:2" x14ac:dyDescent="0.3">
      <c r="A1389" s="16"/>
      <c r="B1389">
        <f>COUNTIF(Equipamento_Tunel!$H$2:$H$158,A1389)</f>
        <v>0</v>
      </c>
    </row>
    <row r="1390" spans="1:2" x14ac:dyDescent="0.3">
      <c r="A1390" s="31"/>
      <c r="B1390">
        <f>COUNTIF(Equipamento_Tunel!$H$2:$H$158,A1390)</f>
        <v>0</v>
      </c>
    </row>
    <row r="1391" spans="1:2" x14ac:dyDescent="0.3">
      <c r="A1391" s="16"/>
      <c r="B1391">
        <f>COUNTIF(Equipamento_Tunel!$H$2:$H$158,A1391)</f>
        <v>0</v>
      </c>
    </row>
    <row r="1392" spans="1:2" x14ac:dyDescent="0.3">
      <c r="A1392" s="31"/>
      <c r="B1392">
        <f>COUNTIF(Equipamento_Tunel!$H$2:$H$158,A1392)</f>
        <v>0</v>
      </c>
    </row>
    <row r="1393" spans="1:2" x14ac:dyDescent="0.3">
      <c r="A1393" s="16"/>
      <c r="B1393">
        <f>COUNTIF(Equipamento_Tunel!$H$2:$H$158,A1393)</f>
        <v>0</v>
      </c>
    </row>
    <row r="1394" spans="1:2" x14ac:dyDescent="0.3">
      <c r="A1394" s="31"/>
      <c r="B1394">
        <f>COUNTIF(Equipamento_Tunel!$H$2:$H$158,A1394)</f>
        <v>0</v>
      </c>
    </row>
    <row r="1395" spans="1:2" x14ac:dyDescent="0.3">
      <c r="A1395" s="16"/>
      <c r="B1395">
        <f>COUNTIF(Equipamento_Tunel!$H$2:$H$158,A1395)</f>
        <v>0</v>
      </c>
    </row>
    <row r="1396" spans="1:2" x14ac:dyDescent="0.3">
      <c r="A1396" s="31"/>
      <c r="B1396">
        <f>COUNTIF(Equipamento_Tunel!$H$2:$H$158,A1396)</f>
        <v>0</v>
      </c>
    </row>
    <row r="1397" spans="1:2" x14ac:dyDescent="0.3">
      <c r="A1397" s="16"/>
      <c r="B1397">
        <f>COUNTIF(Equipamento_Tunel!$H$2:$H$158,A1397)</f>
        <v>0</v>
      </c>
    </row>
    <row r="1398" spans="1:2" x14ac:dyDescent="0.3">
      <c r="A1398" s="31"/>
      <c r="B1398">
        <f>COUNTIF(Equipamento_Tunel!$H$2:$H$158,A1398)</f>
        <v>0</v>
      </c>
    </row>
    <row r="1399" spans="1:2" x14ac:dyDescent="0.3">
      <c r="A1399" s="16"/>
      <c r="B1399">
        <f>COUNTIF(Equipamento_Tunel!$H$2:$H$158,A1399)</f>
        <v>0</v>
      </c>
    </row>
    <row r="1400" spans="1:2" x14ac:dyDescent="0.3">
      <c r="A1400" s="31"/>
      <c r="B1400">
        <f>COUNTIF(Equipamento_Tunel!$H$2:$H$158,A1400)</f>
        <v>0</v>
      </c>
    </row>
    <row r="1401" spans="1:2" x14ac:dyDescent="0.3">
      <c r="A1401" s="16"/>
      <c r="B1401">
        <f>COUNTIF(Equipamento_Tunel!$H$2:$H$158,A1401)</f>
        <v>0</v>
      </c>
    </row>
    <row r="1402" spans="1:2" x14ac:dyDescent="0.3">
      <c r="A1402" s="31"/>
      <c r="B1402">
        <f>COUNTIF(Equipamento_Tunel!$H$2:$H$158,A1402)</f>
        <v>0</v>
      </c>
    </row>
    <row r="1403" spans="1:2" x14ac:dyDescent="0.3">
      <c r="A1403" s="16"/>
      <c r="B1403">
        <f>COUNTIF(Equipamento_Tunel!$H$2:$H$158,A1403)</f>
        <v>0</v>
      </c>
    </row>
    <row r="1404" spans="1:2" x14ac:dyDescent="0.3">
      <c r="A1404" s="31"/>
      <c r="B1404">
        <f>COUNTIF(Equipamento_Tunel!$H$2:$H$158,A1404)</f>
        <v>0</v>
      </c>
    </row>
    <row r="1405" spans="1:2" x14ac:dyDescent="0.3">
      <c r="A1405" s="16"/>
      <c r="B1405">
        <f>COUNTIF(Equipamento_Tunel!$H$2:$H$158,A1405)</f>
        <v>0</v>
      </c>
    </row>
    <row r="1406" spans="1:2" x14ac:dyDescent="0.3">
      <c r="A1406" s="31"/>
      <c r="B1406">
        <f>COUNTIF(Equipamento_Tunel!$H$2:$H$158,A1406)</f>
        <v>0</v>
      </c>
    </row>
    <row r="1407" spans="1:2" x14ac:dyDescent="0.3">
      <c r="A1407" s="16"/>
      <c r="B1407">
        <f>COUNTIF(Equipamento_Tunel!$H$2:$H$158,A1407)</f>
        <v>0</v>
      </c>
    </row>
    <row r="1408" spans="1:2" x14ac:dyDescent="0.3">
      <c r="A1408" s="31"/>
      <c r="B1408">
        <f>COUNTIF(Equipamento_Tunel!$H$2:$H$158,A1408)</f>
        <v>0</v>
      </c>
    </row>
    <row r="1409" spans="1:2" x14ac:dyDescent="0.3">
      <c r="A1409" s="16"/>
      <c r="B1409">
        <f>COUNTIF(Equipamento_Tunel!$H$2:$H$158,A1409)</f>
        <v>0</v>
      </c>
    </row>
    <row r="1410" spans="1:2" x14ac:dyDescent="0.3">
      <c r="A1410" s="31"/>
      <c r="B1410">
        <f>COUNTIF(Equipamento_Tunel!$H$2:$H$158,A1410)</f>
        <v>0</v>
      </c>
    </row>
    <row r="1411" spans="1:2" x14ac:dyDescent="0.3">
      <c r="A1411" s="16"/>
      <c r="B1411">
        <f>COUNTIF(Equipamento_Tunel!$H$2:$H$158,A1411)</f>
        <v>0</v>
      </c>
    </row>
    <row r="1412" spans="1:2" x14ac:dyDescent="0.3">
      <c r="A1412" s="31"/>
      <c r="B1412">
        <f>COUNTIF(Equipamento_Tunel!$H$2:$H$158,A1412)</f>
        <v>0</v>
      </c>
    </row>
    <row r="1413" spans="1:2" x14ac:dyDescent="0.3">
      <c r="A1413" s="16"/>
      <c r="B1413">
        <f>COUNTIF(Equipamento_Tunel!$H$2:$H$158,A1413)</f>
        <v>0</v>
      </c>
    </row>
    <row r="1414" spans="1:2" x14ac:dyDescent="0.3">
      <c r="A1414" s="31"/>
      <c r="B1414">
        <f>COUNTIF(Equipamento_Tunel!$H$2:$H$158,A1414)</f>
        <v>0</v>
      </c>
    </row>
    <row r="1415" spans="1:2" x14ac:dyDescent="0.3">
      <c r="A1415" s="16"/>
      <c r="B1415">
        <f>COUNTIF(Equipamento_Tunel!$H$2:$H$158,A1415)</f>
        <v>0</v>
      </c>
    </row>
    <row r="1416" spans="1:2" x14ac:dyDescent="0.3">
      <c r="A1416" s="31"/>
      <c r="B1416">
        <f>COUNTIF(Equipamento_Tunel!$H$2:$H$158,A1416)</f>
        <v>0</v>
      </c>
    </row>
    <row r="1417" spans="1:2" x14ac:dyDescent="0.3">
      <c r="A1417" s="16"/>
      <c r="B1417">
        <f>COUNTIF(Equipamento_Tunel!$H$2:$H$158,A1417)</f>
        <v>0</v>
      </c>
    </row>
    <row r="1418" spans="1:2" x14ac:dyDescent="0.3">
      <c r="A1418" s="31"/>
      <c r="B1418">
        <f>COUNTIF(Equipamento_Tunel!$H$2:$H$158,A1418)</f>
        <v>0</v>
      </c>
    </row>
    <row r="1419" spans="1:2" x14ac:dyDescent="0.3">
      <c r="A1419" s="16"/>
      <c r="B1419">
        <f>COUNTIF(Equipamento_Tunel!$H$2:$H$158,A1419)</f>
        <v>0</v>
      </c>
    </row>
    <row r="1420" spans="1:2" x14ac:dyDescent="0.3">
      <c r="A1420" s="31"/>
      <c r="B1420">
        <f>COUNTIF(Equipamento_Tunel!$H$2:$H$158,A1420)</f>
        <v>0</v>
      </c>
    </row>
    <row r="1421" spans="1:2" x14ac:dyDescent="0.3">
      <c r="A1421" s="16"/>
      <c r="B1421">
        <f>COUNTIF(Equipamento_Tunel!$H$2:$H$158,A1421)</f>
        <v>0</v>
      </c>
    </row>
    <row r="1422" spans="1:2" x14ac:dyDescent="0.3">
      <c r="A1422" s="31"/>
      <c r="B1422">
        <f>COUNTIF(Equipamento_Tunel!$H$2:$H$158,A1422)</f>
        <v>0</v>
      </c>
    </row>
    <row r="1423" spans="1:2" x14ac:dyDescent="0.3">
      <c r="A1423" s="16"/>
      <c r="B1423">
        <f>COUNTIF(Equipamento_Tunel!$H$2:$H$158,A1423)</f>
        <v>0</v>
      </c>
    </row>
    <row r="1424" spans="1:2" x14ac:dyDescent="0.3">
      <c r="A1424" s="31"/>
      <c r="B1424">
        <f>COUNTIF(Equipamento_Tunel!$H$2:$H$158,A1424)</f>
        <v>0</v>
      </c>
    </row>
    <row r="1425" spans="1:2" x14ac:dyDescent="0.3">
      <c r="A1425" s="16"/>
      <c r="B1425">
        <f>COUNTIF(Equipamento_Tunel!$H$2:$H$158,A1425)</f>
        <v>0</v>
      </c>
    </row>
    <row r="1426" spans="1:2" x14ac:dyDescent="0.3">
      <c r="A1426" s="31"/>
      <c r="B1426">
        <f>COUNTIF(Equipamento_Tunel!$H$2:$H$158,A1426)</f>
        <v>0</v>
      </c>
    </row>
    <row r="1427" spans="1:2" x14ac:dyDescent="0.3">
      <c r="A1427" s="16"/>
      <c r="B1427">
        <f>COUNTIF(Equipamento_Tunel!$H$2:$H$158,A1427)</f>
        <v>0</v>
      </c>
    </row>
    <row r="1428" spans="1:2" x14ac:dyDescent="0.3">
      <c r="A1428" s="31"/>
      <c r="B1428">
        <f>COUNTIF(Equipamento_Tunel!$H$2:$H$158,A1428)</f>
        <v>0</v>
      </c>
    </row>
    <row r="1429" spans="1:2" x14ac:dyDescent="0.3">
      <c r="A1429" s="16"/>
      <c r="B1429">
        <f>COUNTIF(Equipamento_Tunel!$H$2:$H$158,A1429)</f>
        <v>0</v>
      </c>
    </row>
    <row r="1430" spans="1:2" x14ac:dyDescent="0.3">
      <c r="A1430" s="31"/>
      <c r="B1430">
        <f>COUNTIF(Equipamento_Tunel!$H$2:$H$158,A1430)</f>
        <v>0</v>
      </c>
    </row>
    <row r="1431" spans="1:2" x14ac:dyDescent="0.3">
      <c r="A1431" s="16"/>
      <c r="B1431">
        <f>COUNTIF(Equipamento_Tunel!$H$2:$H$158,A1431)</f>
        <v>0</v>
      </c>
    </row>
    <row r="1432" spans="1:2" x14ac:dyDescent="0.3">
      <c r="A1432" s="31"/>
      <c r="B1432">
        <f>COUNTIF(Equipamento_Tunel!$H$2:$H$158,A1432)</f>
        <v>0</v>
      </c>
    </row>
    <row r="1433" spans="1:2" x14ac:dyDescent="0.3">
      <c r="A1433" s="16"/>
      <c r="B1433">
        <f>COUNTIF(Equipamento_Tunel!$H$2:$H$158,A1433)</f>
        <v>0</v>
      </c>
    </row>
    <row r="1434" spans="1:2" x14ac:dyDescent="0.3">
      <c r="A1434" s="31"/>
      <c r="B1434">
        <f>COUNTIF(Equipamento_Tunel!$H$2:$H$158,A1434)</f>
        <v>0</v>
      </c>
    </row>
    <row r="1435" spans="1:2" x14ac:dyDescent="0.3">
      <c r="A1435" s="16"/>
      <c r="B1435">
        <f>COUNTIF(Equipamento_Tunel!$H$2:$H$158,A1435)</f>
        <v>0</v>
      </c>
    </row>
    <row r="1436" spans="1:2" x14ac:dyDescent="0.3">
      <c r="A1436" s="31"/>
      <c r="B1436">
        <f>COUNTIF(Equipamento_Tunel!$H$2:$H$158,A1436)</f>
        <v>0</v>
      </c>
    </row>
    <row r="1437" spans="1:2" x14ac:dyDescent="0.3">
      <c r="A1437" s="16"/>
      <c r="B1437">
        <f>COUNTIF(Equipamento_Tunel!$H$2:$H$158,A1437)</f>
        <v>0</v>
      </c>
    </row>
    <row r="1438" spans="1:2" x14ac:dyDescent="0.3">
      <c r="A1438" s="31"/>
      <c r="B1438">
        <f>COUNTIF(Equipamento_Tunel!$H$2:$H$158,A1438)</f>
        <v>0</v>
      </c>
    </row>
    <row r="1439" spans="1:2" x14ac:dyDescent="0.3">
      <c r="A1439" s="16"/>
      <c r="B1439">
        <f>COUNTIF(Equipamento_Tunel!$H$2:$H$158,A1439)</f>
        <v>0</v>
      </c>
    </row>
    <row r="1440" spans="1:2" x14ac:dyDescent="0.3">
      <c r="A1440" s="31"/>
      <c r="B1440">
        <f>COUNTIF(Equipamento_Tunel!$H$2:$H$158,A1440)</f>
        <v>0</v>
      </c>
    </row>
    <row r="1441" spans="1:2" x14ac:dyDescent="0.3">
      <c r="A1441" s="16"/>
      <c r="B1441">
        <f>COUNTIF(Equipamento_Tunel!$H$2:$H$158,A1441)</f>
        <v>0</v>
      </c>
    </row>
    <row r="1442" spans="1:2" x14ac:dyDescent="0.3">
      <c r="A1442" s="31"/>
      <c r="B1442">
        <f>COUNTIF(Equipamento_Tunel!$H$2:$H$158,A1442)</f>
        <v>0</v>
      </c>
    </row>
    <row r="1443" spans="1:2" x14ac:dyDescent="0.3">
      <c r="A1443" s="16"/>
      <c r="B1443">
        <f>COUNTIF(Equipamento_Tunel!$H$2:$H$158,A1443)</f>
        <v>0</v>
      </c>
    </row>
    <row r="1444" spans="1:2" x14ac:dyDescent="0.3">
      <c r="A1444" s="31"/>
      <c r="B1444">
        <f>COUNTIF(Equipamento_Tunel!$H$2:$H$158,A1444)</f>
        <v>0</v>
      </c>
    </row>
    <row r="1445" spans="1:2" x14ac:dyDescent="0.3">
      <c r="A1445" s="16"/>
      <c r="B1445">
        <f>COUNTIF(Equipamento_Tunel!$H$2:$H$158,A1445)</f>
        <v>0</v>
      </c>
    </row>
    <row r="1446" spans="1:2" x14ac:dyDescent="0.3">
      <c r="A1446" s="31"/>
      <c r="B1446">
        <f>COUNTIF(Equipamento_Tunel!$H$2:$H$158,A1446)</f>
        <v>0</v>
      </c>
    </row>
    <row r="1447" spans="1:2" x14ac:dyDescent="0.3">
      <c r="A1447" s="16"/>
      <c r="B1447">
        <f>COUNTIF(Equipamento_Tunel!$H$2:$H$158,A1447)</f>
        <v>0</v>
      </c>
    </row>
    <row r="1448" spans="1:2" x14ac:dyDescent="0.3">
      <c r="A1448" s="31"/>
      <c r="B1448">
        <f>COUNTIF(Equipamento_Tunel!$H$2:$H$158,A1448)</f>
        <v>0</v>
      </c>
    </row>
    <row r="1449" spans="1:2" x14ac:dyDescent="0.3">
      <c r="A1449" s="16"/>
      <c r="B1449">
        <f>COUNTIF(Equipamento_Tunel!$H$2:$H$158,A1449)</f>
        <v>0</v>
      </c>
    </row>
    <row r="1450" spans="1:2" x14ac:dyDescent="0.3">
      <c r="A1450" s="31"/>
      <c r="B1450">
        <f>COUNTIF(Equipamento_Tunel!$H$2:$H$158,A1450)</f>
        <v>0</v>
      </c>
    </row>
    <row r="1451" spans="1:2" x14ac:dyDescent="0.3">
      <c r="A1451" s="16"/>
      <c r="B1451">
        <f>COUNTIF(Equipamento_Tunel!$H$2:$H$158,A1451)</f>
        <v>0</v>
      </c>
    </row>
    <row r="1452" spans="1:2" x14ac:dyDescent="0.3">
      <c r="A1452" s="31"/>
      <c r="B1452">
        <f>COUNTIF(Equipamento_Tunel!$H$2:$H$158,A1452)</f>
        <v>0</v>
      </c>
    </row>
    <row r="1453" spans="1:2" x14ac:dyDescent="0.3">
      <c r="A1453" s="16"/>
      <c r="B1453">
        <f>COUNTIF(Equipamento_Tunel!$H$2:$H$158,A1453)</f>
        <v>0</v>
      </c>
    </row>
    <row r="1454" spans="1:2" x14ac:dyDescent="0.3">
      <c r="A1454" s="31"/>
      <c r="B1454">
        <f>COUNTIF(Equipamento_Tunel!$H$2:$H$158,A1454)</f>
        <v>0</v>
      </c>
    </row>
    <row r="1455" spans="1:2" x14ac:dyDescent="0.3">
      <c r="A1455" s="16"/>
      <c r="B1455">
        <f>COUNTIF(Equipamento_Tunel!$H$2:$H$158,A1455)</f>
        <v>0</v>
      </c>
    </row>
    <row r="1456" spans="1:2" x14ac:dyDescent="0.3">
      <c r="A1456" s="31"/>
      <c r="B1456">
        <f>COUNTIF(Equipamento_Tunel!$H$2:$H$158,A1456)</f>
        <v>0</v>
      </c>
    </row>
    <row r="1457" spans="1:2" x14ac:dyDescent="0.3">
      <c r="A1457" s="16"/>
      <c r="B1457">
        <f>COUNTIF(Equipamento_Tunel!$H$2:$H$158,A1457)</f>
        <v>0</v>
      </c>
    </row>
    <row r="1458" spans="1:2" x14ac:dyDescent="0.3">
      <c r="A1458" s="31"/>
      <c r="B1458">
        <f>COUNTIF(Equipamento_Tunel!$H$2:$H$158,A1458)</f>
        <v>0</v>
      </c>
    </row>
    <row r="1459" spans="1:2" x14ac:dyDescent="0.3">
      <c r="A1459" s="16"/>
      <c r="B1459">
        <f>COUNTIF(Equipamento_Tunel!$H$2:$H$158,A1459)</f>
        <v>0</v>
      </c>
    </row>
    <row r="1460" spans="1:2" x14ac:dyDescent="0.3">
      <c r="A1460" s="31"/>
      <c r="B1460">
        <f>COUNTIF(Equipamento_Tunel!$H$2:$H$158,A1460)</f>
        <v>0</v>
      </c>
    </row>
    <row r="1461" spans="1:2" x14ac:dyDescent="0.3">
      <c r="A1461" s="16"/>
      <c r="B1461">
        <f>COUNTIF(Equipamento_Tunel!$H$2:$H$158,A1461)</f>
        <v>0</v>
      </c>
    </row>
    <row r="1462" spans="1:2" x14ac:dyDescent="0.3">
      <c r="A1462" s="31"/>
      <c r="B1462">
        <f>COUNTIF(Equipamento_Tunel!$H$2:$H$158,A1462)</f>
        <v>0</v>
      </c>
    </row>
    <row r="1463" spans="1:2" x14ac:dyDescent="0.3">
      <c r="A1463" s="16"/>
      <c r="B1463">
        <f>COUNTIF(Equipamento_Tunel!$H$2:$H$158,A1463)</f>
        <v>0</v>
      </c>
    </row>
    <row r="1464" spans="1:2" x14ac:dyDescent="0.3">
      <c r="A1464" s="31"/>
      <c r="B1464">
        <f>COUNTIF(Equipamento_Tunel!$H$2:$H$158,A1464)</f>
        <v>0</v>
      </c>
    </row>
    <row r="1465" spans="1:2" x14ac:dyDescent="0.3">
      <c r="A1465" s="16"/>
      <c r="B1465">
        <f>COUNTIF(Equipamento_Tunel!$H$2:$H$158,A1465)</f>
        <v>0</v>
      </c>
    </row>
    <row r="1466" spans="1:2" x14ac:dyDescent="0.3">
      <c r="A1466" s="31"/>
      <c r="B1466">
        <f>COUNTIF(Equipamento_Tunel!$H$2:$H$158,A1466)</f>
        <v>0</v>
      </c>
    </row>
    <row r="1467" spans="1:2" x14ac:dyDescent="0.3">
      <c r="A1467" s="16"/>
      <c r="B1467">
        <f>COUNTIF(Equipamento_Tunel!$H$2:$H$158,A1467)</f>
        <v>0</v>
      </c>
    </row>
    <row r="1468" spans="1:2" x14ac:dyDescent="0.3">
      <c r="A1468" s="31"/>
      <c r="B1468">
        <f>COUNTIF(Equipamento_Tunel!$H$2:$H$158,A1468)</f>
        <v>0</v>
      </c>
    </row>
    <row r="1469" spans="1:2" x14ac:dyDescent="0.3">
      <c r="A1469" s="16"/>
      <c r="B1469">
        <f>COUNTIF(Equipamento_Tunel!$H$2:$H$158,A1469)</f>
        <v>0</v>
      </c>
    </row>
    <row r="1470" spans="1:2" x14ac:dyDescent="0.3">
      <c r="A1470" s="31"/>
      <c r="B1470">
        <f>COUNTIF(Equipamento_Tunel!$H$2:$H$158,A1470)</f>
        <v>0</v>
      </c>
    </row>
    <row r="1471" spans="1:2" x14ac:dyDescent="0.3">
      <c r="A1471" s="16"/>
      <c r="B1471">
        <f>COUNTIF(Equipamento_Tunel!$H$2:$H$158,A1471)</f>
        <v>0</v>
      </c>
    </row>
    <row r="1472" spans="1:2" x14ac:dyDescent="0.3">
      <c r="A1472" s="31"/>
      <c r="B1472">
        <f>COUNTIF(Equipamento_Tunel!$H$2:$H$158,A1472)</f>
        <v>0</v>
      </c>
    </row>
    <row r="1473" spans="1:2" x14ac:dyDescent="0.3">
      <c r="A1473" s="16"/>
      <c r="B1473">
        <f>COUNTIF(Equipamento_Tunel!$H$2:$H$158,A1473)</f>
        <v>0</v>
      </c>
    </row>
    <row r="1474" spans="1:2" x14ac:dyDescent="0.3">
      <c r="A1474" s="31"/>
      <c r="B1474">
        <f>COUNTIF(Equipamento_Tunel!$H$2:$H$158,A1474)</f>
        <v>0</v>
      </c>
    </row>
    <row r="1475" spans="1:2" x14ac:dyDescent="0.3">
      <c r="A1475" s="16"/>
      <c r="B1475">
        <f>COUNTIF(Equipamento_Tunel!$H$2:$H$158,A1475)</f>
        <v>0</v>
      </c>
    </row>
    <row r="1476" spans="1:2" x14ac:dyDescent="0.3">
      <c r="A1476" s="31"/>
      <c r="B1476">
        <f>COUNTIF(Equipamento_Tunel!$H$2:$H$158,A1476)</f>
        <v>0</v>
      </c>
    </row>
    <row r="1477" spans="1:2" x14ac:dyDescent="0.3">
      <c r="A1477" s="16"/>
      <c r="B1477">
        <f>COUNTIF(Equipamento_Tunel!$H$2:$H$158,A1477)</f>
        <v>0</v>
      </c>
    </row>
    <row r="1478" spans="1:2" x14ac:dyDescent="0.3">
      <c r="A1478" s="31"/>
      <c r="B1478">
        <f>COUNTIF(Equipamento_Tunel!$H$2:$H$158,A1478)</f>
        <v>0</v>
      </c>
    </row>
    <row r="1479" spans="1:2" x14ac:dyDescent="0.3">
      <c r="A1479" s="16"/>
      <c r="B1479">
        <f>COUNTIF(Equipamento_Tunel!$H$2:$H$158,A1479)</f>
        <v>0</v>
      </c>
    </row>
    <row r="1480" spans="1:2" x14ac:dyDescent="0.3">
      <c r="A1480" s="31"/>
      <c r="B1480">
        <f>COUNTIF(Equipamento_Tunel!$H$2:$H$158,A1480)</f>
        <v>0</v>
      </c>
    </row>
    <row r="1481" spans="1:2" x14ac:dyDescent="0.3">
      <c r="A1481" s="16"/>
      <c r="B1481">
        <f>COUNTIF(Equipamento_Tunel!$H$2:$H$158,A1481)</f>
        <v>0</v>
      </c>
    </row>
    <row r="1482" spans="1:2" x14ac:dyDescent="0.3">
      <c r="A1482" s="31"/>
      <c r="B1482">
        <f>COUNTIF(Equipamento_Tunel!$H$2:$H$158,A1482)</f>
        <v>0</v>
      </c>
    </row>
    <row r="1483" spans="1:2" x14ac:dyDescent="0.3">
      <c r="A1483" s="16"/>
      <c r="B1483">
        <f>COUNTIF(Equipamento_Tunel!$H$2:$H$158,A1483)</f>
        <v>0</v>
      </c>
    </row>
    <row r="1484" spans="1:2" x14ac:dyDescent="0.3">
      <c r="A1484" s="31"/>
      <c r="B1484">
        <f>COUNTIF(Equipamento_Tunel!$H$2:$H$158,A1484)</f>
        <v>0</v>
      </c>
    </row>
    <row r="1485" spans="1:2" x14ac:dyDescent="0.3">
      <c r="A1485" s="16"/>
      <c r="B1485">
        <f>COUNTIF(Equipamento_Tunel!$H$2:$H$158,A1485)</f>
        <v>0</v>
      </c>
    </row>
    <row r="1486" spans="1:2" x14ac:dyDescent="0.3">
      <c r="A1486" s="31"/>
      <c r="B1486">
        <f>COUNTIF(Equipamento_Tunel!$H$2:$H$158,A1486)</f>
        <v>0</v>
      </c>
    </row>
    <row r="1487" spans="1:2" x14ac:dyDescent="0.3">
      <c r="A1487" s="16"/>
      <c r="B1487">
        <f>COUNTIF(Equipamento_Tunel!$H$2:$H$158,A1487)</f>
        <v>0</v>
      </c>
    </row>
    <row r="1488" spans="1:2" x14ac:dyDescent="0.3">
      <c r="A1488" s="31"/>
      <c r="B1488">
        <f>COUNTIF(Equipamento_Tunel!$H$2:$H$158,A1488)</f>
        <v>0</v>
      </c>
    </row>
    <row r="1489" spans="1:2" x14ac:dyDescent="0.3">
      <c r="A1489" s="16"/>
      <c r="B1489">
        <f>COUNTIF(Equipamento_Tunel!$H$2:$H$158,A1489)</f>
        <v>0</v>
      </c>
    </row>
    <row r="1490" spans="1:2" x14ac:dyDescent="0.3">
      <c r="A1490" s="31"/>
      <c r="B1490">
        <f>COUNTIF(Equipamento_Tunel!$H$2:$H$158,A1490)</f>
        <v>0</v>
      </c>
    </row>
    <row r="1491" spans="1:2" x14ac:dyDescent="0.3">
      <c r="A1491" s="16"/>
      <c r="B1491">
        <f>COUNTIF(Equipamento_Tunel!$H$2:$H$158,A1491)</f>
        <v>0</v>
      </c>
    </row>
    <row r="1492" spans="1:2" x14ac:dyDescent="0.3">
      <c r="A1492" s="31"/>
      <c r="B1492">
        <f>COUNTIF(Equipamento_Tunel!$H$2:$H$158,A1492)</f>
        <v>0</v>
      </c>
    </row>
    <row r="1493" spans="1:2" x14ac:dyDescent="0.3">
      <c r="A1493" s="16"/>
      <c r="B1493">
        <f>COUNTIF(Equipamento_Tunel!$H$2:$H$158,A1493)</f>
        <v>0</v>
      </c>
    </row>
    <row r="1494" spans="1:2" x14ac:dyDescent="0.3">
      <c r="A1494" s="31"/>
      <c r="B1494">
        <f>COUNTIF(Equipamento_Tunel!$H$2:$H$158,A1494)</f>
        <v>0</v>
      </c>
    </row>
    <row r="1495" spans="1:2" x14ac:dyDescent="0.3">
      <c r="A1495" s="16"/>
      <c r="B1495">
        <f>COUNTIF(Equipamento_Tunel!$H$2:$H$158,A1495)</f>
        <v>0</v>
      </c>
    </row>
    <row r="1496" spans="1:2" x14ac:dyDescent="0.3">
      <c r="A1496" s="31"/>
      <c r="B1496">
        <f>COUNTIF(Equipamento_Tunel!$H$2:$H$158,A1496)</f>
        <v>0</v>
      </c>
    </row>
    <row r="1497" spans="1:2" x14ac:dyDescent="0.3">
      <c r="A1497" s="16"/>
      <c r="B1497">
        <f>COUNTIF(Equipamento_Tunel!$H$2:$H$158,A1497)</f>
        <v>0</v>
      </c>
    </row>
    <row r="1498" spans="1:2" x14ac:dyDescent="0.3">
      <c r="A1498" s="31"/>
      <c r="B1498">
        <f>COUNTIF(Equipamento_Tunel!$H$2:$H$158,A1498)</f>
        <v>0</v>
      </c>
    </row>
    <row r="1499" spans="1:2" x14ac:dyDescent="0.3">
      <c r="A1499" s="16"/>
      <c r="B1499">
        <f>COUNTIF(Equipamento_Tunel!$H$2:$H$158,A1499)</f>
        <v>0</v>
      </c>
    </row>
    <row r="1500" spans="1:2" x14ac:dyDescent="0.3">
      <c r="A1500" s="31"/>
      <c r="B1500">
        <f>COUNTIF(Equipamento_Tunel!$H$2:$H$158,A1500)</f>
        <v>0</v>
      </c>
    </row>
    <row r="1501" spans="1:2" x14ac:dyDescent="0.3">
      <c r="A1501" s="16"/>
      <c r="B1501">
        <f>COUNTIF(Equipamento_Tunel!$H$2:$H$158,A1501)</f>
        <v>0</v>
      </c>
    </row>
    <row r="1502" spans="1:2" x14ac:dyDescent="0.3">
      <c r="A1502" s="31"/>
      <c r="B1502">
        <f>COUNTIF(Equipamento_Tunel!$H$2:$H$158,A1502)</f>
        <v>0</v>
      </c>
    </row>
    <row r="1503" spans="1:2" x14ac:dyDescent="0.3">
      <c r="A1503" s="16"/>
      <c r="B1503">
        <f>COUNTIF(Equipamento_Tunel!$H$2:$H$158,A1503)</f>
        <v>0</v>
      </c>
    </row>
    <row r="1504" spans="1:2" x14ac:dyDescent="0.3">
      <c r="A1504" s="31"/>
      <c r="B1504">
        <f>COUNTIF(Equipamento_Tunel!$H$2:$H$158,A1504)</f>
        <v>0</v>
      </c>
    </row>
    <row r="1505" spans="1:2" x14ac:dyDescent="0.3">
      <c r="A1505" s="16"/>
      <c r="B1505">
        <f>COUNTIF(Equipamento_Tunel!$H$2:$H$158,A1505)</f>
        <v>0</v>
      </c>
    </row>
    <row r="1506" spans="1:2" x14ac:dyDescent="0.3">
      <c r="A1506" s="31"/>
      <c r="B1506">
        <f>COUNTIF(Equipamento_Tunel!$H$2:$H$158,A1506)</f>
        <v>0</v>
      </c>
    </row>
    <row r="1507" spans="1:2" x14ac:dyDescent="0.3">
      <c r="A1507" s="16"/>
      <c r="B1507">
        <f>COUNTIF(Equipamento_Tunel!$H$2:$H$158,A1507)</f>
        <v>0</v>
      </c>
    </row>
    <row r="1508" spans="1:2" x14ac:dyDescent="0.3">
      <c r="A1508" s="31"/>
      <c r="B1508">
        <f>COUNTIF(Equipamento_Tunel!$H$2:$H$158,A1508)</f>
        <v>0</v>
      </c>
    </row>
    <row r="1509" spans="1:2" x14ac:dyDescent="0.3">
      <c r="A1509" s="16"/>
      <c r="B1509">
        <f>COUNTIF(Equipamento_Tunel!$H$2:$H$158,A1509)</f>
        <v>0</v>
      </c>
    </row>
    <row r="1510" spans="1:2" x14ac:dyDescent="0.3">
      <c r="A1510" s="31"/>
      <c r="B1510">
        <f>COUNTIF(Equipamento_Tunel!$H$2:$H$158,A1510)</f>
        <v>0</v>
      </c>
    </row>
    <row r="1511" spans="1:2" x14ac:dyDescent="0.3">
      <c r="A1511" s="16"/>
      <c r="B1511">
        <f>COUNTIF(Equipamento_Tunel!$H$2:$H$158,A1511)</f>
        <v>0</v>
      </c>
    </row>
    <row r="1512" spans="1:2" x14ac:dyDescent="0.3">
      <c r="A1512" s="31"/>
      <c r="B1512">
        <f>COUNTIF(Equipamento_Tunel!$H$2:$H$158,A1512)</f>
        <v>0</v>
      </c>
    </row>
    <row r="1513" spans="1:2" x14ac:dyDescent="0.3">
      <c r="A1513" s="16"/>
      <c r="B1513">
        <f>COUNTIF(Equipamento_Tunel!$H$2:$H$158,A1513)</f>
        <v>0</v>
      </c>
    </row>
    <row r="1514" spans="1:2" x14ac:dyDescent="0.3">
      <c r="A1514" s="31"/>
      <c r="B1514">
        <f>COUNTIF(Equipamento_Tunel!$H$2:$H$158,A1514)</f>
        <v>0</v>
      </c>
    </row>
    <row r="1515" spans="1:2" x14ac:dyDescent="0.3">
      <c r="A1515" s="16"/>
      <c r="B1515">
        <f>COUNTIF(Equipamento_Tunel!$H$2:$H$158,A1515)</f>
        <v>0</v>
      </c>
    </row>
    <row r="1516" spans="1:2" x14ac:dyDescent="0.3">
      <c r="A1516" s="31"/>
      <c r="B1516">
        <f>COUNTIF(Equipamento_Tunel!$H$2:$H$158,A1516)</f>
        <v>0</v>
      </c>
    </row>
    <row r="1517" spans="1:2" x14ac:dyDescent="0.3">
      <c r="A1517" s="16"/>
      <c r="B1517">
        <f>COUNTIF(Equipamento_Tunel!$H$2:$H$158,A1517)</f>
        <v>0</v>
      </c>
    </row>
    <row r="1518" spans="1:2" x14ac:dyDescent="0.3">
      <c r="A1518" s="31"/>
      <c r="B1518">
        <f>COUNTIF(Equipamento_Tunel!$H$2:$H$158,A1518)</f>
        <v>0</v>
      </c>
    </row>
    <row r="1519" spans="1:2" x14ac:dyDescent="0.3">
      <c r="A1519" s="16"/>
      <c r="B1519">
        <f>COUNTIF(Equipamento_Tunel!$H$2:$H$158,A1519)</f>
        <v>0</v>
      </c>
    </row>
    <row r="1520" spans="1:2" x14ac:dyDescent="0.3">
      <c r="A1520" s="31"/>
      <c r="B1520">
        <f>COUNTIF(Equipamento_Tunel!$H$2:$H$158,A1520)</f>
        <v>0</v>
      </c>
    </row>
    <row r="1521" spans="1:2" x14ac:dyDescent="0.3">
      <c r="A1521" s="16"/>
      <c r="B1521">
        <f>COUNTIF(Equipamento_Tunel!$H$2:$H$158,A1521)</f>
        <v>0</v>
      </c>
    </row>
    <row r="1522" spans="1:2" x14ac:dyDescent="0.3">
      <c r="A1522" s="31"/>
      <c r="B1522">
        <f>COUNTIF(Equipamento_Tunel!$H$2:$H$158,A1522)</f>
        <v>0</v>
      </c>
    </row>
    <row r="1523" spans="1:2" x14ac:dyDescent="0.3">
      <c r="A1523" s="16"/>
      <c r="B1523">
        <f>COUNTIF(Equipamento_Tunel!$H$2:$H$158,A1523)</f>
        <v>0</v>
      </c>
    </row>
    <row r="1524" spans="1:2" x14ac:dyDescent="0.3">
      <c r="A1524" s="31"/>
      <c r="B1524">
        <f>COUNTIF(Equipamento_Tunel!$H$2:$H$158,A1524)</f>
        <v>0</v>
      </c>
    </row>
    <row r="1525" spans="1:2" x14ac:dyDescent="0.3">
      <c r="A1525" s="16"/>
      <c r="B1525">
        <f>COUNTIF(Equipamento_Tunel!$H$2:$H$158,A1525)</f>
        <v>0</v>
      </c>
    </row>
    <row r="1526" spans="1:2" x14ac:dyDescent="0.3">
      <c r="A1526" s="31"/>
      <c r="B1526">
        <f>COUNTIF(Equipamento_Tunel!$H$2:$H$158,A1526)</f>
        <v>0</v>
      </c>
    </row>
    <row r="1527" spans="1:2" x14ac:dyDescent="0.3">
      <c r="A1527" s="16"/>
      <c r="B1527">
        <f>COUNTIF(Equipamento_Tunel!$H$2:$H$158,A1527)</f>
        <v>0</v>
      </c>
    </row>
    <row r="1528" spans="1:2" x14ac:dyDescent="0.3">
      <c r="A1528" s="31"/>
      <c r="B1528">
        <f>COUNTIF(Equipamento_Tunel!$H$2:$H$158,A1528)</f>
        <v>0</v>
      </c>
    </row>
    <row r="1529" spans="1:2" x14ac:dyDescent="0.3">
      <c r="A1529" s="16"/>
      <c r="B1529">
        <f>COUNTIF(Equipamento_Tunel!$H$2:$H$158,A1529)</f>
        <v>0</v>
      </c>
    </row>
    <row r="1530" spans="1:2" x14ac:dyDescent="0.3">
      <c r="A1530" s="31"/>
      <c r="B1530">
        <f>COUNTIF(Equipamento_Tunel!$H$2:$H$158,A1530)</f>
        <v>0</v>
      </c>
    </row>
    <row r="1531" spans="1:2" x14ac:dyDescent="0.3">
      <c r="A1531" s="16"/>
      <c r="B1531">
        <f>COUNTIF(Equipamento_Tunel!$H$2:$H$158,A1531)</f>
        <v>0</v>
      </c>
    </row>
    <row r="1532" spans="1:2" x14ac:dyDescent="0.3">
      <c r="A1532" s="31"/>
      <c r="B1532">
        <f>COUNTIF(Equipamento_Tunel!$H$2:$H$158,A1532)</f>
        <v>0</v>
      </c>
    </row>
    <row r="1533" spans="1:2" x14ac:dyDescent="0.3">
      <c r="A1533" s="16"/>
      <c r="B1533">
        <f>COUNTIF(Equipamento_Tunel!$H$2:$H$158,A1533)</f>
        <v>0</v>
      </c>
    </row>
    <row r="1534" spans="1:2" x14ac:dyDescent="0.3">
      <c r="A1534" s="31"/>
      <c r="B1534">
        <f>COUNTIF(Equipamento_Tunel!$H$2:$H$158,A1534)</f>
        <v>0</v>
      </c>
    </row>
    <row r="1535" spans="1:2" x14ac:dyDescent="0.3">
      <c r="A1535" s="16"/>
      <c r="B1535">
        <f>COUNTIF(Equipamento_Tunel!$H$2:$H$158,A1535)</f>
        <v>0</v>
      </c>
    </row>
    <row r="1536" spans="1:2" x14ac:dyDescent="0.3">
      <c r="A1536" s="31"/>
      <c r="B1536">
        <f>COUNTIF(Equipamento_Tunel!$H$2:$H$158,A1536)</f>
        <v>0</v>
      </c>
    </row>
    <row r="1537" spans="1:2" x14ac:dyDescent="0.3">
      <c r="A1537" s="16"/>
      <c r="B1537">
        <f>COUNTIF(Equipamento_Tunel!$H$2:$H$158,A1537)</f>
        <v>0</v>
      </c>
    </row>
    <row r="1538" spans="1:2" x14ac:dyDescent="0.3">
      <c r="A1538" s="31"/>
      <c r="B1538">
        <f>COUNTIF(Equipamento_Tunel!$H$2:$H$158,A1538)</f>
        <v>0</v>
      </c>
    </row>
    <row r="1539" spans="1:2" x14ac:dyDescent="0.3">
      <c r="A1539" s="16"/>
      <c r="B1539">
        <f>COUNTIF(Equipamento_Tunel!$H$2:$H$158,A1539)</f>
        <v>0</v>
      </c>
    </row>
    <row r="1540" spans="1:2" x14ac:dyDescent="0.3">
      <c r="A1540" s="31"/>
      <c r="B1540">
        <f>COUNTIF(Equipamento_Tunel!$H$2:$H$158,A1540)</f>
        <v>0</v>
      </c>
    </row>
    <row r="1541" spans="1:2" x14ac:dyDescent="0.3">
      <c r="A1541" s="16"/>
      <c r="B1541">
        <f>COUNTIF(Equipamento_Tunel!$H$2:$H$158,A1541)</f>
        <v>0</v>
      </c>
    </row>
    <row r="1542" spans="1:2" x14ac:dyDescent="0.3">
      <c r="A1542" s="31"/>
      <c r="B1542">
        <f>COUNTIF(Equipamento_Tunel!$H$2:$H$158,A1542)</f>
        <v>0</v>
      </c>
    </row>
    <row r="1543" spans="1:2" x14ac:dyDescent="0.3">
      <c r="A1543" s="16"/>
      <c r="B1543">
        <f>COUNTIF(Equipamento_Tunel!$H$2:$H$158,A1543)</f>
        <v>0</v>
      </c>
    </row>
    <row r="1544" spans="1:2" x14ac:dyDescent="0.3">
      <c r="A1544" s="31"/>
      <c r="B1544">
        <f>COUNTIF(Equipamento_Tunel!$H$2:$H$158,A1544)</f>
        <v>0</v>
      </c>
    </row>
    <row r="1545" spans="1:2" x14ac:dyDescent="0.3">
      <c r="A1545" s="16"/>
      <c r="B1545">
        <f>COUNTIF(Equipamento_Tunel!$H$2:$H$158,A1545)</f>
        <v>0</v>
      </c>
    </row>
    <row r="1546" spans="1:2" x14ac:dyDescent="0.3">
      <c r="A1546" s="31"/>
      <c r="B1546">
        <f>COUNTIF(Equipamento_Tunel!$H$2:$H$158,A1546)</f>
        <v>0</v>
      </c>
    </row>
    <row r="1547" spans="1:2" x14ac:dyDescent="0.3">
      <c r="A1547" s="16"/>
      <c r="B1547">
        <f>COUNTIF(Equipamento_Tunel!$H$2:$H$158,A1547)</f>
        <v>0</v>
      </c>
    </row>
    <row r="1548" spans="1:2" x14ac:dyDescent="0.3">
      <c r="A1548" s="31"/>
      <c r="B1548">
        <f>COUNTIF(Equipamento_Tunel!$H$2:$H$158,A1548)</f>
        <v>0</v>
      </c>
    </row>
    <row r="1549" spans="1:2" x14ac:dyDescent="0.3">
      <c r="A1549" s="16"/>
      <c r="B1549">
        <f>COUNTIF(Equipamento_Tunel!$H$2:$H$158,A1549)</f>
        <v>0</v>
      </c>
    </row>
    <row r="1550" spans="1:2" x14ac:dyDescent="0.3">
      <c r="A1550" s="31"/>
      <c r="B1550">
        <f>COUNTIF(Equipamento_Tunel!$H$2:$H$158,A1550)</f>
        <v>0</v>
      </c>
    </row>
    <row r="1551" spans="1:2" x14ac:dyDescent="0.3">
      <c r="A1551" s="16"/>
      <c r="B1551">
        <f>COUNTIF(Equipamento_Tunel!$H$2:$H$158,A1551)</f>
        <v>0</v>
      </c>
    </row>
    <row r="1552" spans="1:2" x14ac:dyDescent="0.3">
      <c r="A1552" s="31"/>
      <c r="B1552">
        <f>COUNTIF(Equipamento_Tunel!$H$2:$H$158,A1552)</f>
        <v>0</v>
      </c>
    </row>
    <row r="1553" spans="1:2" x14ac:dyDescent="0.3">
      <c r="A1553" s="16"/>
      <c r="B1553">
        <f>COUNTIF(Equipamento_Tunel!$H$2:$H$158,A1553)</f>
        <v>0</v>
      </c>
    </row>
    <row r="1554" spans="1:2" x14ac:dyDescent="0.3">
      <c r="A1554" s="31"/>
      <c r="B1554">
        <f>COUNTIF(Equipamento_Tunel!$H$2:$H$158,A1554)</f>
        <v>0</v>
      </c>
    </row>
    <row r="1555" spans="1:2" x14ac:dyDescent="0.3">
      <c r="A1555" s="16"/>
      <c r="B1555">
        <f>COUNTIF(Equipamento_Tunel!$H$2:$H$158,A1555)</f>
        <v>0</v>
      </c>
    </row>
    <row r="1556" spans="1:2" x14ac:dyDescent="0.3">
      <c r="A1556" s="31"/>
      <c r="B1556">
        <f>COUNTIF(Equipamento_Tunel!$H$2:$H$158,A1556)</f>
        <v>0</v>
      </c>
    </row>
    <row r="1557" spans="1:2" x14ac:dyDescent="0.3">
      <c r="A1557" s="16"/>
      <c r="B1557">
        <f>COUNTIF(Equipamento_Tunel!$H$2:$H$158,A1557)</f>
        <v>0</v>
      </c>
    </row>
    <row r="1558" spans="1:2" x14ac:dyDescent="0.3">
      <c r="A1558" s="31"/>
      <c r="B1558">
        <f>COUNTIF(Equipamento_Tunel!$H$2:$H$158,A1558)</f>
        <v>0</v>
      </c>
    </row>
    <row r="1559" spans="1:2" x14ac:dyDescent="0.3">
      <c r="A1559" s="16"/>
      <c r="B1559">
        <f>COUNTIF(Equipamento_Tunel!$H$2:$H$158,A1559)</f>
        <v>0</v>
      </c>
    </row>
    <row r="1560" spans="1:2" x14ac:dyDescent="0.3">
      <c r="A1560" s="31"/>
      <c r="B1560">
        <f>COUNTIF(Equipamento_Tunel!$H$2:$H$158,A1560)</f>
        <v>0</v>
      </c>
    </row>
    <row r="1561" spans="1:2" x14ac:dyDescent="0.3">
      <c r="A1561" s="16"/>
      <c r="B1561">
        <f>COUNTIF(Equipamento_Tunel!$H$2:$H$158,A1561)</f>
        <v>0</v>
      </c>
    </row>
    <row r="1562" spans="1:2" x14ac:dyDescent="0.3">
      <c r="A1562" s="31"/>
      <c r="B1562">
        <f>COUNTIF(Equipamento_Tunel!$H$2:$H$158,A1562)</f>
        <v>0</v>
      </c>
    </row>
    <row r="1563" spans="1:2" x14ac:dyDescent="0.3">
      <c r="A1563" s="16"/>
      <c r="B1563">
        <f>COUNTIF(Equipamento_Tunel!$H$2:$H$158,A1563)</f>
        <v>0</v>
      </c>
    </row>
    <row r="1564" spans="1:2" x14ac:dyDescent="0.3">
      <c r="A1564" s="31"/>
      <c r="B1564">
        <f>COUNTIF(Equipamento_Tunel!$H$2:$H$158,A1564)</f>
        <v>0</v>
      </c>
    </row>
    <row r="1565" spans="1:2" x14ac:dyDescent="0.3">
      <c r="A1565" s="16"/>
      <c r="B1565">
        <f>COUNTIF(Equipamento_Tunel!$H$2:$H$158,A1565)</f>
        <v>0</v>
      </c>
    </row>
    <row r="1566" spans="1:2" x14ac:dyDescent="0.3">
      <c r="A1566" s="31"/>
      <c r="B1566">
        <f>COUNTIF(Equipamento_Tunel!$H$2:$H$158,A1566)</f>
        <v>0</v>
      </c>
    </row>
    <row r="1567" spans="1:2" x14ac:dyDescent="0.3">
      <c r="A1567" s="16"/>
      <c r="B1567">
        <f>COUNTIF(Equipamento_Tunel!$H$2:$H$158,A1567)</f>
        <v>0</v>
      </c>
    </row>
    <row r="1568" spans="1:2" x14ac:dyDescent="0.3">
      <c r="A1568" s="31"/>
      <c r="B1568">
        <f>COUNTIF(Equipamento_Tunel!$H$2:$H$158,A1568)</f>
        <v>0</v>
      </c>
    </row>
    <row r="1569" spans="1:2" x14ac:dyDescent="0.3">
      <c r="A1569" s="16"/>
      <c r="B1569">
        <f>COUNTIF(Equipamento_Tunel!$H$2:$H$158,A1569)</f>
        <v>0</v>
      </c>
    </row>
    <row r="1570" spans="1:2" x14ac:dyDescent="0.3">
      <c r="A1570" s="31"/>
      <c r="B1570">
        <f>COUNTIF(Equipamento_Tunel!$H$2:$H$158,A1570)</f>
        <v>0</v>
      </c>
    </row>
    <row r="1571" spans="1:2" x14ac:dyDescent="0.3">
      <c r="A1571" s="16"/>
      <c r="B1571">
        <f>COUNTIF(Equipamento_Tunel!$H$2:$H$158,A1571)</f>
        <v>0</v>
      </c>
    </row>
    <row r="1572" spans="1:2" x14ac:dyDescent="0.3">
      <c r="A1572" s="31"/>
      <c r="B1572">
        <f>COUNTIF(Equipamento_Tunel!$H$2:$H$158,A1572)</f>
        <v>0</v>
      </c>
    </row>
    <row r="1573" spans="1:2" x14ac:dyDescent="0.3">
      <c r="A1573" s="16"/>
      <c r="B1573">
        <f>COUNTIF(Equipamento_Tunel!$H$2:$H$158,A1573)</f>
        <v>0</v>
      </c>
    </row>
    <row r="1574" spans="1:2" x14ac:dyDescent="0.3">
      <c r="A1574" s="31"/>
      <c r="B1574">
        <f>COUNTIF(Equipamento_Tunel!$H$2:$H$158,A1574)</f>
        <v>0</v>
      </c>
    </row>
    <row r="1575" spans="1:2" x14ac:dyDescent="0.3">
      <c r="A1575" s="16"/>
      <c r="B1575">
        <f>COUNTIF(Equipamento_Tunel!$H$2:$H$158,A1575)</f>
        <v>0</v>
      </c>
    </row>
    <row r="1576" spans="1:2" x14ac:dyDescent="0.3">
      <c r="A1576" s="31"/>
      <c r="B1576">
        <f>COUNTIF(Equipamento_Tunel!$H$2:$H$158,A1576)</f>
        <v>0</v>
      </c>
    </row>
    <row r="1577" spans="1:2" x14ac:dyDescent="0.3">
      <c r="A1577" s="16"/>
      <c r="B1577">
        <f>COUNTIF(Equipamento_Tunel!$H$2:$H$158,A1577)</f>
        <v>0</v>
      </c>
    </row>
    <row r="1578" spans="1:2" x14ac:dyDescent="0.3">
      <c r="A1578" s="31"/>
      <c r="B1578">
        <f>COUNTIF(Equipamento_Tunel!$H$2:$H$158,A1578)</f>
        <v>0</v>
      </c>
    </row>
    <row r="1579" spans="1:2" x14ac:dyDescent="0.3">
      <c r="A1579" s="16"/>
      <c r="B1579">
        <f>COUNTIF(Equipamento_Tunel!$H$2:$H$158,A1579)</f>
        <v>0</v>
      </c>
    </row>
    <row r="1580" spans="1:2" x14ac:dyDescent="0.3">
      <c r="A1580" s="31"/>
      <c r="B1580">
        <f>COUNTIF(Equipamento_Tunel!$H$2:$H$158,A1580)</f>
        <v>0</v>
      </c>
    </row>
    <row r="1581" spans="1:2" x14ac:dyDescent="0.3">
      <c r="A1581" s="16"/>
      <c r="B1581">
        <f>COUNTIF(Equipamento_Tunel!$H$2:$H$158,A1581)</f>
        <v>0</v>
      </c>
    </row>
    <row r="1582" spans="1:2" x14ac:dyDescent="0.3">
      <c r="A1582" s="31"/>
      <c r="B1582">
        <f>COUNTIF(Equipamento_Tunel!$H$2:$H$158,A1582)</f>
        <v>0</v>
      </c>
    </row>
    <row r="1583" spans="1:2" x14ac:dyDescent="0.3">
      <c r="A1583" s="16"/>
      <c r="B1583">
        <f>COUNTIF(Equipamento_Tunel!$H$2:$H$158,A1583)</f>
        <v>0</v>
      </c>
    </row>
    <row r="1584" spans="1:2" x14ac:dyDescent="0.3">
      <c r="A1584" s="31"/>
      <c r="B1584">
        <f>COUNTIF(Equipamento_Tunel!$H$2:$H$158,A1584)</f>
        <v>0</v>
      </c>
    </row>
    <row r="1585" spans="1:2" x14ac:dyDescent="0.3">
      <c r="A1585" s="16"/>
      <c r="B1585">
        <f>COUNTIF(Equipamento_Tunel!$H$2:$H$158,A1585)</f>
        <v>0</v>
      </c>
    </row>
    <row r="1586" spans="1:2" x14ac:dyDescent="0.3">
      <c r="A1586" s="31"/>
      <c r="B1586">
        <f>COUNTIF(Equipamento_Tunel!$H$2:$H$158,A1586)</f>
        <v>0</v>
      </c>
    </row>
    <row r="1587" spans="1:2" x14ac:dyDescent="0.3">
      <c r="A1587" s="16"/>
      <c r="B1587">
        <f>COUNTIF(Equipamento_Tunel!$H$2:$H$158,A1587)</f>
        <v>0</v>
      </c>
    </row>
    <row r="1588" spans="1:2" x14ac:dyDescent="0.3">
      <c r="A1588" s="31"/>
      <c r="B1588">
        <f>COUNTIF(Equipamento_Tunel!$H$2:$H$158,A1588)</f>
        <v>0</v>
      </c>
    </row>
    <row r="1589" spans="1:2" x14ac:dyDescent="0.3">
      <c r="A1589" s="16"/>
      <c r="B1589">
        <f>COUNTIF(Equipamento_Tunel!$H$2:$H$158,A1589)</f>
        <v>0</v>
      </c>
    </row>
    <row r="1590" spans="1:2" x14ac:dyDescent="0.3">
      <c r="A1590" s="31"/>
      <c r="B1590">
        <f>COUNTIF(Equipamento_Tunel!$H$2:$H$158,A1590)</f>
        <v>0</v>
      </c>
    </row>
    <row r="1591" spans="1:2" x14ac:dyDescent="0.3">
      <c r="A1591" s="16"/>
      <c r="B1591">
        <f>COUNTIF(Equipamento_Tunel!$H$2:$H$158,A1591)</f>
        <v>0</v>
      </c>
    </row>
    <row r="1592" spans="1:2" x14ac:dyDescent="0.3">
      <c r="A1592" s="31"/>
      <c r="B1592">
        <f>COUNTIF(Equipamento_Tunel!$H$2:$H$158,A1592)</f>
        <v>0</v>
      </c>
    </row>
    <row r="1593" spans="1:2" x14ac:dyDescent="0.3">
      <c r="A1593" s="16"/>
      <c r="B1593">
        <f>COUNTIF(Equipamento_Tunel!$H$2:$H$158,A1593)</f>
        <v>0</v>
      </c>
    </row>
    <row r="1594" spans="1:2" x14ac:dyDescent="0.3">
      <c r="A1594" s="31"/>
      <c r="B1594">
        <f>COUNTIF(Equipamento_Tunel!$H$2:$H$158,A1594)</f>
        <v>0</v>
      </c>
    </row>
    <row r="1595" spans="1:2" x14ac:dyDescent="0.3">
      <c r="A1595" s="16"/>
      <c r="B1595">
        <f>COUNTIF(Equipamento_Tunel!$H$2:$H$158,A1595)</f>
        <v>0</v>
      </c>
    </row>
    <row r="1596" spans="1:2" x14ac:dyDescent="0.3">
      <c r="A1596" s="31"/>
      <c r="B1596">
        <f>COUNTIF(Equipamento_Tunel!$H$2:$H$158,A1596)</f>
        <v>0</v>
      </c>
    </row>
    <row r="1597" spans="1:2" x14ac:dyDescent="0.3">
      <c r="A1597" s="16"/>
      <c r="B1597">
        <f>COUNTIF(Equipamento_Tunel!$H$2:$H$158,A1597)</f>
        <v>0</v>
      </c>
    </row>
    <row r="1598" spans="1:2" x14ac:dyDescent="0.3">
      <c r="A1598" s="31"/>
      <c r="B1598">
        <f>COUNTIF(Equipamento_Tunel!$H$2:$H$158,A1598)</f>
        <v>0</v>
      </c>
    </row>
    <row r="1599" spans="1:2" x14ac:dyDescent="0.3">
      <c r="A1599" s="16"/>
      <c r="B1599">
        <f>COUNTIF(Equipamento_Tunel!$H$2:$H$158,A1599)</f>
        <v>0</v>
      </c>
    </row>
    <row r="1600" spans="1:2" x14ac:dyDescent="0.3">
      <c r="A1600" s="31"/>
      <c r="B1600">
        <f>COUNTIF(Equipamento_Tunel!$H$2:$H$158,A1600)</f>
        <v>0</v>
      </c>
    </row>
    <row r="1601" spans="1:2" x14ac:dyDescent="0.3">
      <c r="A1601" s="16"/>
      <c r="B1601">
        <f>COUNTIF(Equipamento_Tunel!$H$2:$H$158,A1601)</f>
        <v>0</v>
      </c>
    </row>
    <row r="1602" spans="1:2" x14ac:dyDescent="0.3">
      <c r="A1602" s="31"/>
      <c r="B1602">
        <f>COUNTIF(Equipamento_Tunel!$H$2:$H$158,A1602)</f>
        <v>0</v>
      </c>
    </row>
    <row r="1603" spans="1:2" x14ac:dyDescent="0.3">
      <c r="A1603" s="16"/>
      <c r="B1603">
        <f>COUNTIF(Equipamento_Tunel!$H$2:$H$158,A1603)</f>
        <v>0</v>
      </c>
    </row>
    <row r="1604" spans="1:2" x14ac:dyDescent="0.3">
      <c r="A1604" s="31"/>
      <c r="B1604">
        <f>COUNTIF(Equipamento_Tunel!$H$2:$H$158,A1604)</f>
        <v>0</v>
      </c>
    </row>
    <row r="1605" spans="1:2" x14ac:dyDescent="0.3">
      <c r="A1605" s="16"/>
      <c r="B1605">
        <f>COUNTIF(Equipamento_Tunel!$H$2:$H$158,A1605)</f>
        <v>0</v>
      </c>
    </row>
    <row r="1606" spans="1:2" x14ac:dyDescent="0.3">
      <c r="A1606" s="31"/>
      <c r="B1606">
        <f>COUNTIF(Equipamento_Tunel!$H$2:$H$158,A1606)</f>
        <v>0</v>
      </c>
    </row>
    <row r="1607" spans="1:2" x14ac:dyDescent="0.3">
      <c r="A1607" s="16"/>
      <c r="B1607">
        <f>COUNTIF(Equipamento_Tunel!$H$2:$H$158,A1607)</f>
        <v>0</v>
      </c>
    </row>
    <row r="1608" spans="1:2" x14ac:dyDescent="0.3">
      <c r="A1608" s="31"/>
      <c r="B1608">
        <f>COUNTIF(Equipamento_Tunel!$H$2:$H$158,A1608)</f>
        <v>0</v>
      </c>
    </row>
    <row r="1609" spans="1:2" x14ac:dyDescent="0.3">
      <c r="A1609" s="16"/>
      <c r="B1609">
        <f>COUNTIF(Equipamento_Tunel!$H$2:$H$158,A1609)</f>
        <v>0</v>
      </c>
    </row>
    <row r="1610" spans="1:2" x14ac:dyDescent="0.3">
      <c r="A1610" s="31"/>
      <c r="B1610">
        <f>COUNTIF(Equipamento_Tunel!$H$2:$H$158,A1610)</f>
        <v>0</v>
      </c>
    </row>
    <row r="1611" spans="1:2" x14ac:dyDescent="0.3">
      <c r="A1611" s="16"/>
      <c r="B1611">
        <f>COUNTIF(Equipamento_Tunel!$H$2:$H$158,A1611)</f>
        <v>0</v>
      </c>
    </row>
    <row r="1612" spans="1:2" x14ac:dyDescent="0.3">
      <c r="A1612" s="31"/>
      <c r="B1612">
        <f>COUNTIF(Equipamento_Tunel!$H$2:$H$158,A1612)</f>
        <v>0</v>
      </c>
    </row>
    <row r="1613" spans="1:2" x14ac:dyDescent="0.3">
      <c r="A1613" s="16"/>
      <c r="B1613">
        <f>COUNTIF(Equipamento_Tunel!$H$2:$H$158,A1613)</f>
        <v>0</v>
      </c>
    </row>
    <row r="1614" spans="1:2" x14ac:dyDescent="0.3">
      <c r="A1614" s="31"/>
      <c r="B1614">
        <f>COUNTIF(Equipamento_Tunel!$H$2:$H$158,A1614)</f>
        <v>0</v>
      </c>
    </row>
    <row r="1615" spans="1:2" x14ac:dyDescent="0.3">
      <c r="A1615" s="16"/>
      <c r="B1615">
        <f>COUNTIF(Equipamento_Tunel!$H$2:$H$158,A1615)</f>
        <v>0</v>
      </c>
    </row>
    <row r="1616" spans="1:2" x14ac:dyDescent="0.3">
      <c r="A1616" s="31"/>
      <c r="B1616">
        <f>COUNTIF(Equipamento_Tunel!$H$2:$H$158,A1616)</f>
        <v>0</v>
      </c>
    </row>
    <row r="1617" spans="1:2" x14ac:dyDescent="0.3">
      <c r="A1617" s="16"/>
      <c r="B1617">
        <f>COUNTIF(Equipamento_Tunel!$H$2:$H$158,A1617)</f>
        <v>0</v>
      </c>
    </row>
    <row r="1618" spans="1:2" x14ac:dyDescent="0.3">
      <c r="A1618" s="31"/>
      <c r="B1618">
        <f>COUNTIF(Equipamento_Tunel!$H$2:$H$158,A1618)</f>
        <v>0</v>
      </c>
    </row>
    <row r="1619" spans="1:2" x14ac:dyDescent="0.3">
      <c r="A1619" s="16"/>
      <c r="B1619">
        <f>COUNTIF(Equipamento_Tunel!$H$2:$H$158,A1619)</f>
        <v>0</v>
      </c>
    </row>
    <row r="1620" spans="1:2" x14ac:dyDescent="0.3">
      <c r="A1620" s="31"/>
      <c r="B1620">
        <f>COUNTIF(Equipamento_Tunel!$H$2:$H$158,A1620)</f>
        <v>0</v>
      </c>
    </row>
    <row r="1621" spans="1:2" x14ac:dyDescent="0.3">
      <c r="A1621" s="16"/>
      <c r="B1621">
        <f>COUNTIF(Equipamento_Tunel!$H$2:$H$158,A1621)</f>
        <v>0</v>
      </c>
    </row>
    <row r="1622" spans="1:2" x14ac:dyDescent="0.3">
      <c r="A1622" s="31"/>
      <c r="B1622">
        <f>COUNTIF(Equipamento_Tunel!$H$2:$H$158,A1622)</f>
        <v>0</v>
      </c>
    </row>
    <row r="1623" spans="1:2" x14ac:dyDescent="0.3">
      <c r="A1623" s="16"/>
      <c r="B1623">
        <f>COUNTIF(Equipamento_Tunel!$H$2:$H$158,A1623)</f>
        <v>0</v>
      </c>
    </row>
    <row r="1624" spans="1:2" x14ac:dyDescent="0.3">
      <c r="A1624" s="31"/>
      <c r="B1624">
        <f>COUNTIF(Equipamento_Tunel!$H$2:$H$158,A1624)</f>
        <v>0</v>
      </c>
    </row>
    <row r="1625" spans="1:2" x14ac:dyDescent="0.3">
      <c r="A1625" s="16"/>
      <c r="B1625">
        <f>COUNTIF(Equipamento_Tunel!$H$2:$H$158,A1625)</f>
        <v>0</v>
      </c>
    </row>
    <row r="1626" spans="1:2" x14ac:dyDescent="0.3">
      <c r="A1626" s="31"/>
      <c r="B1626">
        <f>COUNTIF(Equipamento_Tunel!$H$2:$H$158,A1626)</f>
        <v>0</v>
      </c>
    </row>
    <row r="1627" spans="1:2" x14ac:dyDescent="0.3">
      <c r="A1627" s="16"/>
      <c r="B1627">
        <f>COUNTIF(Equipamento_Tunel!$H$2:$H$158,A1627)</f>
        <v>0</v>
      </c>
    </row>
    <row r="1628" spans="1:2" x14ac:dyDescent="0.3">
      <c r="A1628" s="31"/>
      <c r="B1628">
        <f>COUNTIF(Equipamento_Tunel!$H$2:$H$158,A1628)</f>
        <v>0</v>
      </c>
    </row>
    <row r="1629" spans="1:2" x14ac:dyDescent="0.3">
      <c r="A1629" s="16"/>
      <c r="B1629">
        <f>COUNTIF(Equipamento_Tunel!$H$2:$H$158,A1629)</f>
        <v>0</v>
      </c>
    </row>
    <row r="1630" spans="1:2" x14ac:dyDescent="0.3">
      <c r="A1630" s="31"/>
      <c r="B1630">
        <f>COUNTIF(Equipamento_Tunel!$H$2:$H$158,A1630)</f>
        <v>0</v>
      </c>
    </row>
    <row r="1631" spans="1:2" x14ac:dyDescent="0.3">
      <c r="A1631" s="16"/>
      <c r="B1631">
        <f>COUNTIF(Equipamento_Tunel!$H$2:$H$158,A1631)</f>
        <v>0</v>
      </c>
    </row>
    <row r="1632" spans="1:2" x14ac:dyDescent="0.3">
      <c r="A1632" s="31"/>
      <c r="B1632">
        <f>COUNTIF(Equipamento_Tunel!$H$2:$H$158,A1632)</f>
        <v>0</v>
      </c>
    </row>
    <row r="1633" spans="1:2" x14ac:dyDescent="0.3">
      <c r="A1633" s="16"/>
      <c r="B1633">
        <f>COUNTIF(Equipamento_Tunel!$H$2:$H$158,A1633)</f>
        <v>0</v>
      </c>
    </row>
    <row r="1634" spans="1:2" x14ac:dyDescent="0.3">
      <c r="A1634" s="31"/>
      <c r="B1634">
        <f>COUNTIF(Equipamento_Tunel!$H$2:$H$158,A1634)</f>
        <v>0</v>
      </c>
    </row>
    <row r="1635" spans="1:2" x14ac:dyDescent="0.3">
      <c r="A1635" s="16"/>
      <c r="B1635">
        <f>COUNTIF(Equipamento_Tunel!$H$2:$H$158,A1635)</f>
        <v>0</v>
      </c>
    </row>
    <row r="1636" spans="1:2" x14ac:dyDescent="0.3">
      <c r="A1636" s="31"/>
      <c r="B1636">
        <f>COUNTIF(Equipamento_Tunel!$H$2:$H$158,A1636)</f>
        <v>0</v>
      </c>
    </row>
    <row r="1637" spans="1:2" x14ac:dyDescent="0.3">
      <c r="A1637" s="16"/>
      <c r="B1637">
        <f>COUNTIF(Equipamento_Tunel!$H$2:$H$158,A1637)</f>
        <v>0</v>
      </c>
    </row>
    <row r="1638" spans="1:2" x14ac:dyDescent="0.3">
      <c r="A1638" s="31"/>
      <c r="B1638">
        <f>COUNTIF(Equipamento_Tunel!$H$2:$H$158,A1638)</f>
        <v>0</v>
      </c>
    </row>
    <row r="1639" spans="1:2" x14ac:dyDescent="0.3">
      <c r="A1639" s="16"/>
      <c r="B1639">
        <f>COUNTIF(Equipamento_Tunel!$H$2:$H$158,A1639)</f>
        <v>0</v>
      </c>
    </row>
    <row r="1640" spans="1:2" x14ac:dyDescent="0.3">
      <c r="A1640" s="31"/>
      <c r="B1640">
        <f>COUNTIF(Equipamento_Tunel!$H$2:$H$158,A1640)</f>
        <v>0</v>
      </c>
    </row>
    <row r="1641" spans="1:2" x14ac:dyDescent="0.3">
      <c r="A1641" s="16"/>
      <c r="B1641">
        <f>COUNTIF(Equipamento_Tunel!$H$2:$H$158,A1641)</f>
        <v>0</v>
      </c>
    </row>
    <row r="1642" spans="1:2" x14ac:dyDescent="0.3">
      <c r="A1642" s="31"/>
      <c r="B1642">
        <f>COUNTIF(Equipamento_Tunel!$H$2:$H$158,A1642)</f>
        <v>0</v>
      </c>
    </row>
    <row r="1643" spans="1:2" x14ac:dyDescent="0.3">
      <c r="A1643" s="16"/>
      <c r="B1643">
        <f>COUNTIF(Equipamento_Tunel!$H$2:$H$158,A1643)</f>
        <v>0</v>
      </c>
    </row>
    <row r="1644" spans="1:2" x14ac:dyDescent="0.3">
      <c r="A1644" s="31"/>
      <c r="B1644">
        <f>COUNTIF(Equipamento_Tunel!$H$2:$H$158,A1644)</f>
        <v>0</v>
      </c>
    </row>
    <row r="1645" spans="1:2" x14ac:dyDescent="0.3">
      <c r="A1645" s="16"/>
      <c r="B1645">
        <f>COUNTIF(Equipamento_Tunel!$H$2:$H$158,A1645)</f>
        <v>0</v>
      </c>
    </row>
    <row r="1646" spans="1:2" x14ac:dyDescent="0.3">
      <c r="A1646" s="31"/>
      <c r="B1646">
        <f>COUNTIF(Equipamento_Tunel!$H$2:$H$158,A1646)</f>
        <v>0</v>
      </c>
    </row>
    <row r="1647" spans="1:2" x14ac:dyDescent="0.3">
      <c r="A1647" s="16"/>
      <c r="B1647">
        <f>COUNTIF(Equipamento_Tunel!$H$2:$H$158,A1647)</f>
        <v>0</v>
      </c>
    </row>
    <row r="1648" spans="1:2" x14ac:dyDescent="0.3">
      <c r="A1648" s="31"/>
      <c r="B1648">
        <f>COUNTIF(Equipamento_Tunel!$H$2:$H$158,A1648)</f>
        <v>0</v>
      </c>
    </row>
    <row r="1649" spans="1:2" x14ac:dyDescent="0.3">
      <c r="A1649" s="16"/>
      <c r="B1649">
        <f>COUNTIF(Equipamento_Tunel!$H$2:$H$158,A1649)</f>
        <v>0</v>
      </c>
    </row>
    <row r="1650" spans="1:2" x14ac:dyDescent="0.3">
      <c r="A1650" s="31"/>
      <c r="B1650">
        <f>COUNTIF(Equipamento_Tunel!$H$2:$H$158,A1650)</f>
        <v>0</v>
      </c>
    </row>
    <row r="1651" spans="1:2" x14ac:dyDescent="0.3">
      <c r="A1651" s="16"/>
      <c r="B1651">
        <f>COUNTIF(Equipamento_Tunel!$H$2:$H$158,A1651)</f>
        <v>0</v>
      </c>
    </row>
    <row r="1652" spans="1:2" x14ac:dyDescent="0.3">
      <c r="A1652" s="31"/>
      <c r="B1652">
        <f>COUNTIF(Equipamento_Tunel!$H$2:$H$158,A1652)</f>
        <v>0</v>
      </c>
    </row>
    <row r="1653" spans="1:2" x14ac:dyDescent="0.3">
      <c r="A1653" s="16"/>
      <c r="B1653">
        <f>COUNTIF(Equipamento_Tunel!$H$2:$H$158,A1653)</f>
        <v>0</v>
      </c>
    </row>
    <row r="1654" spans="1:2" x14ac:dyDescent="0.3">
      <c r="A1654" s="31"/>
      <c r="B1654">
        <f>COUNTIF(Equipamento_Tunel!$H$2:$H$158,A1654)</f>
        <v>0</v>
      </c>
    </row>
    <row r="1655" spans="1:2" x14ac:dyDescent="0.3">
      <c r="A1655" s="16"/>
      <c r="B1655">
        <f>COUNTIF(Equipamento_Tunel!$H$2:$H$158,A1655)</f>
        <v>0</v>
      </c>
    </row>
    <row r="1656" spans="1:2" x14ac:dyDescent="0.3">
      <c r="A1656" s="31"/>
      <c r="B1656">
        <f>COUNTIF(Equipamento_Tunel!$H$2:$H$158,A1656)</f>
        <v>0</v>
      </c>
    </row>
    <row r="1657" spans="1:2" x14ac:dyDescent="0.3">
      <c r="A1657" s="16"/>
      <c r="B1657">
        <f>COUNTIF(Equipamento_Tunel!$H$2:$H$158,A1657)</f>
        <v>0</v>
      </c>
    </row>
    <row r="1658" spans="1:2" x14ac:dyDescent="0.3">
      <c r="A1658" s="31"/>
      <c r="B1658">
        <f>COUNTIF(Equipamento_Tunel!$H$2:$H$158,A1658)</f>
        <v>0</v>
      </c>
    </row>
    <row r="1659" spans="1:2" x14ac:dyDescent="0.3">
      <c r="A1659" s="16"/>
      <c r="B1659">
        <f>COUNTIF(Equipamento_Tunel!$H$2:$H$158,A1659)</f>
        <v>0</v>
      </c>
    </row>
    <row r="1660" spans="1:2" x14ac:dyDescent="0.3">
      <c r="A1660" s="31"/>
      <c r="B1660">
        <f>COUNTIF(Equipamento_Tunel!$H$2:$H$158,A1660)</f>
        <v>0</v>
      </c>
    </row>
    <row r="1661" spans="1:2" x14ac:dyDescent="0.3">
      <c r="A1661" s="16"/>
      <c r="B1661">
        <f>COUNTIF(Equipamento_Tunel!$H$2:$H$158,A1661)</f>
        <v>0</v>
      </c>
    </row>
    <row r="1662" spans="1:2" x14ac:dyDescent="0.3">
      <c r="A1662" s="31"/>
      <c r="B1662">
        <f>COUNTIF(Equipamento_Tunel!$H$2:$H$158,A1662)</f>
        <v>0</v>
      </c>
    </row>
    <row r="1663" spans="1:2" x14ac:dyDescent="0.3">
      <c r="A1663" s="16"/>
      <c r="B1663">
        <f>COUNTIF(Equipamento_Tunel!$H$2:$H$158,A1663)</f>
        <v>0</v>
      </c>
    </row>
    <row r="1664" spans="1:2" x14ac:dyDescent="0.3">
      <c r="A1664" s="31"/>
      <c r="B1664">
        <f>COUNTIF(Equipamento_Tunel!$H$2:$H$158,A1664)</f>
        <v>0</v>
      </c>
    </row>
    <row r="1665" spans="1:2" x14ac:dyDescent="0.3">
      <c r="A1665" s="16"/>
      <c r="B1665">
        <f>COUNTIF(Equipamento_Tunel!$H$2:$H$158,A1665)</f>
        <v>0</v>
      </c>
    </row>
    <row r="1666" spans="1:2" x14ac:dyDescent="0.3">
      <c r="A1666" s="31"/>
      <c r="B1666">
        <f>COUNTIF(Equipamento_Tunel!$H$2:$H$158,A1666)</f>
        <v>0</v>
      </c>
    </row>
    <row r="1667" spans="1:2" x14ac:dyDescent="0.3">
      <c r="A1667" s="16"/>
      <c r="B1667">
        <f>COUNTIF(Equipamento_Tunel!$H$2:$H$158,A1667)</f>
        <v>0</v>
      </c>
    </row>
    <row r="1668" spans="1:2" x14ac:dyDescent="0.3">
      <c r="A1668" s="31"/>
      <c r="B1668">
        <f>COUNTIF(Equipamento_Tunel!$H$2:$H$158,A1668)</f>
        <v>0</v>
      </c>
    </row>
    <row r="1669" spans="1:2" x14ac:dyDescent="0.3">
      <c r="A1669" s="16"/>
      <c r="B1669">
        <f>COUNTIF(Equipamento_Tunel!$H$2:$H$158,A1669)</f>
        <v>0</v>
      </c>
    </row>
    <row r="1670" spans="1:2" x14ac:dyDescent="0.3">
      <c r="A1670" s="31"/>
      <c r="B1670">
        <f>COUNTIF(Equipamento_Tunel!$H$2:$H$158,A1670)</f>
        <v>0</v>
      </c>
    </row>
    <row r="1671" spans="1:2" x14ac:dyDescent="0.3">
      <c r="A1671" s="16"/>
      <c r="B1671">
        <f>COUNTIF(Equipamento_Tunel!$H$2:$H$158,A1671)</f>
        <v>0</v>
      </c>
    </row>
    <row r="1672" spans="1:2" x14ac:dyDescent="0.3">
      <c r="A1672" s="31"/>
      <c r="B1672">
        <f>COUNTIF(Equipamento_Tunel!$H$2:$H$158,A1672)</f>
        <v>0</v>
      </c>
    </row>
    <row r="1673" spans="1:2" x14ac:dyDescent="0.3">
      <c r="A1673" s="16"/>
      <c r="B1673">
        <f>COUNTIF(Equipamento_Tunel!$H$2:$H$158,A1673)</f>
        <v>0</v>
      </c>
    </row>
    <row r="1674" spans="1:2" x14ac:dyDescent="0.3">
      <c r="A1674" s="31"/>
      <c r="B1674">
        <f>COUNTIF(Equipamento_Tunel!$H$2:$H$158,A1674)</f>
        <v>0</v>
      </c>
    </row>
    <row r="1675" spans="1:2" x14ac:dyDescent="0.3">
      <c r="A1675" s="16"/>
      <c r="B1675">
        <f>COUNTIF(Equipamento_Tunel!$H$2:$H$158,A1675)</f>
        <v>0</v>
      </c>
    </row>
    <row r="1676" spans="1:2" x14ac:dyDescent="0.3">
      <c r="A1676" s="31"/>
      <c r="B1676">
        <f>COUNTIF(Equipamento_Tunel!$H$2:$H$158,A1676)</f>
        <v>0</v>
      </c>
    </row>
    <row r="1677" spans="1:2" x14ac:dyDescent="0.3">
      <c r="A1677" s="16"/>
      <c r="B1677">
        <f>COUNTIF(Equipamento_Tunel!$H$2:$H$158,A1677)</f>
        <v>0</v>
      </c>
    </row>
    <row r="1678" spans="1:2" x14ac:dyDescent="0.3">
      <c r="A1678" s="31"/>
      <c r="B1678">
        <f>COUNTIF(Equipamento_Tunel!$H$2:$H$158,A1678)</f>
        <v>0</v>
      </c>
    </row>
    <row r="1679" spans="1:2" x14ac:dyDescent="0.3">
      <c r="A1679" s="16"/>
      <c r="B1679">
        <f>COUNTIF(Equipamento_Tunel!$H$2:$H$158,A1679)</f>
        <v>0</v>
      </c>
    </row>
    <row r="1680" spans="1:2" x14ac:dyDescent="0.3">
      <c r="A1680" s="31"/>
      <c r="B1680">
        <f>COUNTIF(Equipamento_Tunel!$H$2:$H$158,A1680)</f>
        <v>0</v>
      </c>
    </row>
    <row r="1681" spans="1:2" x14ac:dyDescent="0.3">
      <c r="A1681" s="16"/>
      <c r="B1681">
        <f>COUNTIF(Equipamento_Tunel!$H$2:$H$158,A1681)</f>
        <v>0</v>
      </c>
    </row>
    <row r="1682" spans="1:2" x14ac:dyDescent="0.3">
      <c r="A1682" s="31"/>
      <c r="B1682">
        <f>COUNTIF(Equipamento_Tunel!$H$2:$H$158,A1682)</f>
        <v>0</v>
      </c>
    </row>
    <row r="1683" spans="1:2" x14ac:dyDescent="0.3">
      <c r="A1683" s="16"/>
      <c r="B1683">
        <f>COUNTIF(Equipamento_Tunel!$H$2:$H$158,A1683)</f>
        <v>0</v>
      </c>
    </row>
    <row r="1684" spans="1:2" x14ac:dyDescent="0.3">
      <c r="A1684" s="31"/>
      <c r="B1684">
        <f>COUNTIF(Equipamento_Tunel!$H$2:$H$158,A1684)</f>
        <v>0</v>
      </c>
    </row>
    <row r="1685" spans="1:2" x14ac:dyDescent="0.3">
      <c r="A1685" s="16"/>
      <c r="B1685">
        <f>COUNTIF(Equipamento_Tunel!$H$2:$H$158,A1685)</f>
        <v>0</v>
      </c>
    </row>
    <row r="1686" spans="1:2" x14ac:dyDescent="0.3">
      <c r="A1686" s="31"/>
      <c r="B1686">
        <f>COUNTIF(Equipamento_Tunel!$H$2:$H$158,A1686)</f>
        <v>0</v>
      </c>
    </row>
    <row r="1687" spans="1:2" x14ac:dyDescent="0.3">
      <c r="A1687" s="16"/>
      <c r="B1687">
        <f>COUNTIF(Equipamento_Tunel!$H$2:$H$158,A1687)</f>
        <v>0</v>
      </c>
    </row>
    <row r="1688" spans="1:2" x14ac:dyDescent="0.3">
      <c r="A1688" s="31"/>
      <c r="B1688">
        <f>COUNTIF(Equipamento_Tunel!$H$2:$H$158,A1688)</f>
        <v>0</v>
      </c>
    </row>
    <row r="1689" spans="1:2" x14ac:dyDescent="0.3">
      <c r="A1689" s="16"/>
      <c r="B1689">
        <f>COUNTIF(Equipamento_Tunel!$H$2:$H$158,A1689)</f>
        <v>0</v>
      </c>
    </row>
    <row r="1690" spans="1:2" x14ac:dyDescent="0.3">
      <c r="A1690" s="31"/>
      <c r="B1690">
        <f>COUNTIF(Equipamento_Tunel!$H$2:$H$158,A1690)</f>
        <v>0</v>
      </c>
    </row>
    <row r="1691" spans="1:2" x14ac:dyDescent="0.3">
      <c r="A1691" s="16"/>
      <c r="B1691">
        <f>COUNTIF(Equipamento_Tunel!$H$2:$H$158,A1691)</f>
        <v>0</v>
      </c>
    </row>
    <row r="1692" spans="1:2" x14ac:dyDescent="0.3">
      <c r="A1692" s="31"/>
      <c r="B1692">
        <f>COUNTIF(Equipamento_Tunel!$H$2:$H$158,A1692)</f>
        <v>0</v>
      </c>
    </row>
    <row r="1693" spans="1:2" x14ac:dyDescent="0.3">
      <c r="A1693" s="16"/>
      <c r="B1693">
        <f>COUNTIF(Equipamento_Tunel!$H$2:$H$158,A1693)</f>
        <v>0</v>
      </c>
    </row>
    <row r="1694" spans="1:2" x14ac:dyDescent="0.3">
      <c r="A1694" s="31"/>
      <c r="B1694">
        <f>COUNTIF(Equipamento_Tunel!$H$2:$H$158,A1694)</f>
        <v>0</v>
      </c>
    </row>
    <row r="1695" spans="1:2" x14ac:dyDescent="0.3">
      <c r="A1695" s="16"/>
      <c r="B1695">
        <f>COUNTIF(Equipamento_Tunel!$H$2:$H$158,A1695)</f>
        <v>0</v>
      </c>
    </row>
    <row r="1696" spans="1:2" x14ac:dyDescent="0.3">
      <c r="A1696" s="31"/>
      <c r="B1696">
        <f>COUNTIF(Equipamento_Tunel!$H$2:$H$158,A1696)</f>
        <v>0</v>
      </c>
    </row>
    <row r="1697" spans="1:2" x14ac:dyDescent="0.3">
      <c r="A1697" s="16"/>
      <c r="B1697">
        <f>COUNTIF(Equipamento_Tunel!$H$2:$H$158,A1697)</f>
        <v>0</v>
      </c>
    </row>
    <row r="1698" spans="1:2" x14ac:dyDescent="0.3">
      <c r="A1698" s="31"/>
      <c r="B1698">
        <f>COUNTIF(Equipamento_Tunel!$H$2:$H$158,A1698)</f>
        <v>0</v>
      </c>
    </row>
    <row r="1699" spans="1:2" x14ac:dyDescent="0.3">
      <c r="A1699" s="16"/>
      <c r="B1699">
        <f>COUNTIF(Equipamento_Tunel!$H$2:$H$158,A1699)</f>
        <v>0</v>
      </c>
    </row>
    <row r="1700" spans="1:2" x14ac:dyDescent="0.3">
      <c r="A1700" s="31"/>
      <c r="B1700">
        <f>COUNTIF(Equipamento_Tunel!$H$2:$H$158,A1700)</f>
        <v>0</v>
      </c>
    </row>
    <row r="1701" spans="1:2" x14ac:dyDescent="0.3">
      <c r="A1701" s="16"/>
      <c r="B1701">
        <f>COUNTIF(Equipamento_Tunel!$H$2:$H$158,A1701)</f>
        <v>0</v>
      </c>
    </row>
    <row r="1702" spans="1:2" x14ac:dyDescent="0.3">
      <c r="A1702" s="31"/>
      <c r="B1702">
        <f>COUNTIF(Equipamento_Tunel!$H$2:$H$158,A1702)</f>
        <v>0</v>
      </c>
    </row>
    <row r="1703" spans="1:2" x14ac:dyDescent="0.3">
      <c r="A1703" s="16"/>
      <c r="B1703">
        <f>COUNTIF(Equipamento_Tunel!$H$2:$H$158,A1703)</f>
        <v>0</v>
      </c>
    </row>
    <row r="1704" spans="1:2" x14ac:dyDescent="0.3">
      <c r="A1704" s="31"/>
      <c r="B1704">
        <f>COUNTIF(Equipamento_Tunel!$H$2:$H$158,A1704)</f>
        <v>0</v>
      </c>
    </row>
    <row r="1705" spans="1:2" x14ac:dyDescent="0.3">
      <c r="A1705" s="16"/>
      <c r="B1705">
        <f>COUNTIF(Equipamento_Tunel!$H$2:$H$158,A1705)</f>
        <v>0</v>
      </c>
    </row>
    <row r="1706" spans="1:2" x14ac:dyDescent="0.3">
      <c r="A1706" s="31"/>
      <c r="B1706">
        <f>COUNTIF(Equipamento_Tunel!$H$2:$H$158,A1706)</f>
        <v>0</v>
      </c>
    </row>
    <row r="1707" spans="1:2" x14ac:dyDescent="0.3">
      <c r="A1707" s="16"/>
      <c r="B1707">
        <f>COUNTIF(Equipamento_Tunel!$H$2:$H$158,A1707)</f>
        <v>0</v>
      </c>
    </row>
    <row r="1708" spans="1:2" x14ac:dyDescent="0.3">
      <c r="A1708" s="31"/>
      <c r="B1708">
        <f>COUNTIF(Equipamento_Tunel!$H$2:$H$158,A1708)</f>
        <v>0</v>
      </c>
    </row>
    <row r="1709" spans="1:2" x14ac:dyDescent="0.3">
      <c r="A1709" s="16"/>
      <c r="B1709">
        <f>COUNTIF(Equipamento_Tunel!$H$2:$H$158,A1709)</f>
        <v>0</v>
      </c>
    </row>
    <row r="1710" spans="1:2" x14ac:dyDescent="0.3">
      <c r="A1710" s="31"/>
      <c r="B1710">
        <f>COUNTIF(Equipamento_Tunel!$H$2:$H$158,A1710)</f>
        <v>0</v>
      </c>
    </row>
    <row r="1711" spans="1:2" x14ac:dyDescent="0.3">
      <c r="A1711" s="16"/>
      <c r="B1711">
        <f>COUNTIF(Equipamento_Tunel!$H$2:$H$158,A1711)</f>
        <v>0</v>
      </c>
    </row>
    <row r="1712" spans="1:2" x14ac:dyDescent="0.3">
      <c r="A1712" s="31"/>
      <c r="B1712">
        <f>COUNTIF(Equipamento_Tunel!$H$2:$H$158,A1712)</f>
        <v>0</v>
      </c>
    </row>
    <row r="1713" spans="1:2" x14ac:dyDescent="0.3">
      <c r="A1713" s="16"/>
      <c r="B1713">
        <f>COUNTIF(Equipamento_Tunel!$H$2:$H$158,A1713)</f>
        <v>0</v>
      </c>
    </row>
    <row r="1714" spans="1:2" x14ac:dyDescent="0.3">
      <c r="A1714" s="31"/>
      <c r="B1714">
        <f>COUNTIF(Equipamento_Tunel!$H$2:$H$158,A1714)</f>
        <v>0</v>
      </c>
    </row>
    <row r="1715" spans="1:2" x14ac:dyDescent="0.3">
      <c r="A1715" s="16"/>
      <c r="B1715">
        <f>COUNTIF(Equipamento_Tunel!$H$2:$H$158,A1715)</f>
        <v>0</v>
      </c>
    </row>
    <row r="1716" spans="1:2" x14ac:dyDescent="0.3">
      <c r="A1716" s="31"/>
      <c r="B1716">
        <f>COUNTIF(Equipamento_Tunel!$H$2:$H$158,A1716)</f>
        <v>0</v>
      </c>
    </row>
    <row r="1717" spans="1:2" x14ac:dyDescent="0.3">
      <c r="A1717" s="16"/>
      <c r="B1717">
        <f>COUNTIF(Equipamento_Tunel!$H$2:$H$158,A1717)</f>
        <v>0</v>
      </c>
    </row>
    <row r="1718" spans="1:2" x14ac:dyDescent="0.3">
      <c r="A1718" s="31"/>
      <c r="B1718">
        <f>COUNTIF(Equipamento_Tunel!$H$2:$H$158,A1718)</f>
        <v>0</v>
      </c>
    </row>
    <row r="1719" spans="1:2" x14ac:dyDescent="0.3">
      <c r="A1719" s="16"/>
      <c r="B1719">
        <f>COUNTIF(Equipamento_Tunel!$H$2:$H$158,A1719)</f>
        <v>0</v>
      </c>
    </row>
    <row r="1720" spans="1:2" x14ac:dyDescent="0.3">
      <c r="A1720" s="31"/>
      <c r="B1720">
        <f>COUNTIF(Equipamento_Tunel!$H$2:$H$158,A1720)</f>
        <v>0</v>
      </c>
    </row>
    <row r="1721" spans="1:2" x14ac:dyDescent="0.3">
      <c r="A1721" s="16"/>
      <c r="B1721">
        <f>COUNTIF(Equipamento_Tunel!$H$2:$H$158,A1721)</f>
        <v>0</v>
      </c>
    </row>
    <row r="1722" spans="1:2" x14ac:dyDescent="0.3">
      <c r="A1722" s="31"/>
      <c r="B1722">
        <f>COUNTIF(Equipamento_Tunel!$H$2:$H$158,A1722)</f>
        <v>0</v>
      </c>
    </row>
    <row r="1723" spans="1:2" x14ac:dyDescent="0.3">
      <c r="A1723" s="16"/>
      <c r="B1723">
        <f>COUNTIF(Equipamento_Tunel!$H$2:$H$158,A1723)</f>
        <v>0</v>
      </c>
    </row>
    <row r="1724" spans="1:2" x14ac:dyDescent="0.3">
      <c r="A1724" s="31"/>
      <c r="B1724">
        <f>COUNTIF(Equipamento_Tunel!$H$2:$H$158,A1724)</f>
        <v>0</v>
      </c>
    </row>
    <row r="1725" spans="1:2" x14ac:dyDescent="0.3">
      <c r="A1725" s="16"/>
      <c r="B1725">
        <f>COUNTIF(Equipamento_Tunel!$H$2:$H$158,A1725)</f>
        <v>0</v>
      </c>
    </row>
    <row r="1726" spans="1:2" x14ac:dyDescent="0.3">
      <c r="A1726" s="31"/>
      <c r="B1726">
        <f>COUNTIF(Equipamento_Tunel!$H$2:$H$158,A1726)</f>
        <v>0</v>
      </c>
    </row>
    <row r="1727" spans="1:2" x14ac:dyDescent="0.3">
      <c r="A1727" s="16"/>
      <c r="B1727">
        <f>COUNTIF(Equipamento_Tunel!$H$2:$H$158,A1727)</f>
        <v>0</v>
      </c>
    </row>
    <row r="1728" spans="1:2" x14ac:dyDescent="0.3">
      <c r="A1728" s="31"/>
      <c r="B1728">
        <f>COUNTIF(Equipamento_Tunel!$H$2:$H$158,A1728)</f>
        <v>0</v>
      </c>
    </row>
    <row r="1729" spans="1:2" x14ac:dyDescent="0.3">
      <c r="A1729" s="16"/>
      <c r="B1729">
        <f>COUNTIF(Equipamento_Tunel!$H$2:$H$158,A1729)</f>
        <v>0</v>
      </c>
    </row>
    <row r="1730" spans="1:2" x14ac:dyDescent="0.3">
      <c r="A1730" s="31"/>
      <c r="B1730">
        <f>COUNTIF(Equipamento_Tunel!$H$2:$H$158,A1730)</f>
        <v>0</v>
      </c>
    </row>
    <row r="1731" spans="1:2" x14ac:dyDescent="0.3">
      <c r="A1731" s="16"/>
      <c r="B1731">
        <f>COUNTIF(Equipamento_Tunel!$H$2:$H$158,A1731)</f>
        <v>0</v>
      </c>
    </row>
    <row r="1732" spans="1:2" x14ac:dyDescent="0.3">
      <c r="A1732" s="31"/>
      <c r="B1732">
        <f>COUNTIF(Equipamento_Tunel!$H$2:$H$158,A1732)</f>
        <v>0</v>
      </c>
    </row>
    <row r="1733" spans="1:2" x14ac:dyDescent="0.3">
      <c r="A1733" s="16"/>
      <c r="B1733">
        <f>COUNTIF(Equipamento_Tunel!$H$2:$H$158,A1733)</f>
        <v>0</v>
      </c>
    </row>
    <row r="1734" spans="1:2" x14ac:dyDescent="0.3">
      <c r="A1734" s="31"/>
      <c r="B1734">
        <f>COUNTIF(Equipamento_Tunel!$H$2:$H$158,A1734)</f>
        <v>0</v>
      </c>
    </row>
    <row r="1735" spans="1:2" x14ac:dyDescent="0.3">
      <c r="A1735" s="16"/>
      <c r="B1735">
        <f>COUNTIF(Equipamento_Tunel!$H$2:$H$158,A1735)</f>
        <v>0</v>
      </c>
    </row>
    <row r="1736" spans="1:2" x14ac:dyDescent="0.3">
      <c r="A1736" s="31"/>
      <c r="B1736">
        <f>COUNTIF(Equipamento_Tunel!$H$2:$H$158,A1736)</f>
        <v>0</v>
      </c>
    </row>
    <row r="1737" spans="1:2" x14ac:dyDescent="0.3">
      <c r="A1737" s="16"/>
      <c r="B1737">
        <f>COUNTIF(Equipamento_Tunel!$H$2:$H$158,A1737)</f>
        <v>0</v>
      </c>
    </row>
    <row r="1738" spans="1:2" x14ac:dyDescent="0.3">
      <c r="A1738" s="31"/>
      <c r="B1738">
        <f>COUNTIF(Equipamento_Tunel!$H$2:$H$158,A1738)</f>
        <v>0</v>
      </c>
    </row>
    <row r="1739" spans="1:2" x14ac:dyDescent="0.3">
      <c r="A1739" s="16"/>
      <c r="B1739">
        <f>COUNTIF(Equipamento_Tunel!$H$2:$H$158,A1739)</f>
        <v>0</v>
      </c>
    </row>
    <row r="1740" spans="1:2" x14ac:dyDescent="0.3">
      <c r="A1740" s="31"/>
      <c r="B1740">
        <f>COUNTIF(Equipamento_Tunel!$H$2:$H$158,A1740)</f>
        <v>0</v>
      </c>
    </row>
    <row r="1741" spans="1:2" x14ac:dyDescent="0.3">
      <c r="A1741" s="16"/>
      <c r="B1741">
        <f>COUNTIF(Equipamento_Tunel!$H$2:$H$158,A1741)</f>
        <v>0</v>
      </c>
    </row>
    <row r="1742" spans="1:2" x14ac:dyDescent="0.3">
      <c r="A1742" s="31"/>
      <c r="B1742">
        <f>COUNTIF(Equipamento_Tunel!$H$2:$H$158,A1742)</f>
        <v>0</v>
      </c>
    </row>
    <row r="1743" spans="1:2" x14ac:dyDescent="0.3">
      <c r="A1743" s="16"/>
      <c r="B1743">
        <f>COUNTIF(Equipamento_Tunel!$H$2:$H$158,A1743)</f>
        <v>0</v>
      </c>
    </row>
    <row r="1744" spans="1:2" x14ac:dyDescent="0.3">
      <c r="A1744" s="31"/>
      <c r="B1744">
        <f>COUNTIF(Equipamento_Tunel!$H$2:$H$158,A1744)</f>
        <v>0</v>
      </c>
    </row>
    <row r="1745" spans="1:2" x14ac:dyDescent="0.3">
      <c r="A1745" s="16"/>
      <c r="B1745">
        <f>COUNTIF(Equipamento_Tunel!$H$2:$H$158,A1745)</f>
        <v>0</v>
      </c>
    </row>
    <row r="1746" spans="1:2" x14ac:dyDescent="0.3">
      <c r="A1746" s="31"/>
      <c r="B1746">
        <f>COUNTIF(Equipamento_Tunel!$H$2:$H$158,A1746)</f>
        <v>0</v>
      </c>
    </row>
    <row r="1747" spans="1:2" x14ac:dyDescent="0.3">
      <c r="A1747" s="16"/>
      <c r="B1747">
        <f>COUNTIF(Equipamento_Tunel!$H$2:$H$158,A1747)</f>
        <v>0</v>
      </c>
    </row>
    <row r="1748" spans="1:2" x14ac:dyDescent="0.3">
      <c r="A1748" s="31"/>
      <c r="B1748">
        <f>COUNTIF(Equipamento_Tunel!$H$2:$H$158,A1748)</f>
        <v>0</v>
      </c>
    </row>
    <row r="1749" spans="1:2" x14ac:dyDescent="0.3">
      <c r="A1749" s="16"/>
      <c r="B1749">
        <f>COUNTIF(Equipamento_Tunel!$H$2:$H$158,A1749)</f>
        <v>0</v>
      </c>
    </row>
    <row r="1750" spans="1:2" x14ac:dyDescent="0.3">
      <c r="A1750" s="31"/>
      <c r="B1750">
        <f>COUNTIF(Equipamento_Tunel!$H$2:$H$158,A1750)</f>
        <v>0</v>
      </c>
    </row>
    <row r="1751" spans="1:2" x14ac:dyDescent="0.3">
      <c r="A1751" s="16"/>
      <c r="B1751">
        <f>COUNTIF(Equipamento_Tunel!$H$2:$H$158,A1751)</f>
        <v>0</v>
      </c>
    </row>
    <row r="1752" spans="1:2" x14ac:dyDescent="0.3">
      <c r="A1752" s="31"/>
      <c r="B1752">
        <f>COUNTIF(Equipamento_Tunel!$H$2:$H$158,A1752)</f>
        <v>0</v>
      </c>
    </row>
    <row r="1753" spans="1:2" x14ac:dyDescent="0.3">
      <c r="A1753" s="16"/>
      <c r="B1753">
        <f>COUNTIF(Equipamento_Tunel!$H$2:$H$158,A1753)</f>
        <v>0</v>
      </c>
    </row>
    <row r="1754" spans="1:2" x14ac:dyDescent="0.3">
      <c r="A1754" s="31"/>
      <c r="B1754">
        <f>COUNTIF(Equipamento_Tunel!$H$2:$H$158,A1754)</f>
        <v>0</v>
      </c>
    </row>
    <row r="1755" spans="1:2" x14ac:dyDescent="0.3">
      <c r="A1755" s="16"/>
      <c r="B1755">
        <f>COUNTIF(Equipamento_Tunel!$H$2:$H$158,A1755)</f>
        <v>0</v>
      </c>
    </row>
    <row r="1756" spans="1:2" x14ac:dyDescent="0.3">
      <c r="A1756" s="31"/>
      <c r="B1756">
        <f>COUNTIF(Equipamento_Tunel!$H$2:$H$158,A1756)</f>
        <v>0</v>
      </c>
    </row>
    <row r="1757" spans="1:2" x14ac:dyDescent="0.3">
      <c r="A1757" s="16"/>
      <c r="B1757">
        <f>COUNTIF(Equipamento_Tunel!$H$2:$H$158,A1757)</f>
        <v>0</v>
      </c>
    </row>
    <row r="1758" spans="1:2" x14ac:dyDescent="0.3">
      <c r="A1758" s="31"/>
      <c r="B1758">
        <f>COUNTIF(Equipamento_Tunel!$H$2:$H$158,A1758)</f>
        <v>0</v>
      </c>
    </row>
    <row r="1759" spans="1:2" x14ac:dyDescent="0.3">
      <c r="A1759" s="16"/>
      <c r="B1759">
        <f>COUNTIF(Equipamento_Tunel!$H$2:$H$158,A1759)</f>
        <v>0</v>
      </c>
    </row>
    <row r="1760" spans="1:2" x14ac:dyDescent="0.3">
      <c r="A1760" s="31"/>
      <c r="B1760">
        <f>COUNTIF(Equipamento_Tunel!$H$2:$H$158,A1760)</f>
        <v>0</v>
      </c>
    </row>
    <row r="1761" spans="1:2" x14ac:dyDescent="0.3">
      <c r="A1761" s="16"/>
      <c r="B1761">
        <f>COUNTIF(Equipamento_Tunel!$H$2:$H$158,A1761)</f>
        <v>0</v>
      </c>
    </row>
    <row r="1762" spans="1:2" x14ac:dyDescent="0.3">
      <c r="A1762" s="31"/>
      <c r="B1762">
        <f>COUNTIF(Equipamento_Tunel!$H$2:$H$158,A1762)</f>
        <v>0</v>
      </c>
    </row>
    <row r="1763" spans="1:2" x14ac:dyDescent="0.3">
      <c r="A1763" s="16"/>
      <c r="B1763">
        <f>COUNTIF(Equipamento_Tunel!$H$2:$H$158,A1763)</f>
        <v>0</v>
      </c>
    </row>
    <row r="1764" spans="1:2" x14ac:dyDescent="0.3">
      <c r="A1764" s="31"/>
      <c r="B1764">
        <f>COUNTIF(Equipamento_Tunel!$H$2:$H$158,A1764)</f>
        <v>0</v>
      </c>
    </row>
    <row r="1765" spans="1:2" x14ac:dyDescent="0.3">
      <c r="A1765" s="16"/>
      <c r="B1765">
        <f>COUNTIF(Equipamento_Tunel!$H$2:$H$158,A1765)</f>
        <v>0</v>
      </c>
    </row>
    <row r="1766" spans="1:2" x14ac:dyDescent="0.3">
      <c r="A1766" s="31"/>
      <c r="B1766">
        <f>COUNTIF(Equipamento_Tunel!$H$2:$H$158,A1766)</f>
        <v>0</v>
      </c>
    </row>
    <row r="1767" spans="1:2" x14ac:dyDescent="0.3">
      <c r="A1767" s="16"/>
      <c r="B1767">
        <f>COUNTIF(Equipamento_Tunel!$H$2:$H$158,A1767)</f>
        <v>0</v>
      </c>
    </row>
    <row r="1768" spans="1:2" x14ac:dyDescent="0.3">
      <c r="A1768" s="31"/>
      <c r="B1768">
        <f>COUNTIF(Equipamento_Tunel!$H$2:$H$158,A1768)</f>
        <v>0</v>
      </c>
    </row>
    <row r="1769" spans="1:2" x14ac:dyDescent="0.3">
      <c r="A1769" s="16"/>
      <c r="B1769">
        <f>COUNTIF(Equipamento_Tunel!$H$2:$H$158,A1769)</f>
        <v>0</v>
      </c>
    </row>
    <row r="1770" spans="1:2" x14ac:dyDescent="0.3">
      <c r="A1770" s="31"/>
      <c r="B1770">
        <f>COUNTIF(Equipamento_Tunel!$H$2:$H$158,A1770)</f>
        <v>0</v>
      </c>
    </row>
    <row r="1771" spans="1:2" x14ac:dyDescent="0.3">
      <c r="A1771" s="16"/>
      <c r="B1771">
        <f>COUNTIF(Equipamento_Tunel!$H$2:$H$158,A1771)</f>
        <v>0</v>
      </c>
    </row>
    <row r="1772" spans="1:2" x14ac:dyDescent="0.3">
      <c r="A1772" s="31"/>
      <c r="B1772">
        <f>COUNTIF(Equipamento_Tunel!$H$2:$H$158,A1772)</f>
        <v>0</v>
      </c>
    </row>
    <row r="1773" spans="1:2" x14ac:dyDescent="0.3">
      <c r="A1773" s="16"/>
      <c r="B1773">
        <f>COUNTIF(Equipamento_Tunel!$H$2:$H$158,A1773)</f>
        <v>0</v>
      </c>
    </row>
    <row r="1774" spans="1:2" x14ac:dyDescent="0.3">
      <c r="A1774" s="31"/>
      <c r="B1774">
        <f>COUNTIF(Equipamento_Tunel!$H$2:$H$158,A1774)</f>
        <v>0</v>
      </c>
    </row>
    <row r="1775" spans="1:2" x14ac:dyDescent="0.3">
      <c r="A1775" s="16"/>
      <c r="B1775">
        <f>COUNTIF(Equipamento_Tunel!$H$2:$H$158,A1775)</f>
        <v>0</v>
      </c>
    </row>
    <row r="1776" spans="1:2" x14ac:dyDescent="0.3">
      <c r="A1776" s="31"/>
      <c r="B1776">
        <f>COUNTIF(Equipamento_Tunel!$H$2:$H$158,A1776)</f>
        <v>0</v>
      </c>
    </row>
    <row r="1777" spans="1:2" x14ac:dyDescent="0.3">
      <c r="A1777" s="16"/>
      <c r="B1777">
        <f>COUNTIF(Equipamento_Tunel!$H$2:$H$158,A1777)</f>
        <v>0</v>
      </c>
    </row>
    <row r="1778" spans="1:2" x14ac:dyDescent="0.3">
      <c r="A1778" s="31"/>
      <c r="B1778">
        <f>COUNTIF(Equipamento_Tunel!$H$2:$H$158,A1778)</f>
        <v>0</v>
      </c>
    </row>
    <row r="1779" spans="1:2" x14ac:dyDescent="0.3">
      <c r="A1779" s="16"/>
      <c r="B1779">
        <f>COUNTIF(Equipamento_Tunel!$H$2:$H$158,A1779)</f>
        <v>0</v>
      </c>
    </row>
    <row r="1780" spans="1:2" x14ac:dyDescent="0.3">
      <c r="A1780" s="31"/>
      <c r="B1780">
        <f>COUNTIF(Equipamento_Tunel!$H$2:$H$158,A1780)</f>
        <v>0</v>
      </c>
    </row>
    <row r="1781" spans="1:2" x14ac:dyDescent="0.3">
      <c r="A1781" s="16"/>
      <c r="B1781">
        <f>COUNTIF(Equipamento_Tunel!$H$2:$H$158,A1781)</f>
        <v>0</v>
      </c>
    </row>
    <row r="1782" spans="1:2" x14ac:dyDescent="0.3">
      <c r="A1782" s="31"/>
      <c r="B1782">
        <f>COUNTIF(Equipamento_Tunel!$H$2:$H$158,A1782)</f>
        <v>0</v>
      </c>
    </row>
    <row r="1783" spans="1:2" x14ac:dyDescent="0.3">
      <c r="A1783" s="16"/>
      <c r="B1783">
        <f>COUNTIF(Equipamento_Tunel!$H$2:$H$158,A1783)</f>
        <v>0</v>
      </c>
    </row>
    <row r="1784" spans="1:2" x14ac:dyDescent="0.3">
      <c r="A1784" s="31"/>
      <c r="B1784">
        <f>COUNTIF(Equipamento_Tunel!$H$2:$H$158,A1784)</f>
        <v>0</v>
      </c>
    </row>
    <row r="1785" spans="1:2" x14ac:dyDescent="0.3">
      <c r="A1785" s="16"/>
      <c r="B1785">
        <f>COUNTIF(Equipamento_Tunel!$H$2:$H$158,A1785)</f>
        <v>0</v>
      </c>
    </row>
    <row r="1786" spans="1:2" x14ac:dyDescent="0.3">
      <c r="A1786" s="31"/>
      <c r="B1786">
        <f>COUNTIF(Equipamento_Tunel!$H$2:$H$158,A1786)</f>
        <v>0</v>
      </c>
    </row>
    <row r="1787" spans="1:2" x14ac:dyDescent="0.3">
      <c r="A1787" s="16"/>
      <c r="B1787">
        <f>COUNTIF(Equipamento_Tunel!$H$2:$H$158,A1787)</f>
        <v>0</v>
      </c>
    </row>
    <row r="1788" spans="1:2" x14ac:dyDescent="0.3">
      <c r="A1788" s="31"/>
      <c r="B1788">
        <f>COUNTIF(Equipamento_Tunel!$H$2:$H$158,A1788)</f>
        <v>0</v>
      </c>
    </row>
    <row r="1789" spans="1:2" x14ac:dyDescent="0.3">
      <c r="A1789" s="16"/>
      <c r="B1789">
        <f>COUNTIF(Equipamento_Tunel!$H$2:$H$158,A1789)</f>
        <v>0</v>
      </c>
    </row>
    <row r="1790" spans="1:2" x14ac:dyDescent="0.3">
      <c r="A1790" s="31"/>
      <c r="B1790">
        <f>COUNTIF(Equipamento_Tunel!$H$2:$H$158,A1790)</f>
        <v>0</v>
      </c>
    </row>
    <row r="1791" spans="1:2" x14ac:dyDescent="0.3">
      <c r="A1791" s="16"/>
      <c r="B1791">
        <f>COUNTIF(Equipamento_Tunel!$H$2:$H$158,A1791)</f>
        <v>0</v>
      </c>
    </row>
    <row r="1792" spans="1:2" x14ac:dyDescent="0.3">
      <c r="A1792" s="31"/>
      <c r="B1792">
        <f>COUNTIF(Equipamento_Tunel!$H$2:$H$158,A1792)</f>
        <v>0</v>
      </c>
    </row>
    <row r="1793" spans="1:2" x14ac:dyDescent="0.3">
      <c r="A1793" s="16"/>
      <c r="B1793">
        <f>COUNTIF(Equipamento_Tunel!$H$2:$H$158,A1793)</f>
        <v>0</v>
      </c>
    </row>
    <row r="1794" spans="1:2" x14ac:dyDescent="0.3">
      <c r="A1794" s="31"/>
      <c r="B1794">
        <f>COUNTIF(Equipamento_Tunel!$H$2:$H$158,A1794)</f>
        <v>0</v>
      </c>
    </row>
    <row r="1795" spans="1:2" x14ac:dyDescent="0.3">
      <c r="A1795" s="16"/>
      <c r="B1795">
        <f>COUNTIF(Equipamento_Tunel!$H$2:$H$158,A1795)</f>
        <v>0</v>
      </c>
    </row>
    <row r="1796" spans="1:2" x14ac:dyDescent="0.3">
      <c r="A1796" s="31"/>
      <c r="B1796">
        <f>COUNTIF(Equipamento_Tunel!$H$2:$H$158,A1796)</f>
        <v>0</v>
      </c>
    </row>
    <row r="1797" spans="1:2" x14ac:dyDescent="0.3">
      <c r="A1797" s="16"/>
      <c r="B1797">
        <f>COUNTIF(Equipamento_Tunel!$H$2:$H$158,A1797)</f>
        <v>0</v>
      </c>
    </row>
    <row r="1798" spans="1:2" x14ac:dyDescent="0.3">
      <c r="A1798" s="31"/>
      <c r="B1798">
        <f>COUNTIF(Equipamento_Tunel!$H$2:$H$158,A1798)</f>
        <v>0</v>
      </c>
    </row>
    <row r="1799" spans="1:2" x14ac:dyDescent="0.3">
      <c r="A1799" s="16"/>
      <c r="B1799">
        <f>COUNTIF(Equipamento_Tunel!$H$2:$H$158,A1799)</f>
        <v>0</v>
      </c>
    </row>
    <row r="1800" spans="1:2" x14ac:dyDescent="0.3">
      <c r="A1800" s="31"/>
      <c r="B1800">
        <f>COUNTIF(Equipamento_Tunel!$H$2:$H$158,A1800)</f>
        <v>0</v>
      </c>
    </row>
    <row r="1801" spans="1:2" x14ac:dyDescent="0.3">
      <c r="A1801" s="16"/>
      <c r="B1801">
        <f>COUNTIF(Equipamento_Tunel!$H$2:$H$158,A1801)</f>
        <v>0</v>
      </c>
    </row>
    <row r="1802" spans="1:2" x14ac:dyDescent="0.3">
      <c r="A1802" s="31"/>
      <c r="B1802">
        <f>COUNTIF(Equipamento_Tunel!$H$2:$H$158,A1802)</f>
        <v>0</v>
      </c>
    </row>
    <row r="1803" spans="1:2" x14ac:dyDescent="0.3">
      <c r="A1803" s="16"/>
      <c r="B1803">
        <f>COUNTIF(Equipamento_Tunel!$H$2:$H$158,A1803)</f>
        <v>0</v>
      </c>
    </row>
    <row r="1804" spans="1:2" x14ac:dyDescent="0.3">
      <c r="A1804" s="31"/>
      <c r="B1804">
        <f>COUNTIF(Equipamento_Tunel!$H$2:$H$158,A1804)</f>
        <v>0</v>
      </c>
    </row>
    <row r="1805" spans="1:2" x14ac:dyDescent="0.3">
      <c r="A1805" s="16"/>
      <c r="B1805">
        <f>COUNTIF(Equipamento_Tunel!$H$2:$H$158,A1805)</f>
        <v>0</v>
      </c>
    </row>
    <row r="1806" spans="1:2" x14ac:dyDescent="0.3">
      <c r="A1806" s="31"/>
      <c r="B1806">
        <f>COUNTIF(Equipamento_Tunel!$H$2:$H$158,A1806)</f>
        <v>0</v>
      </c>
    </row>
    <row r="1807" spans="1:2" x14ac:dyDescent="0.3">
      <c r="A1807" s="16"/>
      <c r="B1807">
        <f>COUNTIF(Equipamento_Tunel!$H$2:$H$158,A1807)</f>
        <v>0</v>
      </c>
    </row>
    <row r="1808" spans="1:2" x14ac:dyDescent="0.3">
      <c r="A1808" s="31"/>
      <c r="B1808">
        <f>COUNTIF(Equipamento_Tunel!$H$2:$H$158,A1808)</f>
        <v>0</v>
      </c>
    </row>
    <row r="1809" spans="1:2" x14ac:dyDescent="0.3">
      <c r="A1809" s="16"/>
      <c r="B1809">
        <f>COUNTIF(Equipamento_Tunel!$H$2:$H$158,A1809)</f>
        <v>0</v>
      </c>
    </row>
    <row r="1810" spans="1:2" x14ac:dyDescent="0.3">
      <c r="A1810" s="31"/>
      <c r="B1810">
        <f>COUNTIF(Equipamento_Tunel!$H$2:$H$158,A1810)</f>
        <v>0</v>
      </c>
    </row>
    <row r="1811" spans="1:2" x14ac:dyDescent="0.3">
      <c r="A1811" s="16"/>
      <c r="B1811">
        <f>COUNTIF(Equipamento_Tunel!$H$2:$H$158,A1811)</f>
        <v>0</v>
      </c>
    </row>
    <row r="1812" spans="1:2" x14ac:dyDescent="0.3">
      <c r="A1812" s="31"/>
      <c r="B1812">
        <f>COUNTIF(Equipamento_Tunel!$H$2:$H$158,A1812)</f>
        <v>0</v>
      </c>
    </row>
    <row r="1813" spans="1:2" x14ac:dyDescent="0.3">
      <c r="A1813" s="16"/>
      <c r="B1813">
        <f>COUNTIF(Equipamento_Tunel!$H$2:$H$158,A1813)</f>
        <v>0</v>
      </c>
    </row>
    <row r="1814" spans="1:2" x14ac:dyDescent="0.3">
      <c r="A1814" s="31"/>
      <c r="B1814">
        <f>COUNTIF(Equipamento_Tunel!$H$2:$H$158,A1814)</f>
        <v>0</v>
      </c>
    </row>
    <row r="1815" spans="1:2" x14ac:dyDescent="0.3">
      <c r="A1815" s="16"/>
      <c r="B1815">
        <f>COUNTIF(Equipamento_Tunel!$H$2:$H$158,A1815)</f>
        <v>0</v>
      </c>
    </row>
    <row r="1816" spans="1:2" x14ac:dyDescent="0.3">
      <c r="A1816" s="31"/>
      <c r="B1816">
        <f>COUNTIF(Equipamento_Tunel!$H$2:$H$158,A1816)</f>
        <v>0</v>
      </c>
    </row>
    <row r="1817" spans="1:2" x14ac:dyDescent="0.3">
      <c r="A1817" s="16"/>
      <c r="B1817">
        <f>COUNTIF(Equipamento_Tunel!$H$2:$H$158,A1817)</f>
        <v>0</v>
      </c>
    </row>
    <row r="1818" spans="1:2" x14ac:dyDescent="0.3">
      <c r="A1818" s="31"/>
      <c r="B1818">
        <f>COUNTIF(Equipamento_Tunel!$H$2:$H$158,A1818)</f>
        <v>0</v>
      </c>
    </row>
    <row r="1819" spans="1:2" x14ac:dyDescent="0.3">
      <c r="A1819" s="16"/>
      <c r="B1819">
        <f>COUNTIF(Equipamento_Tunel!$H$2:$H$158,A1819)</f>
        <v>0</v>
      </c>
    </row>
    <row r="1820" spans="1:2" x14ac:dyDescent="0.3">
      <c r="A1820" s="31"/>
      <c r="B1820">
        <f>COUNTIF(Equipamento_Tunel!$H$2:$H$158,A1820)</f>
        <v>0</v>
      </c>
    </row>
    <row r="1821" spans="1:2" x14ac:dyDescent="0.3">
      <c r="A1821" s="16"/>
      <c r="B1821">
        <f>COUNTIF(Equipamento_Tunel!$H$2:$H$158,A1821)</f>
        <v>0</v>
      </c>
    </row>
    <row r="1822" spans="1:2" x14ac:dyDescent="0.3">
      <c r="A1822" s="31"/>
      <c r="B1822">
        <f>COUNTIF(Equipamento_Tunel!$H$2:$H$158,A1822)</f>
        <v>0</v>
      </c>
    </row>
    <row r="1823" spans="1:2" x14ac:dyDescent="0.3">
      <c r="A1823" s="16"/>
      <c r="B1823">
        <f>COUNTIF(Equipamento_Tunel!$H$2:$H$158,A1823)</f>
        <v>0</v>
      </c>
    </row>
    <row r="1824" spans="1:2" x14ac:dyDescent="0.3">
      <c r="A1824" s="31"/>
      <c r="B1824">
        <f>COUNTIF(Equipamento_Tunel!$H$2:$H$158,A1824)</f>
        <v>0</v>
      </c>
    </row>
    <row r="1825" spans="1:2" x14ac:dyDescent="0.3">
      <c r="A1825" s="16"/>
      <c r="B1825">
        <f>COUNTIF(Equipamento_Tunel!$H$2:$H$158,A1825)</f>
        <v>0</v>
      </c>
    </row>
    <row r="1826" spans="1:2" x14ac:dyDescent="0.3">
      <c r="A1826" s="31"/>
      <c r="B1826">
        <f>COUNTIF(Equipamento_Tunel!$H$2:$H$158,A1826)</f>
        <v>0</v>
      </c>
    </row>
    <row r="1827" spans="1:2" x14ac:dyDescent="0.3">
      <c r="A1827" s="16"/>
      <c r="B1827">
        <f>COUNTIF(Equipamento_Tunel!$H$2:$H$158,A1827)</f>
        <v>0</v>
      </c>
    </row>
    <row r="1828" spans="1:2" x14ac:dyDescent="0.3">
      <c r="A1828" s="31"/>
      <c r="B1828">
        <f>COUNTIF(Equipamento_Tunel!$H$2:$H$158,A1828)</f>
        <v>0</v>
      </c>
    </row>
    <row r="1829" spans="1:2" x14ac:dyDescent="0.3">
      <c r="A1829" s="16"/>
      <c r="B1829">
        <f>COUNTIF(Equipamento_Tunel!$H$2:$H$158,A1829)</f>
        <v>0</v>
      </c>
    </row>
    <row r="1830" spans="1:2" x14ac:dyDescent="0.3">
      <c r="A1830" s="31"/>
      <c r="B1830">
        <f>COUNTIF(Equipamento_Tunel!$H$2:$H$158,A1830)</f>
        <v>0</v>
      </c>
    </row>
    <row r="1831" spans="1:2" x14ac:dyDescent="0.3">
      <c r="A1831" s="16"/>
      <c r="B1831">
        <f>COUNTIF(Equipamento_Tunel!$H$2:$H$158,A1831)</f>
        <v>0</v>
      </c>
    </row>
    <row r="1832" spans="1:2" x14ac:dyDescent="0.3">
      <c r="A1832" s="31"/>
      <c r="B1832">
        <f>COUNTIF(Equipamento_Tunel!$H$2:$H$158,A1832)</f>
        <v>0</v>
      </c>
    </row>
    <row r="1833" spans="1:2" x14ac:dyDescent="0.3">
      <c r="A1833" s="16"/>
      <c r="B1833">
        <f>COUNTIF(Equipamento_Tunel!$H$2:$H$158,A1833)</f>
        <v>0</v>
      </c>
    </row>
    <row r="1834" spans="1:2" x14ac:dyDescent="0.3">
      <c r="A1834" s="31"/>
      <c r="B1834">
        <f>COUNTIF(Equipamento_Tunel!$H$2:$H$158,A1834)</f>
        <v>0</v>
      </c>
    </row>
    <row r="1835" spans="1:2" x14ac:dyDescent="0.3">
      <c r="A1835" s="16"/>
      <c r="B1835">
        <f>COUNTIF(Equipamento_Tunel!$H$2:$H$158,A1835)</f>
        <v>0</v>
      </c>
    </row>
    <row r="1836" spans="1:2" x14ac:dyDescent="0.3">
      <c r="A1836" s="31"/>
      <c r="B1836">
        <f>COUNTIF(Equipamento_Tunel!$H$2:$H$158,A1836)</f>
        <v>0</v>
      </c>
    </row>
    <row r="1837" spans="1:2" x14ac:dyDescent="0.3">
      <c r="A1837" s="16"/>
      <c r="B1837">
        <f>COUNTIF(Equipamento_Tunel!$H$2:$H$158,A1837)</f>
        <v>0</v>
      </c>
    </row>
    <row r="1838" spans="1:2" x14ac:dyDescent="0.3">
      <c r="A1838" s="31"/>
      <c r="B1838">
        <f>COUNTIF(Equipamento_Tunel!$H$2:$H$158,A1838)</f>
        <v>0</v>
      </c>
    </row>
    <row r="1839" spans="1:2" x14ac:dyDescent="0.3">
      <c r="A1839" s="16"/>
      <c r="B1839">
        <f>COUNTIF(Equipamento_Tunel!$H$2:$H$158,A1839)</f>
        <v>0</v>
      </c>
    </row>
    <row r="1840" spans="1:2" x14ac:dyDescent="0.3">
      <c r="A1840" s="31"/>
      <c r="B1840">
        <f>COUNTIF(Equipamento_Tunel!$H$2:$H$158,A1840)</f>
        <v>0</v>
      </c>
    </row>
    <row r="1841" spans="1:2" x14ac:dyDescent="0.3">
      <c r="A1841" s="16"/>
      <c r="B1841">
        <f>COUNTIF(Equipamento_Tunel!$H$2:$H$158,A1841)</f>
        <v>0</v>
      </c>
    </row>
    <row r="1842" spans="1:2" x14ac:dyDescent="0.3">
      <c r="A1842" s="31"/>
      <c r="B1842">
        <f>COUNTIF(Equipamento_Tunel!$H$2:$H$158,A1842)</f>
        <v>0</v>
      </c>
    </row>
    <row r="1843" spans="1:2" x14ac:dyDescent="0.3">
      <c r="A1843" s="16"/>
      <c r="B1843">
        <f>COUNTIF(Equipamento_Tunel!$H$2:$H$158,A1843)</f>
        <v>0</v>
      </c>
    </row>
    <row r="1844" spans="1:2" x14ac:dyDescent="0.3">
      <c r="A1844" s="31"/>
      <c r="B1844">
        <f>COUNTIF(Equipamento_Tunel!$H$2:$H$158,A1844)</f>
        <v>0</v>
      </c>
    </row>
    <row r="1845" spans="1:2" x14ac:dyDescent="0.3">
      <c r="A1845" s="16"/>
      <c r="B1845">
        <f>COUNTIF(Equipamento_Tunel!$H$2:$H$158,A1845)</f>
        <v>0</v>
      </c>
    </row>
    <row r="1846" spans="1:2" x14ac:dyDescent="0.3">
      <c r="A1846" s="31"/>
      <c r="B1846">
        <f>COUNTIF(Equipamento_Tunel!$H$2:$H$158,A1846)</f>
        <v>0</v>
      </c>
    </row>
    <row r="1847" spans="1:2" x14ac:dyDescent="0.3">
      <c r="A1847" s="16"/>
      <c r="B1847">
        <f>COUNTIF(Equipamento_Tunel!$H$2:$H$158,A1847)</f>
        <v>0</v>
      </c>
    </row>
    <row r="1848" spans="1:2" x14ac:dyDescent="0.3">
      <c r="A1848" s="31"/>
      <c r="B1848">
        <f>COUNTIF(Equipamento_Tunel!$H$2:$H$158,A1848)</f>
        <v>0</v>
      </c>
    </row>
    <row r="1849" spans="1:2" x14ac:dyDescent="0.3">
      <c r="A1849" s="16"/>
      <c r="B1849">
        <f>COUNTIF(Equipamento_Tunel!$H$2:$H$158,A1849)</f>
        <v>0</v>
      </c>
    </row>
    <row r="1850" spans="1:2" x14ac:dyDescent="0.3">
      <c r="A1850" s="31"/>
      <c r="B1850">
        <f>COUNTIF(Equipamento_Tunel!$H$2:$H$158,A1850)</f>
        <v>0</v>
      </c>
    </row>
    <row r="1851" spans="1:2" x14ac:dyDescent="0.3">
      <c r="A1851" s="16"/>
      <c r="B1851">
        <f>COUNTIF(Equipamento_Tunel!$H$2:$H$158,A1851)</f>
        <v>0</v>
      </c>
    </row>
    <row r="1852" spans="1:2" x14ac:dyDescent="0.3">
      <c r="A1852" s="31"/>
      <c r="B1852">
        <f>COUNTIF(Equipamento_Tunel!$H$2:$H$158,A1852)</f>
        <v>0</v>
      </c>
    </row>
    <row r="1853" spans="1:2" x14ac:dyDescent="0.3">
      <c r="A1853" s="16"/>
      <c r="B1853">
        <f>COUNTIF(Equipamento_Tunel!$H$2:$H$158,A1853)</f>
        <v>0</v>
      </c>
    </row>
    <row r="1854" spans="1:2" x14ac:dyDescent="0.3">
      <c r="A1854" s="31"/>
      <c r="B1854">
        <f>COUNTIF(Equipamento_Tunel!$H$2:$H$158,A1854)</f>
        <v>0</v>
      </c>
    </row>
    <row r="1855" spans="1:2" x14ac:dyDescent="0.3">
      <c r="A1855" s="16"/>
      <c r="B1855">
        <f>COUNTIF(Equipamento_Tunel!$H$2:$H$158,A1855)</f>
        <v>0</v>
      </c>
    </row>
    <row r="1856" spans="1:2" x14ac:dyDescent="0.3">
      <c r="A1856" s="31"/>
      <c r="B1856">
        <f>COUNTIF(Equipamento_Tunel!$H$2:$H$158,A1856)</f>
        <v>0</v>
      </c>
    </row>
    <row r="1857" spans="1:2" x14ac:dyDescent="0.3">
      <c r="A1857" s="16"/>
      <c r="B1857">
        <f>COUNTIF(Equipamento_Tunel!$H$2:$H$158,A1857)</f>
        <v>0</v>
      </c>
    </row>
    <row r="1858" spans="1:2" x14ac:dyDescent="0.3">
      <c r="A1858" s="31"/>
      <c r="B1858">
        <f>COUNTIF(Equipamento_Tunel!$H$2:$H$158,A1858)</f>
        <v>0</v>
      </c>
    </row>
    <row r="1859" spans="1:2" x14ac:dyDescent="0.3">
      <c r="A1859" s="16"/>
      <c r="B1859">
        <f>COUNTIF(Equipamento_Tunel!$H$2:$H$158,A1859)</f>
        <v>0</v>
      </c>
    </row>
    <row r="1860" spans="1:2" x14ac:dyDescent="0.3">
      <c r="A1860" s="31"/>
      <c r="B1860">
        <f>COUNTIF(Equipamento_Tunel!$H$2:$H$158,A1860)</f>
        <v>0</v>
      </c>
    </row>
    <row r="1861" spans="1:2" x14ac:dyDescent="0.3">
      <c r="A1861" s="16"/>
      <c r="B1861">
        <f>COUNTIF(Equipamento_Tunel!$H$2:$H$158,A1861)</f>
        <v>0</v>
      </c>
    </row>
    <row r="1862" spans="1:2" x14ac:dyDescent="0.3">
      <c r="A1862" s="31"/>
      <c r="B1862">
        <f>COUNTIF(Equipamento_Tunel!$H$2:$H$158,A1862)</f>
        <v>0</v>
      </c>
    </row>
    <row r="1863" spans="1:2" x14ac:dyDescent="0.3">
      <c r="A1863" s="16"/>
      <c r="B1863">
        <f>COUNTIF(Equipamento_Tunel!$H$2:$H$158,A1863)</f>
        <v>0</v>
      </c>
    </row>
    <row r="1864" spans="1:2" x14ac:dyDescent="0.3">
      <c r="A1864" s="31"/>
      <c r="B1864">
        <f>COUNTIF(Equipamento_Tunel!$H$2:$H$158,A1864)</f>
        <v>0</v>
      </c>
    </row>
    <row r="1865" spans="1:2" x14ac:dyDescent="0.3">
      <c r="A1865" s="16"/>
      <c r="B1865">
        <f>COUNTIF(Equipamento_Tunel!$H$2:$H$158,A1865)</f>
        <v>0</v>
      </c>
    </row>
    <row r="1866" spans="1:2" x14ac:dyDescent="0.3">
      <c r="A1866" s="31"/>
      <c r="B1866">
        <f>COUNTIF(Equipamento_Tunel!$H$2:$H$158,A1866)</f>
        <v>0</v>
      </c>
    </row>
    <row r="1867" spans="1:2" x14ac:dyDescent="0.3">
      <c r="A1867" s="16"/>
      <c r="B1867">
        <f>COUNTIF(Equipamento_Tunel!$H$2:$H$158,A1867)</f>
        <v>0</v>
      </c>
    </row>
    <row r="1868" spans="1:2" x14ac:dyDescent="0.3">
      <c r="A1868" s="31"/>
      <c r="B1868">
        <f>COUNTIF(Equipamento_Tunel!$H$2:$H$158,A1868)</f>
        <v>0</v>
      </c>
    </row>
    <row r="1869" spans="1:2" x14ac:dyDescent="0.3">
      <c r="A1869" s="16"/>
      <c r="B1869">
        <f>COUNTIF(Equipamento_Tunel!$H$2:$H$158,A1869)</f>
        <v>0</v>
      </c>
    </row>
    <row r="1870" spans="1:2" x14ac:dyDescent="0.3">
      <c r="A1870" s="31"/>
      <c r="B1870">
        <f>COUNTIF(Equipamento_Tunel!$H$2:$H$158,A1870)</f>
        <v>0</v>
      </c>
    </row>
    <row r="1871" spans="1:2" x14ac:dyDescent="0.3">
      <c r="A1871" s="16"/>
      <c r="B1871">
        <f>COUNTIF(Equipamento_Tunel!$H$2:$H$158,A1871)</f>
        <v>0</v>
      </c>
    </row>
    <row r="1872" spans="1:2" x14ac:dyDescent="0.3">
      <c r="A1872" s="31"/>
      <c r="B1872">
        <f>COUNTIF(Equipamento_Tunel!$H$2:$H$158,A1872)</f>
        <v>0</v>
      </c>
    </row>
    <row r="1873" spans="1:2" x14ac:dyDescent="0.3">
      <c r="A1873" s="16"/>
      <c r="B1873">
        <f>COUNTIF(Equipamento_Tunel!$H$2:$H$158,A1873)</f>
        <v>0</v>
      </c>
    </row>
    <row r="1874" spans="1:2" x14ac:dyDescent="0.3">
      <c r="A1874" s="31"/>
      <c r="B1874">
        <f>COUNTIF(Equipamento_Tunel!$H$2:$H$158,A1874)</f>
        <v>0</v>
      </c>
    </row>
    <row r="1875" spans="1:2" x14ac:dyDescent="0.3">
      <c r="A1875" s="16"/>
      <c r="B1875">
        <f>COUNTIF(Equipamento_Tunel!$H$2:$H$158,A1875)</f>
        <v>0</v>
      </c>
    </row>
    <row r="1876" spans="1:2" x14ac:dyDescent="0.3">
      <c r="A1876" s="31"/>
      <c r="B1876">
        <f>COUNTIF(Equipamento_Tunel!$H$2:$H$158,A1876)</f>
        <v>0</v>
      </c>
    </row>
    <row r="1877" spans="1:2" x14ac:dyDescent="0.3">
      <c r="A1877" s="16"/>
      <c r="B1877">
        <f>COUNTIF(Equipamento_Tunel!$H$2:$H$158,A1877)</f>
        <v>0</v>
      </c>
    </row>
    <row r="1878" spans="1:2" x14ac:dyDescent="0.3">
      <c r="A1878" s="31"/>
      <c r="B1878">
        <f>COUNTIF(Equipamento_Tunel!$H$2:$H$158,A1878)</f>
        <v>0</v>
      </c>
    </row>
    <row r="1879" spans="1:2" x14ac:dyDescent="0.3">
      <c r="A1879" s="16"/>
      <c r="B1879">
        <f>COUNTIF(Equipamento_Tunel!$H$2:$H$158,A1879)</f>
        <v>0</v>
      </c>
    </row>
    <row r="1880" spans="1:2" x14ac:dyDescent="0.3">
      <c r="A1880" s="31"/>
      <c r="B1880">
        <f>COUNTIF(Equipamento_Tunel!$H$2:$H$158,A1880)</f>
        <v>0</v>
      </c>
    </row>
    <row r="1881" spans="1:2" x14ac:dyDescent="0.3">
      <c r="A1881" s="16"/>
      <c r="B1881">
        <f>COUNTIF(Equipamento_Tunel!$H$2:$H$158,A1881)</f>
        <v>0</v>
      </c>
    </row>
    <row r="1882" spans="1:2" x14ac:dyDescent="0.3">
      <c r="A1882" s="31"/>
      <c r="B1882">
        <f>COUNTIF(Equipamento_Tunel!$H$2:$H$158,A1882)</f>
        <v>0</v>
      </c>
    </row>
    <row r="1883" spans="1:2" x14ac:dyDescent="0.3">
      <c r="A1883" s="16"/>
      <c r="B1883">
        <f>COUNTIF(Equipamento_Tunel!$H$2:$H$158,A1883)</f>
        <v>0</v>
      </c>
    </row>
    <row r="1884" spans="1:2" x14ac:dyDescent="0.3">
      <c r="A1884" s="31"/>
      <c r="B1884">
        <f>COUNTIF(Equipamento_Tunel!$H$2:$H$158,A1884)</f>
        <v>0</v>
      </c>
    </row>
    <row r="1885" spans="1:2" x14ac:dyDescent="0.3">
      <c r="A1885" s="16"/>
      <c r="B1885">
        <f>COUNTIF(Equipamento_Tunel!$H$2:$H$158,A1885)</f>
        <v>0</v>
      </c>
    </row>
    <row r="1886" spans="1:2" x14ac:dyDescent="0.3">
      <c r="A1886" s="31"/>
      <c r="B1886">
        <f>COUNTIF(Equipamento_Tunel!$H$2:$H$158,A1886)</f>
        <v>0</v>
      </c>
    </row>
    <row r="1887" spans="1:2" x14ac:dyDescent="0.3">
      <c r="A1887" s="16"/>
      <c r="B1887">
        <f>COUNTIF(Equipamento_Tunel!$H$2:$H$158,A1887)</f>
        <v>0</v>
      </c>
    </row>
    <row r="1888" spans="1:2" x14ac:dyDescent="0.3">
      <c r="A1888" s="31"/>
      <c r="B1888">
        <f>COUNTIF(Equipamento_Tunel!$H$2:$H$158,A1888)</f>
        <v>0</v>
      </c>
    </row>
    <row r="1889" spans="1:2" x14ac:dyDescent="0.3">
      <c r="A1889" s="16"/>
      <c r="B1889">
        <f>COUNTIF(Equipamento_Tunel!$H$2:$H$158,A1889)</f>
        <v>0</v>
      </c>
    </row>
    <row r="1890" spans="1:2" x14ac:dyDescent="0.3">
      <c r="A1890" s="31"/>
      <c r="B1890">
        <f>COUNTIF(Equipamento_Tunel!$H$2:$H$158,A1890)</f>
        <v>0</v>
      </c>
    </row>
    <row r="1891" spans="1:2" x14ac:dyDescent="0.3">
      <c r="A1891" s="16"/>
      <c r="B1891">
        <f>COUNTIF(Equipamento_Tunel!$H$2:$H$158,A1891)</f>
        <v>0</v>
      </c>
    </row>
    <row r="1892" spans="1:2" x14ac:dyDescent="0.3">
      <c r="A1892" s="31"/>
      <c r="B1892">
        <f>COUNTIF(Equipamento_Tunel!$H$2:$H$158,A1892)</f>
        <v>0</v>
      </c>
    </row>
    <row r="1893" spans="1:2" x14ac:dyDescent="0.3">
      <c r="A1893" s="16"/>
      <c r="B1893">
        <f>COUNTIF(Equipamento_Tunel!$H$2:$H$158,A1893)</f>
        <v>0</v>
      </c>
    </row>
    <row r="1894" spans="1:2" x14ac:dyDescent="0.3">
      <c r="A1894" s="31"/>
      <c r="B1894">
        <f>COUNTIF(Equipamento_Tunel!$H$2:$H$158,A1894)</f>
        <v>0</v>
      </c>
    </row>
    <row r="1895" spans="1:2" x14ac:dyDescent="0.3">
      <c r="A1895" s="16"/>
      <c r="B1895">
        <f>COUNTIF(Equipamento_Tunel!$H$2:$H$158,A1895)</f>
        <v>0</v>
      </c>
    </row>
    <row r="1896" spans="1:2" x14ac:dyDescent="0.3">
      <c r="A1896" s="31"/>
      <c r="B1896">
        <f>COUNTIF(Equipamento_Tunel!$H$2:$H$158,A1896)</f>
        <v>0</v>
      </c>
    </row>
    <row r="1897" spans="1:2" x14ac:dyDescent="0.3">
      <c r="A1897" s="16"/>
      <c r="B1897">
        <f>COUNTIF(Equipamento_Tunel!$H$2:$H$158,A1897)</f>
        <v>0</v>
      </c>
    </row>
    <row r="1898" spans="1:2" x14ac:dyDescent="0.3">
      <c r="A1898" s="31"/>
      <c r="B1898">
        <f>COUNTIF(Equipamento_Tunel!$H$2:$H$158,A1898)</f>
        <v>0</v>
      </c>
    </row>
    <row r="1899" spans="1:2" x14ac:dyDescent="0.3">
      <c r="A1899" s="16"/>
      <c r="B1899">
        <f>COUNTIF(Equipamento_Tunel!$H$2:$H$158,A1899)</f>
        <v>0</v>
      </c>
    </row>
    <row r="1900" spans="1:2" x14ac:dyDescent="0.3">
      <c r="A1900" s="31"/>
      <c r="B1900">
        <f>COUNTIF(Equipamento_Tunel!$H$2:$H$158,A1900)</f>
        <v>0</v>
      </c>
    </row>
    <row r="1901" spans="1:2" x14ac:dyDescent="0.3">
      <c r="A1901" s="16"/>
      <c r="B1901">
        <f>COUNTIF(Equipamento_Tunel!$H$2:$H$158,A1901)</f>
        <v>0</v>
      </c>
    </row>
    <row r="1902" spans="1:2" x14ac:dyDescent="0.3">
      <c r="A1902" s="31"/>
      <c r="B1902">
        <f>COUNTIF(Equipamento_Tunel!$H$2:$H$158,A1902)</f>
        <v>0</v>
      </c>
    </row>
    <row r="1903" spans="1:2" x14ac:dyDescent="0.3">
      <c r="A1903" s="16"/>
      <c r="B1903">
        <f>COUNTIF(Equipamento_Tunel!$H$2:$H$158,A1903)</f>
        <v>0</v>
      </c>
    </row>
    <row r="1904" spans="1:2" x14ac:dyDescent="0.3">
      <c r="A1904" s="31"/>
      <c r="B1904">
        <f>COUNTIF(Equipamento_Tunel!$H$2:$H$158,A1904)</f>
        <v>0</v>
      </c>
    </row>
    <row r="1905" spans="1:2" x14ac:dyDescent="0.3">
      <c r="A1905" s="16"/>
      <c r="B1905">
        <f>COUNTIF(Equipamento_Tunel!$H$2:$H$158,A1905)</f>
        <v>0</v>
      </c>
    </row>
    <row r="1906" spans="1:2" x14ac:dyDescent="0.3">
      <c r="A1906" s="31"/>
      <c r="B1906">
        <f>COUNTIF(Equipamento_Tunel!$H$2:$H$158,A1906)</f>
        <v>0</v>
      </c>
    </row>
    <row r="1907" spans="1:2" x14ac:dyDescent="0.3">
      <c r="A1907" s="16"/>
      <c r="B1907">
        <f>COUNTIF(Equipamento_Tunel!$H$2:$H$158,A1907)</f>
        <v>0</v>
      </c>
    </row>
    <row r="1908" spans="1:2" x14ac:dyDescent="0.3">
      <c r="A1908" s="31"/>
      <c r="B1908">
        <f>COUNTIF(Equipamento_Tunel!$H$2:$H$158,A1908)</f>
        <v>0</v>
      </c>
    </row>
    <row r="1909" spans="1:2" x14ac:dyDescent="0.3">
      <c r="A1909" s="16"/>
      <c r="B1909">
        <f>COUNTIF(Equipamento_Tunel!$H$2:$H$158,A1909)</f>
        <v>0</v>
      </c>
    </row>
    <row r="1910" spans="1:2" x14ac:dyDescent="0.3">
      <c r="A1910" s="31"/>
      <c r="B1910">
        <f>COUNTIF(Equipamento_Tunel!$H$2:$H$158,A1910)</f>
        <v>0</v>
      </c>
    </row>
    <row r="1911" spans="1:2" x14ac:dyDescent="0.3">
      <c r="A1911" s="16"/>
      <c r="B1911">
        <f>COUNTIF(Equipamento_Tunel!$H$2:$H$158,A1911)</f>
        <v>0</v>
      </c>
    </row>
    <row r="1912" spans="1:2" x14ac:dyDescent="0.3">
      <c r="A1912" s="31"/>
      <c r="B1912">
        <f>COUNTIF(Equipamento_Tunel!$H$2:$H$158,A1912)</f>
        <v>0</v>
      </c>
    </row>
    <row r="1913" spans="1:2" x14ac:dyDescent="0.3">
      <c r="A1913" s="16"/>
      <c r="B1913">
        <f>COUNTIF(Equipamento_Tunel!$H$2:$H$158,A1913)</f>
        <v>0</v>
      </c>
    </row>
    <row r="1914" spans="1:2" x14ac:dyDescent="0.3">
      <c r="A1914" s="31"/>
      <c r="B1914">
        <f>COUNTIF(Equipamento_Tunel!$H$2:$H$158,A1914)</f>
        <v>0</v>
      </c>
    </row>
    <row r="1915" spans="1:2" x14ac:dyDescent="0.3">
      <c r="A1915" s="16"/>
      <c r="B1915">
        <f>COUNTIF(Equipamento_Tunel!$H$2:$H$158,A1915)</f>
        <v>0</v>
      </c>
    </row>
    <row r="1916" spans="1:2" x14ac:dyDescent="0.3">
      <c r="A1916" s="31"/>
      <c r="B1916">
        <f>COUNTIF(Equipamento_Tunel!$H$2:$H$158,A1916)</f>
        <v>0</v>
      </c>
    </row>
    <row r="1917" spans="1:2" x14ac:dyDescent="0.3">
      <c r="A1917" s="16"/>
      <c r="B1917">
        <f>COUNTIF(Equipamento_Tunel!$H$2:$H$158,A1917)</f>
        <v>0</v>
      </c>
    </row>
    <row r="1918" spans="1:2" x14ac:dyDescent="0.3">
      <c r="A1918" s="31"/>
      <c r="B1918">
        <f>COUNTIF(Equipamento_Tunel!$H$2:$H$158,A1918)</f>
        <v>0</v>
      </c>
    </row>
    <row r="1919" spans="1:2" x14ac:dyDescent="0.3">
      <c r="A1919" s="16"/>
      <c r="B1919">
        <f>COUNTIF(Equipamento_Tunel!$H$2:$H$158,A1919)</f>
        <v>0</v>
      </c>
    </row>
    <row r="1920" spans="1:2" x14ac:dyDescent="0.3">
      <c r="A1920" s="31"/>
      <c r="B1920">
        <f>COUNTIF(Equipamento_Tunel!$H$2:$H$158,A1920)</f>
        <v>0</v>
      </c>
    </row>
    <row r="1921" spans="1:2" x14ac:dyDescent="0.3">
      <c r="A1921" s="16"/>
      <c r="B1921">
        <f>COUNTIF(Equipamento_Tunel!$H$2:$H$158,A1921)</f>
        <v>0</v>
      </c>
    </row>
    <row r="1922" spans="1:2" x14ac:dyDescent="0.3">
      <c r="A1922" s="31"/>
      <c r="B1922">
        <f>COUNTIF(Equipamento_Tunel!$H$2:$H$158,A1922)</f>
        <v>0</v>
      </c>
    </row>
    <row r="1923" spans="1:2" x14ac:dyDescent="0.3">
      <c r="A1923" s="16"/>
      <c r="B1923">
        <f>COUNTIF(Equipamento_Tunel!$H$2:$H$158,A1923)</f>
        <v>0</v>
      </c>
    </row>
    <row r="1924" spans="1:2" x14ac:dyDescent="0.3">
      <c r="A1924" s="31"/>
      <c r="B1924">
        <f>COUNTIF(Equipamento_Tunel!$H$2:$H$158,A1924)</f>
        <v>0</v>
      </c>
    </row>
    <row r="1925" spans="1:2" x14ac:dyDescent="0.3">
      <c r="A1925" s="16"/>
      <c r="B1925">
        <f>COUNTIF(Equipamento_Tunel!$H$2:$H$158,A1925)</f>
        <v>0</v>
      </c>
    </row>
    <row r="1926" spans="1:2" x14ac:dyDescent="0.3">
      <c r="A1926" s="31"/>
      <c r="B1926">
        <f>COUNTIF(Equipamento_Tunel!$H$2:$H$158,A1926)</f>
        <v>0</v>
      </c>
    </row>
    <row r="1927" spans="1:2" x14ac:dyDescent="0.3">
      <c r="A1927" s="16"/>
      <c r="B1927">
        <f>COUNTIF(Equipamento_Tunel!$H$2:$H$158,A1927)</f>
        <v>0</v>
      </c>
    </row>
    <row r="1928" spans="1:2" x14ac:dyDescent="0.3">
      <c r="A1928" s="31"/>
      <c r="B1928">
        <f>COUNTIF(Equipamento_Tunel!$H$2:$H$158,A1928)</f>
        <v>0</v>
      </c>
    </row>
    <row r="1929" spans="1:2" x14ac:dyDescent="0.3">
      <c r="A1929" s="16"/>
      <c r="B1929">
        <f>COUNTIF(Equipamento_Tunel!$H$2:$H$158,A1929)</f>
        <v>0</v>
      </c>
    </row>
    <row r="1930" spans="1:2" x14ac:dyDescent="0.3">
      <c r="A1930" s="31"/>
      <c r="B1930">
        <f>COUNTIF(Equipamento_Tunel!$H$2:$H$158,A1930)</f>
        <v>0</v>
      </c>
    </row>
    <row r="1931" spans="1:2" x14ac:dyDescent="0.3">
      <c r="A1931" s="16"/>
      <c r="B1931">
        <f>COUNTIF(Equipamento_Tunel!$H$2:$H$158,A1931)</f>
        <v>0</v>
      </c>
    </row>
    <row r="1932" spans="1:2" x14ac:dyDescent="0.3">
      <c r="A1932" s="31"/>
      <c r="B1932">
        <f>COUNTIF(Equipamento_Tunel!$H$2:$H$158,A1932)</f>
        <v>0</v>
      </c>
    </row>
    <row r="1933" spans="1:2" x14ac:dyDescent="0.3">
      <c r="A1933" s="16"/>
      <c r="B1933">
        <f>COUNTIF(Equipamento_Tunel!$H$2:$H$158,A1933)</f>
        <v>0</v>
      </c>
    </row>
    <row r="1934" spans="1:2" x14ac:dyDescent="0.3">
      <c r="A1934" s="31"/>
      <c r="B1934">
        <f>COUNTIF(Equipamento_Tunel!$H$2:$H$158,A1934)</f>
        <v>0</v>
      </c>
    </row>
    <row r="1935" spans="1:2" x14ac:dyDescent="0.3">
      <c r="A1935" s="16"/>
      <c r="B1935">
        <f>COUNTIF(Equipamento_Tunel!$H$2:$H$158,A1935)</f>
        <v>0</v>
      </c>
    </row>
    <row r="1936" spans="1:2" x14ac:dyDescent="0.3">
      <c r="A1936" s="31"/>
      <c r="B1936">
        <f>COUNTIF(Equipamento_Tunel!$H$2:$H$158,A1936)</f>
        <v>0</v>
      </c>
    </row>
    <row r="1937" spans="1:2" x14ac:dyDescent="0.3">
      <c r="A1937" s="16"/>
      <c r="B1937">
        <f>COUNTIF(Equipamento_Tunel!$H$2:$H$158,A1937)</f>
        <v>0</v>
      </c>
    </row>
    <row r="1938" spans="1:2" x14ac:dyDescent="0.3">
      <c r="A1938" s="31"/>
      <c r="B1938">
        <f>COUNTIF(Equipamento_Tunel!$H$2:$H$158,A1938)</f>
        <v>0</v>
      </c>
    </row>
    <row r="1939" spans="1:2" x14ac:dyDescent="0.3">
      <c r="A1939" s="16"/>
      <c r="B1939">
        <f>COUNTIF(Equipamento_Tunel!$H$2:$H$158,A1939)</f>
        <v>0</v>
      </c>
    </row>
    <row r="1940" spans="1:2" x14ac:dyDescent="0.3">
      <c r="A1940" s="31"/>
      <c r="B1940">
        <f>COUNTIF(Equipamento_Tunel!$H$2:$H$158,A1940)</f>
        <v>0</v>
      </c>
    </row>
    <row r="1941" spans="1:2" x14ac:dyDescent="0.3">
      <c r="A1941" s="16"/>
      <c r="B1941">
        <f>COUNTIF(Equipamento_Tunel!$H$2:$H$158,A1941)</f>
        <v>0</v>
      </c>
    </row>
    <row r="1942" spans="1:2" x14ac:dyDescent="0.3">
      <c r="A1942" s="31"/>
      <c r="B1942">
        <f>COUNTIF(Equipamento_Tunel!$H$2:$H$158,A1942)</f>
        <v>0</v>
      </c>
    </row>
    <row r="1943" spans="1:2" x14ac:dyDescent="0.3">
      <c r="A1943" s="16"/>
      <c r="B1943">
        <f>COUNTIF(Equipamento_Tunel!$H$2:$H$158,A1943)</f>
        <v>0</v>
      </c>
    </row>
    <row r="1944" spans="1:2" x14ac:dyDescent="0.3">
      <c r="A1944" s="31"/>
      <c r="B1944">
        <f>COUNTIF(Equipamento_Tunel!$H$2:$H$158,A1944)</f>
        <v>0</v>
      </c>
    </row>
    <row r="1945" spans="1:2" x14ac:dyDescent="0.3">
      <c r="A1945" s="16"/>
      <c r="B1945">
        <f>COUNTIF(Equipamento_Tunel!$H$2:$H$158,A1945)</f>
        <v>0</v>
      </c>
    </row>
    <row r="1946" spans="1:2" x14ac:dyDescent="0.3">
      <c r="A1946" s="31"/>
      <c r="B1946">
        <f>COUNTIF(Equipamento_Tunel!$H$2:$H$158,A1946)</f>
        <v>0</v>
      </c>
    </row>
    <row r="1947" spans="1:2" x14ac:dyDescent="0.3">
      <c r="A1947" s="16"/>
      <c r="B1947">
        <f>COUNTIF(Equipamento_Tunel!$H$2:$H$158,A1947)</f>
        <v>0</v>
      </c>
    </row>
    <row r="1948" spans="1:2" x14ac:dyDescent="0.3">
      <c r="A1948" s="31"/>
      <c r="B1948">
        <f>COUNTIF(Equipamento_Tunel!$H$2:$H$158,A1948)</f>
        <v>0</v>
      </c>
    </row>
    <row r="1949" spans="1:2" x14ac:dyDescent="0.3">
      <c r="A1949" s="16"/>
      <c r="B1949">
        <f>COUNTIF(Equipamento_Tunel!$H$2:$H$158,A1949)</f>
        <v>0</v>
      </c>
    </row>
    <row r="1950" spans="1:2" x14ac:dyDescent="0.3">
      <c r="A1950" s="31"/>
      <c r="B1950">
        <f>COUNTIF(Equipamento_Tunel!$H$2:$H$158,A1950)</f>
        <v>0</v>
      </c>
    </row>
    <row r="1951" spans="1:2" x14ac:dyDescent="0.3">
      <c r="A1951" s="16"/>
      <c r="B1951">
        <f>COUNTIF(Equipamento_Tunel!$H$2:$H$158,A1951)</f>
        <v>0</v>
      </c>
    </row>
    <row r="1952" spans="1:2" x14ac:dyDescent="0.3">
      <c r="A1952" s="31"/>
      <c r="B1952">
        <f>COUNTIF(Equipamento_Tunel!$H$2:$H$158,A1952)</f>
        <v>0</v>
      </c>
    </row>
    <row r="1953" spans="1:2" x14ac:dyDescent="0.3">
      <c r="A1953" s="16"/>
      <c r="B1953">
        <f>COUNTIF(Equipamento_Tunel!$H$2:$H$158,A1953)</f>
        <v>0</v>
      </c>
    </row>
    <row r="1954" spans="1:2" x14ac:dyDescent="0.3">
      <c r="A1954" s="31"/>
      <c r="B1954">
        <f>COUNTIF(Equipamento_Tunel!$H$2:$H$158,A1954)</f>
        <v>0</v>
      </c>
    </row>
    <row r="1955" spans="1:2" x14ac:dyDescent="0.3">
      <c r="A1955" s="16"/>
      <c r="B1955">
        <f>COUNTIF(Equipamento_Tunel!$H$2:$H$158,A1955)</f>
        <v>0</v>
      </c>
    </row>
    <row r="1956" spans="1:2" x14ac:dyDescent="0.3">
      <c r="A1956" s="31"/>
      <c r="B1956">
        <f>COUNTIF(Equipamento_Tunel!$H$2:$H$158,A1956)</f>
        <v>0</v>
      </c>
    </row>
    <row r="1957" spans="1:2" x14ac:dyDescent="0.3">
      <c r="A1957" s="16"/>
      <c r="B1957">
        <f>COUNTIF(Equipamento_Tunel!$H$2:$H$158,A1957)</f>
        <v>0</v>
      </c>
    </row>
    <row r="1958" spans="1:2" x14ac:dyDescent="0.3">
      <c r="A1958" s="31"/>
      <c r="B1958">
        <f>COUNTIF(Equipamento_Tunel!$H$2:$H$158,A1958)</f>
        <v>0</v>
      </c>
    </row>
    <row r="1959" spans="1:2" x14ac:dyDescent="0.3">
      <c r="A1959" s="16"/>
      <c r="B1959">
        <f>COUNTIF(Equipamento_Tunel!$H$2:$H$158,A1959)</f>
        <v>0</v>
      </c>
    </row>
    <row r="1960" spans="1:2" x14ac:dyDescent="0.3">
      <c r="A1960" s="31"/>
      <c r="B1960">
        <f>COUNTIF(Equipamento_Tunel!$H$2:$H$158,A1960)</f>
        <v>0</v>
      </c>
    </row>
    <row r="1961" spans="1:2" x14ac:dyDescent="0.3">
      <c r="A1961" s="16"/>
      <c r="B1961">
        <f>COUNTIF(Equipamento_Tunel!$H$2:$H$158,A1961)</f>
        <v>0</v>
      </c>
    </row>
    <row r="1962" spans="1:2" x14ac:dyDescent="0.3">
      <c r="A1962" s="31"/>
      <c r="B1962">
        <f>COUNTIF(Equipamento_Tunel!$H$2:$H$158,A1962)</f>
        <v>0</v>
      </c>
    </row>
    <row r="1963" spans="1:2" x14ac:dyDescent="0.3">
      <c r="A1963" s="16"/>
      <c r="B1963">
        <f>COUNTIF(Equipamento_Tunel!$H$2:$H$158,A1963)</f>
        <v>0</v>
      </c>
    </row>
    <row r="1964" spans="1:2" x14ac:dyDescent="0.3">
      <c r="A1964" s="31"/>
      <c r="B1964">
        <f>COUNTIF(Equipamento_Tunel!$H$2:$H$158,A1964)</f>
        <v>0</v>
      </c>
    </row>
    <row r="1965" spans="1:2" x14ac:dyDescent="0.3">
      <c r="A1965" s="16"/>
      <c r="B1965">
        <f>COUNTIF(Equipamento_Tunel!$H$2:$H$158,A1965)</f>
        <v>0</v>
      </c>
    </row>
    <row r="1966" spans="1:2" x14ac:dyDescent="0.3">
      <c r="A1966" s="31"/>
      <c r="B1966">
        <f>COUNTIF(Equipamento_Tunel!$H$2:$H$158,A1966)</f>
        <v>0</v>
      </c>
    </row>
    <row r="1967" spans="1:2" x14ac:dyDescent="0.3">
      <c r="A1967" s="16"/>
      <c r="B1967">
        <f>COUNTIF(Equipamento_Tunel!$H$2:$H$158,A1967)</f>
        <v>0</v>
      </c>
    </row>
    <row r="1968" spans="1:2" x14ac:dyDescent="0.3">
      <c r="A1968" s="31"/>
      <c r="B1968">
        <f>COUNTIF(Equipamento_Tunel!$H$2:$H$158,A1968)</f>
        <v>0</v>
      </c>
    </row>
    <row r="1969" spans="1:2" x14ac:dyDescent="0.3">
      <c r="A1969" s="16"/>
      <c r="B1969">
        <f>COUNTIF(Equipamento_Tunel!$H$2:$H$158,A1969)</f>
        <v>0</v>
      </c>
    </row>
    <row r="1970" spans="1:2" x14ac:dyDescent="0.3">
      <c r="A1970" s="31"/>
      <c r="B1970">
        <f>COUNTIF(Equipamento_Tunel!$H$2:$H$158,A1970)</f>
        <v>0</v>
      </c>
    </row>
    <row r="1971" spans="1:2" x14ac:dyDescent="0.3">
      <c r="A1971" s="16"/>
      <c r="B1971">
        <f>COUNTIF(Equipamento_Tunel!$H$2:$H$158,A1971)</f>
        <v>0</v>
      </c>
    </row>
    <row r="1972" spans="1:2" x14ac:dyDescent="0.3">
      <c r="A1972" s="31"/>
      <c r="B1972">
        <f>COUNTIF(Equipamento_Tunel!$H$2:$H$158,A1972)</f>
        <v>0</v>
      </c>
    </row>
    <row r="1973" spans="1:2" x14ac:dyDescent="0.3">
      <c r="A1973" s="16"/>
      <c r="B1973">
        <f>COUNTIF(Equipamento_Tunel!$H$2:$H$158,A1973)</f>
        <v>0</v>
      </c>
    </row>
    <row r="1974" spans="1:2" x14ac:dyDescent="0.3">
      <c r="A1974" s="31"/>
      <c r="B1974">
        <f>COUNTIF(Equipamento_Tunel!$H$2:$H$158,A1974)</f>
        <v>0</v>
      </c>
    </row>
    <row r="1975" spans="1:2" x14ac:dyDescent="0.3">
      <c r="A1975" s="16"/>
      <c r="B1975">
        <f>COUNTIF(Equipamento_Tunel!$H$2:$H$158,A1975)</f>
        <v>0</v>
      </c>
    </row>
    <row r="1976" spans="1:2" x14ac:dyDescent="0.3">
      <c r="A1976" s="31"/>
      <c r="B1976">
        <f>COUNTIF(Equipamento_Tunel!$H$2:$H$158,A1976)</f>
        <v>0</v>
      </c>
    </row>
    <row r="1977" spans="1:2" x14ac:dyDescent="0.3">
      <c r="A1977" s="16"/>
      <c r="B1977">
        <f>COUNTIF(Equipamento_Tunel!$H$2:$H$158,A1977)</f>
        <v>0</v>
      </c>
    </row>
    <row r="1978" spans="1:2" x14ac:dyDescent="0.3">
      <c r="A1978" s="31"/>
      <c r="B1978">
        <f>COUNTIF(Equipamento_Tunel!$H$2:$H$158,A1978)</f>
        <v>0</v>
      </c>
    </row>
    <row r="1979" spans="1:2" x14ac:dyDescent="0.3">
      <c r="A1979" s="16"/>
      <c r="B1979">
        <f>COUNTIF(Equipamento_Tunel!$H$2:$H$158,A1979)</f>
        <v>0</v>
      </c>
    </row>
    <row r="1980" spans="1:2" x14ac:dyDescent="0.3">
      <c r="A1980" s="31"/>
      <c r="B1980">
        <f>COUNTIF(Equipamento_Tunel!$H$2:$H$158,A1980)</f>
        <v>0</v>
      </c>
    </row>
    <row r="1981" spans="1:2" x14ac:dyDescent="0.3">
      <c r="A1981" s="16"/>
      <c r="B1981">
        <f>COUNTIF(Equipamento_Tunel!$H$2:$H$158,A1981)</f>
        <v>0</v>
      </c>
    </row>
    <row r="1982" spans="1:2" x14ac:dyDescent="0.3">
      <c r="A1982" s="31"/>
      <c r="B1982">
        <f>COUNTIF(Equipamento_Tunel!$H$2:$H$158,A1982)</f>
        <v>0</v>
      </c>
    </row>
    <row r="1983" spans="1:2" x14ac:dyDescent="0.3">
      <c r="A1983" s="16"/>
      <c r="B1983">
        <f>COUNTIF(Equipamento_Tunel!$H$2:$H$158,A1983)</f>
        <v>0</v>
      </c>
    </row>
    <row r="1984" spans="1:2" x14ac:dyDescent="0.3">
      <c r="A1984" s="31"/>
      <c r="B1984">
        <f>COUNTIF(Equipamento_Tunel!$H$2:$H$158,A1984)</f>
        <v>0</v>
      </c>
    </row>
    <row r="1985" spans="1:2" x14ac:dyDescent="0.3">
      <c r="A1985" s="16"/>
      <c r="B1985">
        <f>COUNTIF(Equipamento_Tunel!$H$2:$H$158,A1985)</f>
        <v>0</v>
      </c>
    </row>
    <row r="1986" spans="1:2" x14ac:dyDescent="0.3">
      <c r="A1986" s="31"/>
      <c r="B1986">
        <f>COUNTIF(Equipamento_Tunel!$H$2:$H$158,A1986)</f>
        <v>0</v>
      </c>
    </row>
    <row r="1987" spans="1:2" x14ac:dyDescent="0.3">
      <c r="A1987" s="16"/>
      <c r="B1987">
        <f>COUNTIF(Equipamento_Tunel!$H$2:$H$158,A1987)</f>
        <v>0</v>
      </c>
    </row>
    <row r="1988" spans="1:2" x14ac:dyDescent="0.3">
      <c r="A1988" s="31"/>
      <c r="B1988">
        <f>COUNTIF(Equipamento_Tunel!$H$2:$H$158,A1988)</f>
        <v>0</v>
      </c>
    </row>
    <row r="1989" spans="1:2" x14ac:dyDescent="0.3">
      <c r="A1989" s="16"/>
      <c r="B1989">
        <f>COUNTIF(Equipamento_Tunel!$H$2:$H$158,A1989)</f>
        <v>0</v>
      </c>
    </row>
    <row r="1990" spans="1:2" x14ac:dyDescent="0.3">
      <c r="A1990" s="31"/>
      <c r="B1990">
        <f>COUNTIF(Equipamento_Tunel!$H$2:$H$158,A1990)</f>
        <v>0</v>
      </c>
    </row>
    <row r="1991" spans="1:2" x14ac:dyDescent="0.3">
      <c r="A1991" s="16"/>
      <c r="B1991">
        <f>COUNTIF(Equipamento_Tunel!$H$2:$H$158,A1991)</f>
        <v>0</v>
      </c>
    </row>
    <row r="1992" spans="1:2" x14ac:dyDescent="0.3">
      <c r="A1992" s="31"/>
      <c r="B1992">
        <f>COUNTIF(Equipamento_Tunel!$H$2:$H$158,A1992)</f>
        <v>0</v>
      </c>
    </row>
    <row r="1993" spans="1:2" x14ac:dyDescent="0.3">
      <c r="A1993" s="16"/>
      <c r="B1993">
        <f>COUNTIF(Equipamento_Tunel!$H$2:$H$158,A1993)</f>
        <v>0</v>
      </c>
    </row>
    <row r="1994" spans="1:2" x14ac:dyDescent="0.3">
      <c r="A1994" s="31"/>
      <c r="B1994">
        <f>COUNTIF(Equipamento_Tunel!$H$2:$H$158,A1994)</f>
        <v>0</v>
      </c>
    </row>
    <row r="1995" spans="1:2" x14ac:dyDescent="0.3">
      <c r="A1995" s="16"/>
      <c r="B1995">
        <f>COUNTIF(Equipamento_Tunel!$H$2:$H$158,A1995)</f>
        <v>0</v>
      </c>
    </row>
    <row r="1996" spans="1:2" x14ac:dyDescent="0.3">
      <c r="A1996" s="31"/>
      <c r="B1996">
        <f>COUNTIF(Equipamento_Tunel!$H$2:$H$158,A1996)</f>
        <v>0</v>
      </c>
    </row>
    <row r="1997" spans="1:2" x14ac:dyDescent="0.3">
      <c r="A1997" s="16"/>
      <c r="B1997">
        <f>COUNTIF(Equipamento_Tunel!$H$2:$H$158,A1997)</f>
        <v>0</v>
      </c>
    </row>
    <row r="1998" spans="1:2" x14ac:dyDescent="0.3">
      <c r="A1998" s="31"/>
      <c r="B1998">
        <f>COUNTIF(Equipamento_Tunel!$H$2:$H$158,A1998)</f>
        <v>0</v>
      </c>
    </row>
    <row r="1999" spans="1:2" x14ac:dyDescent="0.3">
      <c r="A1999" s="16"/>
      <c r="B1999">
        <f>COUNTIF(Equipamento_Tunel!$H$2:$H$158,A1999)</f>
        <v>0</v>
      </c>
    </row>
    <row r="2000" spans="1:2" x14ac:dyDescent="0.3">
      <c r="A2000" s="31"/>
      <c r="B2000">
        <f>COUNTIF(Equipamento_Tunel!$H$2:$H$158,A2000)</f>
        <v>0</v>
      </c>
    </row>
    <row r="2001" spans="1:2" x14ac:dyDescent="0.3">
      <c r="A2001" s="16"/>
      <c r="B2001">
        <f>COUNTIF(Equipamento_Tunel!$H$2:$H$158,A2001)</f>
        <v>0</v>
      </c>
    </row>
    <row r="2002" spans="1:2" x14ac:dyDescent="0.3">
      <c r="A2002" s="31"/>
      <c r="B2002">
        <f>COUNTIF(Equipamento_Tunel!$H$2:$H$158,A2002)</f>
        <v>0</v>
      </c>
    </row>
    <row r="2003" spans="1:2" x14ac:dyDescent="0.3">
      <c r="A2003" s="16"/>
      <c r="B2003">
        <f>COUNTIF(Equipamento_Tunel!$H$2:$H$158,A2003)</f>
        <v>0</v>
      </c>
    </row>
    <row r="2004" spans="1:2" x14ac:dyDescent="0.3">
      <c r="A2004" s="31"/>
      <c r="B2004">
        <f>COUNTIF(Equipamento_Tunel!$H$2:$H$158,A2004)</f>
        <v>0</v>
      </c>
    </row>
    <row r="2005" spans="1:2" x14ac:dyDescent="0.3">
      <c r="A2005" s="16"/>
      <c r="B2005">
        <f>COUNTIF(Equipamento_Tunel!$H$2:$H$158,A2005)</f>
        <v>0</v>
      </c>
    </row>
    <row r="2006" spans="1:2" x14ac:dyDescent="0.3">
      <c r="A2006" s="31"/>
      <c r="B2006">
        <f>COUNTIF(Equipamento_Tunel!$H$2:$H$158,A2006)</f>
        <v>0</v>
      </c>
    </row>
    <row r="2007" spans="1:2" x14ac:dyDescent="0.3">
      <c r="A2007" s="16"/>
      <c r="B2007">
        <f>COUNTIF(Equipamento_Tunel!$H$2:$H$158,A2007)</f>
        <v>0</v>
      </c>
    </row>
    <row r="2008" spans="1:2" x14ac:dyDescent="0.3">
      <c r="A2008" s="31"/>
      <c r="B2008">
        <f>COUNTIF(Equipamento_Tunel!$H$2:$H$158,A2008)</f>
        <v>0</v>
      </c>
    </row>
    <row r="2009" spans="1:2" x14ac:dyDescent="0.3">
      <c r="A2009" s="16"/>
      <c r="B2009">
        <f>COUNTIF(Equipamento_Tunel!$H$2:$H$158,A2009)</f>
        <v>0</v>
      </c>
    </row>
    <row r="2010" spans="1:2" x14ac:dyDescent="0.3">
      <c r="A2010" s="31"/>
      <c r="B2010">
        <f>COUNTIF(Equipamento_Tunel!$H$2:$H$158,A2010)</f>
        <v>0</v>
      </c>
    </row>
    <row r="2011" spans="1:2" x14ac:dyDescent="0.3">
      <c r="A2011" s="16"/>
      <c r="B2011">
        <f>COUNTIF(Equipamento_Tunel!$H$2:$H$158,A2011)</f>
        <v>0</v>
      </c>
    </row>
    <row r="2012" spans="1:2" x14ac:dyDescent="0.3">
      <c r="A2012" s="31"/>
      <c r="B2012">
        <f>COUNTIF(Equipamento_Tunel!$H$2:$H$158,A2012)</f>
        <v>0</v>
      </c>
    </row>
    <row r="2013" spans="1:2" x14ac:dyDescent="0.3">
      <c r="A2013" s="16"/>
      <c r="B2013">
        <f>COUNTIF(Equipamento_Tunel!$H$2:$H$158,A2013)</f>
        <v>0</v>
      </c>
    </row>
    <row r="2014" spans="1:2" x14ac:dyDescent="0.3">
      <c r="A2014" s="31"/>
      <c r="B2014">
        <f>COUNTIF(Equipamento_Tunel!$H$2:$H$158,A2014)</f>
        <v>0</v>
      </c>
    </row>
    <row r="2015" spans="1:2" x14ac:dyDescent="0.3">
      <c r="A2015" s="16"/>
      <c r="B2015">
        <f>COUNTIF(Equipamento_Tunel!$H$2:$H$158,A2015)</f>
        <v>0</v>
      </c>
    </row>
    <row r="2016" spans="1:2" x14ac:dyDescent="0.3">
      <c r="A2016" s="31"/>
      <c r="B2016">
        <f>COUNTIF(Equipamento_Tunel!$H$2:$H$158,A2016)</f>
        <v>0</v>
      </c>
    </row>
    <row r="2017" spans="1:2" x14ac:dyDescent="0.3">
      <c r="A2017" s="16"/>
      <c r="B2017">
        <f>COUNTIF(Equipamento_Tunel!$H$2:$H$158,A2017)</f>
        <v>0</v>
      </c>
    </row>
    <row r="2018" spans="1:2" x14ac:dyDescent="0.3">
      <c r="A2018" s="31"/>
      <c r="B2018">
        <f>COUNTIF(Equipamento_Tunel!$H$2:$H$158,A2018)</f>
        <v>0</v>
      </c>
    </row>
    <row r="2019" spans="1:2" x14ac:dyDescent="0.3">
      <c r="A2019" s="16"/>
      <c r="B2019">
        <f>COUNTIF(Equipamento_Tunel!$H$2:$H$158,A2019)</f>
        <v>0</v>
      </c>
    </row>
    <row r="2020" spans="1:2" x14ac:dyDescent="0.3">
      <c r="A2020" s="31"/>
      <c r="B2020">
        <f>COUNTIF(Equipamento_Tunel!$H$2:$H$158,A2020)</f>
        <v>0</v>
      </c>
    </row>
    <row r="2021" spans="1:2" x14ac:dyDescent="0.3">
      <c r="A2021" s="16"/>
      <c r="B2021">
        <f>COUNTIF(Equipamento_Tunel!$H$2:$H$158,A2021)</f>
        <v>0</v>
      </c>
    </row>
    <row r="2022" spans="1:2" x14ac:dyDescent="0.3">
      <c r="A2022" s="31"/>
      <c r="B2022">
        <f>COUNTIF(Equipamento_Tunel!$H$2:$H$158,A2022)</f>
        <v>0</v>
      </c>
    </row>
    <row r="2023" spans="1:2" x14ac:dyDescent="0.3">
      <c r="A2023" s="16"/>
      <c r="B2023">
        <f>COUNTIF(Equipamento_Tunel!$H$2:$H$158,A2023)</f>
        <v>0</v>
      </c>
    </row>
    <row r="2024" spans="1:2" x14ac:dyDescent="0.3">
      <c r="A2024" s="31"/>
      <c r="B2024">
        <f>COUNTIF(Equipamento_Tunel!$H$2:$H$158,A2024)</f>
        <v>0</v>
      </c>
    </row>
    <row r="2025" spans="1:2" x14ac:dyDescent="0.3">
      <c r="A2025" s="16"/>
      <c r="B2025">
        <f>COUNTIF(Equipamento_Tunel!$H$2:$H$158,A2025)</f>
        <v>0</v>
      </c>
    </row>
    <row r="2026" spans="1:2" x14ac:dyDescent="0.3">
      <c r="A2026" s="31"/>
      <c r="B2026">
        <f>COUNTIF(Equipamento_Tunel!$H$2:$H$158,A2026)</f>
        <v>0</v>
      </c>
    </row>
    <row r="2027" spans="1:2" x14ac:dyDescent="0.3">
      <c r="A2027" s="16"/>
      <c r="B2027">
        <f>COUNTIF(Equipamento_Tunel!$H$2:$H$158,A2027)</f>
        <v>0</v>
      </c>
    </row>
    <row r="2028" spans="1:2" x14ac:dyDescent="0.3">
      <c r="A2028" s="31"/>
      <c r="B2028">
        <f>COUNTIF(Equipamento_Tunel!$H$2:$H$158,A2028)</f>
        <v>0</v>
      </c>
    </row>
    <row r="2029" spans="1:2" x14ac:dyDescent="0.3">
      <c r="A2029" s="16"/>
      <c r="B2029">
        <f>COUNTIF(Equipamento_Tunel!$H$2:$H$158,A2029)</f>
        <v>0</v>
      </c>
    </row>
    <row r="2030" spans="1:2" x14ac:dyDescent="0.3">
      <c r="A2030" s="31"/>
      <c r="B2030">
        <f>COUNTIF(Equipamento_Tunel!$H$2:$H$158,A2030)</f>
        <v>0</v>
      </c>
    </row>
    <row r="2031" spans="1:2" x14ac:dyDescent="0.3">
      <c r="A2031" s="16"/>
      <c r="B2031">
        <f>COUNTIF(Equipamento_Tunel!$H$2:$H$158,A2031)</f>
        <v>0</v>
      </c>
    </row>
    <row r="2032" spans="1:2" x14ac:dyDescent="0.3">
      <c r="A2032" s="31"/>
      <c r="B2032">
        <f>COUNTIF(Equipamento_Tunel!$H$2:$H$158,A2032)</f>
        <v>0</v>
      </c>
    </row>
    <row r="2033" spans="1:2" x14ac:dyDescent="0.3">
      <c r="A2033" s="16"/>
      <c r="B2033">
        <f>COUNTIF(Equipamento_Tunel!$H$2:$H$158,A2033)</f>
        <v>0</v>
      </c>
    </row>
    <row r="2034" spans="1:2" x14ac:dyDescent="0.3">
      <c r="A2034" s="31"/>
      <c r="B2034">
        <f>COUNTIF(Equipamento_Tunel!$H$2:$H$158,A2034)</f>
        <v>0</v>
      </c>
    </row>
    <row r="2035" spans="1:2" x14ac:dyDescent="0.3">
      <c r="A2035" s="16"/>
      <c r="B2035">
        <f>COUNTIF(Equipamento_Tunel!$H$2:$H$158,A2035)</f>
        <v>0</v>
      </c>
    </row>
    <row r="2036" spans="1:2" x14ac:dyDescent="0.3">
      <c r="A2036" s="31"/>
      <c r="B2036">
        <f>COUNTIF(Equipamento_Tunel!$H$2:$H$158,A2036)</f>
        <v>0</v>
      </c>
    </row>
    <row r="2037" spans="1:2" x14ac:dyDescent="0.3">
      <c r="A2037" s="16"/>
      <c r="B2037">
        <f>COUNTIF(Equipamento_Tunel!$H$2:$H$158,A2037)</f>
        <v>0</v>
      </c>
    </row>
    <row r="2038" spans="1:2" x14ac:dyDescent="0.3">
      <c r="A2038" s="31"/>
      <c r="B2038">
        <f>COUNTIF(Equipamento_Tunel!$H$2:$H$158,A2038)</f>
        <v>0</v>
      </c>
    </row>
    <row r="2039" spans="1:2" x14ac:dyDescent="0.3">
      <c r="A2039" s="16"/>
      <c r="B2039">
        <f>COUNTIF(Equipamento_Tunel!$H$2:$H$158,A2039)</f>
        <v>0</v>
      </c>
    </row>
    <row r="2040" spans="1:2" x14ac:dyDescent="0.3">
      <c r="A2040" s="31"/>
      <c r="B2040">
        <f>COUNTIF(Equipamento_Tunel!$H$2:$H$158,A2040)</f>
        <v>0</v>
      </c>
    </row>
    <row r="2041" spans="1:2" x14ac:dyDescent="0.3">
      <c r="A2041" s="16"/>
      <c r="B2041">
        <f>COUNTIF(Equipamento_Tunel!$H$2:$H$158,A2041)</f>
        <v>0</v>
      </c>
    </row>
    <row r="2042" spans="1:2" x14ac:dyDescent="0.3">
      <c r="A2042" s="31"/>
      <c r="B2042">
        <f>COUNTIF(Equipamento_Tunel!$H$2:$H$158,A2042)</f>
        <v>0</v>
      </c>
    </row>
    <row r="2043" spans="1:2" x14ac:dyDescent="0.3">
      <c r="A2043" s="16"/>
      <c r="B2043">
        <f>COUNTIF(Equipamento_Tunel!$H$2:$H$158,A2043)</f>
        <v>0</v>
      </c>
    </row>
    <row r="2044" spans="1:2" x14ac:dyDescent="0.3">
      <c r="A2044" s="31"/>
      <c r="B2044">
        <f>COUNTIF(Equipamento_Tunel!$H$2:$H$158,A2044)</f>
        <v>0</v>
      </c>
    </row>
    <row r="2045" spans="1:2" x14ac:dyDescent="0.3">
      <c r="A2045" s="16"/>
      <c r="B2045">
        <f>COUNTIF(Equipamento_Tunel!$H$2:$H$158,A2045)</f>
        <v>0</v>
      </c>
    </row>
    <row r="2046" spans="1:2" x14ac:dyDescent="0.3">
      <c r="A2046" s="31"/>
      <c r="B2046">
        <f>COUNTIF(Equipamento_Tunel!$H$2:$H$158,A2046)</f>
        <v>0</v>
      </c>
    </row>
    <row r="2047" spans="1:2" x14ac:dyDescent="0.3">
      <c r="A2047" s="16"/>
      <c r="B2047">
        <f>COUNTIF(Equipamento_Tunel!$H$2:$H$158,A2047)</f>
        <v>0</v>
      </c>
    </row>
    <row r="2048" spans="1:2" x14ac:dyDescent="0.3">
      <c r="A2048" s="31"/>
      <c r="B2048">
        <f>COUNTIF(Equipamento_Tunel!$H$2:$H$158,A2048)</f>
        <v>0</v>
      </c>
    </row>
    <row r="2049" spans="1:2" x14ac:dyDescent="0.3">
      <c r="A2049" s="16"/>
      <c r="B2049">
        <f>COUNTIF(Equipamento_Tunel!$H$2:$H$158,A2049)</f>
        <v>0</v>
      </c>
    </row>
    <row r="2050" spans="1:2" x14ac:dyDescent="0.3">
      <c r="A2050" s="31"/>
      <c r="B2050">
        <f>COUNTIF(Equipamento_Tunel!$H$2:$H$158,A2050)</f>
        <v>0</v>
      </c>
    </row>
    <row r="2051" spans="1:2" x14ac:dyDescent="0.3">
      <c r="A2051" s="16"/>
      <c r="B2051">
        <f>COUNTIF(Equipamento_Tunel!$H$2:$H$158,A2051)</f>
        <v>0</v>
      </c>
    </row>
    <row r="2052" spans="1:2" x14ac:dyDescent="0.3">
      <c r="A2052" s="31"/>
      <c r="B2052">
        <f>COUNTIF(Equipamento_Tunel!$H$2:$H$158,A2052)</f>
        <v>0</v>
      </c>
    </row>
    <row r="2053" spans="1:2" x14ac:dyDescent="0.3">
      <c r="A2053" s="16"/>
      <c r="B2053">
        <f>COUNTIF(Equipamento_Tunel!$H$2:$H$158,A2053)</f>
        <v>0</v>
      </c>
    </row>
    <row r="2054" spans="1:2" x14ac:dyDescent="0.3">
      <c r="A2054" s="31"/>
      <c r="B2054">
        <f>COUNTIF(Equipamento_Tunel!$H$2:$H$158,A2054)</f>
        <v>0</v>
      </c>
    </row>
    <row r="2055" spans="1:2" x14ac:dyDescent="0.3">
      <c r="A2055" s="16"/>
      <c r="B2055">
        <f>COUNTIF(Equipamento_Tunel!$H$2:$H$158,A2055)</f>
        <v>0</v>
      </c>
    </row>
    <row r="2056" spans="1:2" x14ac:dyDescent="0.3">
      <c r="A2056" s="31"/>
      <c r="B2056">
        <f>COUNTIF(Equipamento_Tunel!$H$2:$H$158,A2056)</f>
        <v>0</v>
      </c>
    </row>
    <row r="2057" spans="1:2" x14ac:dyDescent="0.3">
      <c r="A2057" s="16"/>
      <c r="B2057">
        <f>COUNTIF(Equipamento_Tunel!$H$2:$H$158,A2057)</f>
        <v>0</v>
      </c>
    </row>
    <row r="2058" spans="1:2" x14ac:dyDescent="0.3">
      <c r="A2058" s="31"/>
      <c r="B2058">
        <f>COUNTIF(Equipamento_Tunel!$H$2:$H$158,A2058)</f>
        <v>0</v>
      </c>
    </row>
    <row r="2059" spans="1:2" x14ac:dyDescent="0.3">
      <c r="A2059" s="16"/>
      <c r="B2059">
        <f>COUNTIF(Equipamento_Tunel!$H$2:$H$158,A2059)</f>
        <v>0</v>
      </c>
    </row>
    <row r="2060" spans="1:2" x14ac:dyDescent="0.3">
      <c r="A2060" s="31"/>
      <c r="B2060">
        <f>COUNTIF(Equipamento_Tunel!$H$2:$H$158,A2060)</f>
        <v>0</v>
      </c>
    </row>
    <row r="2061" spans="1:2" x14ac:dyDescent="0.3">
      <c r="A2061" s="16"/>
      <c r="B2061">
        <f>COUNTIF(Equipamento_Tunel!$H$2:$H$158,A2061)</f>
        <v>0</v>
      </c>
    </row>
    <row r="2062" spans="1:2" x14ac:dyDescent="0.3">
      <c r="A2062" s="31"/>
      <c r="B2062">
        <f>COUNTIF(Equipamento_Tunel!$H$2:$H$158,A2062)</f>
        <v>0</v>
      </c>
    </row>
    <row r="2063" spans="1:2" x14ac:dyDescent="0.3">
      <c r="A2063" s="16"/>
      <c r="B2063">
        <f>COUNTIF(Equipamento_Tunel!$H$2:$H$158,A2063)</f>
        <v>0</v>
      </c>
    </row>
    <row r="2064" spans="1:2" x14ac:dyDescent="0.3">
      <c r="A2064" s="31"/>
      <c r="B2064">
        <f>COUNTIF(Equipamento_Tunel!$H$2:$H$158,A2064)</f>
        <v>0</v>
      </c>
    </row>
    <row r="2065" spans="1:2" x14ac:dyDescent="0.3">
      <c r="A2065" s="16"/>
      <c r="B2065">
        <f>COUNTIF(Equipamento_Tunel!$H$2:$H$158,A2065)</f>
        <v>0</v>
      </c>
    </row>
    <row r="2066" spans="1:2" x14ac:dyDescent="0.3">
      <c r="A2066" s="31"/>
      <c r="B2066">
        <f>COUNTIF(Equipamento_Tunel!$H$2:$H$158,A2066)</f>
        <v>0</v>
      </c>
    </row>
    <row r="2067" spans="1:2" x14ac:dyDescent="0.3">
      <c r="A2067" s="16"/>
      <c r="B2067">
        <f>COUNTIF(Equipamento_Tunel!$H$2:$H$158,A2067)</f>
        <v>0</v>
      </c>
    </row>
    <row r="2068" spans="1:2" x14ac:dyDescent="0.3">
      <c r="A2068" s="31"/>
      <c r="B2068">
        <f>COUNTIF(Equipamento_Tunel!$H$2:$H$158,A2068)</f>
        <v>0</v>
      </c>
    </row>
    <row r="2069" spans="1:2" x14ac:dyDescent="0.3">
      <c r="A2069" s="16"/>
      <c r="B2069">
        <f>COUNTIF(Equipamento_Tunel!$H$2:$H$158,A2069)</f>
        <v>0</v>
      </c>
    </row>
    <row r="2070" spans="1:2" x14ac:dyDescent="0.3">
      <c r="A2070" s="31"/>
      <c r="B2070">
        <f>COUNTIF(Equipamento_Tunel!$H$2:$H$158,A2070)</f>
        <v>0</v>
      </c>
    </row>
    <row r="2071" spans="1:2" x14ac:dyDescent="0.3">
      <c r="A2071" s="16"/>
      <c r="B2071">
        <f>COUNTIF(Equipamento_Tunel!$H$2:$H$158,A2071)</f>
        <v>0</v>
      </c>
    </row>
    <row r="2072" spans="1:2" x14ac:dyDescent="0.3">
      <c r="A2072" s="31"/>
      <c r="B2072">
        <f>COUNTIF(Equipamento_Tunel!$H$2:$H$158,A2072)</f>
        <v>0</v>
      </c>
    </row>
    <row r="2073" spans="1:2" x14ac:dyDescent="0.3">
      <c r="A2073" s="16"/>
      <c r="B2073">
        <f>COUNTIF(Equipamento_Tunel!$H$2:$H$158,A2073)</f>
        <v>0</v>
      </c>
    </row>
    <row r="2074" spans="1:2" x14ac:dyDescent="0.3">
      <c r="A2074" s="31"/>
      <c r="B2074">
        <f>COUNTIF(Equipamento_Tunel!$H$2:$H$158,A2074)</f>
        <v>0</v>
      </c>
    </row>
    <row r="2075" spans="1:2" x14ac:dyDescent="0.3">
      <c r="A2075" s="16"/>
      <c r="B2075">
        <f>COUNTIF(Equipamento_Tunel!$H$2:$H$158,A2075)</f>
        <v>0</v>
      </c>
    </row>
    <row r="2076" spans="1:2" x14ac:dyDescent="0.3">
      <c r="A2076" s="31"/>
      <c r="B2076">
        <f>COUNTIF(Equipamento_Tunel!$H$2:$H$158,A2076)</f>
        <v>0</v>
      </c>
    </row>
    <row r="2077" spans="1:2" x14ac:dyDescent="0.3">
      <c r="A2077" s="16"/>
      <c r="B2077">
        <f>COUNTIF(Equipamento_Tunel!$H$2:$H$158,A2077)</f>
        <v>0</v>
      </c>
    </row>
    <row r="2078" spans="1:2" x14ac:dyDescent="0.3">
      <c r="A2078" s="31"/>
      <c r="B2078">
        <f>COUNTIF(Equipamento_Tunel!$H$2:$H$158,A2078)</f>
        <v>0</v>
      </c>
    </row>
    <row r="2079" spans="1:2" x14ac:dyDescent="0.3">
      <c r="A2079" s="16"/>
      <c r="B2079">
        <f>COUNTIF(Equipamento_Tunel!$H$2:$H$158,A2079)</f>
        <v>0</v>
      </c>
    </row>
    <row r="2080" spans="1:2" x14ac:dyDescent="0.3">
      <c r="A2080" s="31"/>
      <c r="B2080">
        <f>COUNTIF(Equipamento_Tunel!$H$2:$H$158,A2080)</f>
        <v>0</v>
      </c>
    </row>
    <row r="2081" spans="1:2" x14ac:dyDescent="0.3">
      <c r="A2081" s="16"/>
      <c r="B2081">
        <f>COUNTIF(Equipamento_Tunel!$H$2:$H$158,A2081)</f>
        <v>0</v>
      </c>
    </row>
    <row r="2082" spans="1:2" x14ac:dyDescent="0.3">
      <c r="A2082" s="31"/>
      <c r="B2082">
        <f>COUNTIF(Equipamento_Tunel!$H$2:$H$158,A2082)</f>
        <v>0</v>
      </c>
    </row>
    <row r="2083" spans="1:2" x14ac:dyDescent="0.3">
      <c r="A2083" s="16"/>
      <c r="B2083">
        <f>COUNTIF(Equipamento_Tunel!$H$2:$H$158,A2083)</f>
        <v>0</v>
      </c>
    </row>
    <row r="2084" spans="1:2" x14ac:dyDescent="0.3">
      <c r="A2084" s="31"/>
      <c r="B2084">
        <f>COUNTIF(Equipamento_Tunel!$H$2:$H$158,A2084)</f>
        <v>0</v>
      </c>
    </row>
    <row r="2085" spans="1:2" x14ac:dyDescent="0.3">
      <c r="A2085" s="16"/>
      <c r="B2085">
        <f>COUNTIF(Equipamento_Tunel!$H$2:$H$158,A2085)</f>
        <v>0</v>
      </c>
    </row>
    <row r="2086" spans="1:2" x14ac:dyDescent="0.3">
      <c r="A2086" s="31"/>
      <c r="B2086">
        <f>COUNTIF(Equipamento_Tunel!$H$2:$H$158,A2086)</f>
        <v>0</v>
      </c>
    </row>
    <row r="2087" spans="1:2" x14ac:dyDescent="0.3">
      <c r="A2087" s="16"/>
      <c r="B2087">
        <f>COUNTIF(Equipamento_Tunel!$H$2:$H$158,A2087)</f>
        <v>0</v>
      </c>
    </row>
    <row r="2088" spans="1:2" x14ac:dyDescent="0.3">
      <c r="A2088" s="31"/>
      <c r="B2088">
        <f>COUNTIF(Equipamento_Tunel!$H$2:$H$158,A2088)</f>
        <v>0</v>
      </c>
    </row>
    <row r="2089" spans="1:2" x14ac:dyDescent="0.3">
      <c r="A2089" s="16"/>
      <c r="B2089">
        <f>COUNTIF(Equipamento_Tunel!$H$2:$H$158,A2089)</f>
        <v>0</v>
      </c>
    </row>
    <row r="2090" spans="1:2" x14ac:dyDescent="0.3">
      <c r="A2090" s="31"/>
      <c r="B2090">
        <f>COUNTIF(Equipamento_Tunel!$H$2:$H$158,A2090)</f>
        <v>0</v>
      </c>
    </row>
    <row r="2091" spans="1:2" x14ac:dyDescent="0.3">
      <c r="A2091" s="16"/>
      <c r="B2091">
        <f>COUNTIF(Equipamento_Tunel!$H$2:$H$158,A2091)</f>
        <v>0</v>
      </c>
    </row>
    <row r="2092" spans="1:2" x14ac:dyDescent="0.3">
      <c r="A2092" s="31"/>
      <c r="B2092">
        <f>COUNTIF(Equipamento_Tunel!$H$2:$H$158,A2092)</f>
        <v>0</v>
      </c>
    </row>
    <row r="2093" spans="1:2" x14ac:dyDescent="0.3">
      <c r="A2093" s="16"/>
      <c r="B2093">
        <f>COUNTIF(Equipamento_Tunel!$H$2:$H$158,A2093)</f>
        <v>0</v>
      </c>
    </row>
    <row r="2094" spans="1:2" x14ac:dyDescent="0.3">
      <c r="A2094" s="31"/>
      <c r="B2094">
        <f>COUNTIF(Equipamento_Tunel!$H$2:$H$158,A2094)</f>
        <v>0</v>
      </c>
    </row>
    <row r="2095" spans="1:2" x14ac:dyDescent="0.3">
      <c r="A2095" s="16"/>
      <c r="B2095">
        <f>COUNTIF(Equipamento_Tunel!$H$2:$H$158,A2095)</f>
        <v>0</v>
      </c>
    </row>
    <row r="2096" spans="1:2" x14ac:dyDescent="0.3">
      <c r="A2096" s="31"/>
      <c r="B2096">
        <f>COUNTIF(Equipamento_Tunel!$H$2:$H$158,A2096)</f>
        <v>0</v>
      </c>
    </row>
    <row r="2097" spans="1:2" x14ac:dyDescent="0.3">
      <c r="A2097" s="16"/>
      <c r="B2097">
        <f>COUNTIF(Equipamento_Tunel!$H$2:$H$158,A2097)</f>
        <v>0</v>
      </c>
    </row>
    <row r="2098" spans="1:2" x14ac:dyDescent="0.3">
      <c r="A2098" s="31"/>
      <c r="B2098">
        <f>COUNTIF(Equipamento_Tunel!$H$2:$H$158,A2098)</f>
        <v>0</v>
      </c>
    </row>
    <row r="2099" spans="1:2" x14ac:dyDescent="0.3">
      <c r="A2099" s="16"/>
      <c r="B2099">
        <f>COUNTIF(Equipamento_Tunel!$H$2:$H$158,A2099)</f>
        <v>0</v>
      </c>
    </row>
    <row r="2100" spans="1:2" x14ac:dyDescent="0.3">
      <c r="A2100" s="31"/>
      <c r="B2100">
        <f>COUNTIF(Equipamento_Tunel!$H$2:$H$158,A2100)</f>
        <v>0</v>
      </c>
    </row>
    <row r="2101" spans="1:2" x14ac:dyDescent="0.3">
      <c r="A2101" s="16"/>
      <c r="B2101">
        <f>COUNTIF(Equipamento_Tunel!$H$2:$H$158,A2101)</f>
        <v>0</v>
      </c>
    </row>
    <row r="2102" spans="1:2" x14ac:dyDescent="0.3">
      <c r="A2102" s="31"/>
      <c r="B2102">
        <f>COUNTIF(Equipamento_Tunel!$H$2:$H$158,A2102)</f>
        <v>0</v>
      </c>
    </row>
    <row r="2103" spans="1:2" x14ac:dyDescent="0.3">
      <c r="A2103" s="16"/>
      <c r="B2103">
        <f>COUNTIF(Equipamento_Tunel!$H$2:$H$158,A2103)</f>
        <v>0</v>
      </c>
    </row>
    <row r="2104" spans="1:2" x14ac:dyDescent="0.3">
      <c r="A2104" s="31"/>
      <c r="B2104">
        <f>COUNTIF(Equipamento_Tunel!$H$2:$H$158,A2104)</f>
        <v>0</v>
      </c>
    </row>
    <row r="2105" spans="1:2" x14ac:dyDescent="0.3">
      <c r="A2105" s="16"/>
      <c r="B2105">
        <f>COUNTIF(Equipamento_Tunel!$H$2:$H$158,A2105)</f>
        <v>0</v>
      </c>
    </row>
    <row r="2106" spans="1:2" x14ac:dyDescent="0.3">
      <c r="A2106" s="31"/>
      <c r="B2106">
        <f>COUNTIF(Equipamento_Tunel!$H$2:$H$158,A2106)</f>
        <v>0</v>
      </c>
    </row>
    <row r="2107" spans="1:2" x14ac:dyDescent="0.3">
      <c r="A2107" s="16"/>
      <c r="B2107">
        <f>COUNTIF(Equipamento_Tunel!$H$2:$H$158,A2107)</f>
        <v>0</v>
      </c>
    </row>
    <row r="2108" spans="1:2" x14ac:dyDescent="0.3">
      <c r="A2108" s="31"/>
      <c r="B2108">
        <f>COUNTIF(Equipamento_Tunel!$H$2:$H$158,A2108)</f>
        <v>0</v>
      </c>
    </row>
    <row r="2109" spans="1:2" x14ac:dyDescent="0.3">
      <c r="A2109" s="16"/>
      <c r="B2109">
        <f>COUNTIF(Equipamento_Tunel!$H$2:$H$158,A2109)</f>
        <v>0</v>
      </c>
    </row>
    <row r="2110" spans="1:2" x14ac:dyDescent="0.3">
      <c r="A2110" s="31"/>
      <c r="B2110">
        <f>COUNTIF(Equipamento_Tunel!$H$2:$H$158,A2110)</f>
        <v>0</v>
      </c>
    </row>
    <row r="2111" spans="1:2" x14ac:dyDescent="0.3">
      <c r="A2111" s="16"/>
      <c r="B2111">
        <f>COUNTIF(Equipamento_Tunel!$H$2:$H$158,A2111)</f>
        <v>0</v>
      </c>
    </row>
    <row r="2112" spans="1:2" x14ac:dyDescent="0.3">
      <c r="A2112" s="31"/>
      <c r="B2112">
        <f>COUNTIF(Equipamento_Tunel!$H$2:$H$158,A2112)</f>
        <v>0</v>
      </c>
    </row>
    <row r="2113" spans="1:2" x14ac:dyDescent="0.3">
      <c r="A2113" s="16"/>
      <c r="B2113">
        <f>COUNTIF(Equipamento_Tunel!$H$2:$H$158,A2113)</f>
        <v>0</v>
      </c>
    </row>
    <row r="2114" spans="1:2" x14ac:dyDescent="0.3">
      <c r="A2114" s="31"/>
      <c r="B2114">
        <f>COUNTIF(Equipamento_Tunel!$H$2:$H$158,A2114)</f>
        <v>0</v>
      </c>
    </row>
    <row r="2115" spans="1:2" x14ac:dyDescent="0.3">
      <c r="A2115" s="16"/>
      <c r="B2115">
        <f>COUNTIF(Equipamento_Tunel!$H$2:$H$158,A2115)</f>
        <v>0</v>
      </c>
    </row>
    <row r="2116" spans="1:2" x14ac:dyDescent="0.3">
      <c r="A2116" s="31"/>
      <c r="B2116">
        <f>COUNTIF(Equipamento_Tunel!$H$2:$H$158,A2116)</f>
        <v>0</v>
      </c>
    </row>
    <row r="2117" spans="1:2" x14ac:dyDescent="0.3">
      <c r="A2117" s="16"/>
      <c r="B2117">
        <f>COUNTIF(Equipamento_Tunel!$H$2:$H$158,A2117)</f>
        <v>0</v>
      </c>
    </row>
    <row r="2118" spans="1:2" x14ac:dyDescent="0.3">
      <c r="A2118" s="31"/>
      <c r="B2118">
        <f>COUNTIF(Equipamento_Tunel!$H$2:$H$158,A2118)</f>
        <v>0</v>
      </c>
    </row>
    <row r="2119" spans="1:2" x14ac:dyDescent="0.3">
      <c r="A2119" s="16"/>
      <c r="B2119">
        <f>COUNTIF(Equipamento_Tunel!$H$2:$H$158,A2119)</f>
        <v>0</v>
      </c>
    </row>
    <row r="2120" spans="1:2" x14ac:dyDescent="0.3">
      <c r="A2120" s="31"/>
      <c r="B2120">
        <f>COUNTIF(Equipamento_Tunel!$H$2:$H$158,A2120)</f>
        <v>0</v>
      </c>
    </row>
    <row r="2121" spans="1:2" x14ac:dyDescent="0.3">
      <c r="A2121" s="16"/>
      <c r="B2121">
        <f>COUNTIF(Equipamento_Tunel!$H$2:$H$158,A2121)</f>
        <v>0</v>
      </c>
    </row>
    <row r="2122" spans="1:2" x14ac:dyDescent="0.3">
      <c r="A2122" s="31"/>
      <c r="B2122">
        <f>COUNTIF(Equipamento_Tunel!$H$2:$H$158,A2122)</f>
        <v>0</v>
      </c>
    </row>
    <row r="2123" spans="1:2" x14ac:dyDescent="0.3">
      <c r="A2123" s="16"/>
      <c r="B2123">
        <f>COUNTIF(Equipamento_Tunel!$H$2:$H$158,A2123)</f>
        <v>0</v>
      </c>
    </row>
    <row r="2124" spans="1:2" x14ac:dyDescent="0.3">
      <c r="A2124" s="31"/>
      <c r="B2124">
        <f>COUNTIF(Equipamento_Tunel!$H$2:$H$158,A2124)</f>
        <v>0</v>
      </c>
    </row>
    <row r="2125" spans="1:2" x14ac:dyDescent="0.3">
      <c r="A2125" s="16"/>
      <c r="B2125">
        <f>COUNTIF(Equipamento_Tunel!$H$2:$H$158,A2125)</f>
        <v>0</v>
      </c>
    </row>
    <row r="2126" spans="1:2" x14ac:dyDescent="0.3">
      <c r="A2126" s="31"/>
      <c r="B2126">
        <f>COUNTIF(Equipamento_Tunel!$H$2:$H$158,A2126)</f>
        <v>0</v>
      </c>
    </row>
    <row r="2127" spans="1:2" x14ac:dyDescent="0.3">
      <c r="A2127" s="16"/>
      <c r="B2127">
        <f>COUNTIF(Equipamento_Tunel!$H$2:$H$158,A2127)</f>
        <v>0</v>
      </c>
    </row>
    <row r="2128" spans="1:2" x14ac:dyDescent="0.3">
      <c r="A2128" s="31"/>
      <c r="B2128">
        <f>COUNTIF(Equipamento_Tunel!$H$2:$H$158,A2128)</f>
        <v>0</v>
      </c>
    </row>
    <row r="2129" spans="1:2" x14ac:dyDescent="0.3">
      <c r="A2129" s="16"/>
      <c r="B2129">
        <f>COUNTIF(Equipamento_Tunel!$H$2:$H$158,A2129)</f>
        <v>0</v>
      </c>
    </row>
    <row r="2130" spans="1:2" x14ac:dyDescent="0.3">
      <c r="A2130" s="31"/>
      <c r="B2130">
        <f>COUNTIF(Equipamento_Tunel!$H$2:$H$158,A2130)</f>
        <v>0</v>
      </c>
    </row>
    <row r="2131" spans="1:2" x14ac:dyDescent="0.3">
      <c r="A2131" s="16"/>
      <c r="B2131">
        <f>COUNTIF(Equipamento_Tunel!$H$2:$H$158,A2131)</f>
        <v>0</v>
      </c>
    </row>
    <row r="2132" spans="1:2" x14ac:dyDescent="0.3">
      <c r="A2132" s="31"/>
      <c r="B2132">
        <f>COUNTIF(Equipamento_Tunel!$H$2:$H$158,A2132)</f>
        <v>0</v>
      </c>
    </row>
    <row r="2133" spans="1:2" x14ac:dyDescent="0.3">
      <c r="A2133" s="16"/>
      <c r="B2133">
        <f>COUNTIF(Equipamento_Tunel!$H$2:$H$158,A2133)</f>
        <v>0</v>
      </c>
    </row>
    <row r="2134" spans="1:2" x14ac:dyDescent="0.3">
      <c r="A2134" s="31"/>
      <c r="B2134">
        <f>COUNTIF(Equipamento_Tunel!$H$2:$H$158,A2134)</f>
        <v>0</v>
      </c>
    </row>
    <row r="2135" spans="1:2" x14ac:dyDescent="0.3">
      <c r="A2135" s="16"/>
      <c r="B2135">
        <f>COUNTIF(Equipamento_Tunel!$H$2:$H$158,A2135)</f>
        <v>0</v>
      </c>
    </row>
    <row r="2136" spans="1:2" x14ac:dyDescent="0.3">
      <c r="A2136" s="31"/>
      <c r="B2136">
        <f>COUNTIF(Equipamento_Tunel!$H$2:$H$158,A2136)</f>
        <v>0</v>
      </c>
    </row>
    <row r="2137" spans="1:2" x14ac:dyDescent="0.3">
      <c r="A2137" s="16"/>
      <c r="B2137">
        <f>COUNTIF(Equipamento_Tunel!$H$2:$H$158,A2137)</f>
        <v>0</v>
      </c>
    </row>
    <row r="2138" spans="1:2" x14ac:dyDescent="0.3">
      <c r="A2138" s="31"/>
      <c r="B2138">
        <f>COUNTIF(Equipamento_Tunel!$H$2:$H$158,A2138)</f>
        <v>0</v>
      </c>
    </row>
    <row r="2139" spans="1:2" x14ac:dyDescent="0.3">
      <c r="A2139" s="16"/>
      <c r="B2139">
        <f>COUNTIF(Equipamento_Tunel!$H$2:$H$158,A2139)</f>
        <v>0</v>
      </c>
    </row>
    <row r="2140" spans="1:2" x14ac:dyDescent="0.3">
      <c r="A2140" s="31"/>
      <c r="B2140">
        <f>COUNTIF(Equipamento_Tunel!$H$2:$H$158,A2140)</f>
        <v>0</v>
      </c>
    </row>
    <row r="2141" spans="1:2" x14ac:dyDescent="0.3">
      <c r="A2141" s="16"/>
      <c r="B2141">
        <f>COUNTIF(Equipamento_Tunel!$H$2:$H$158,A2141)</f>
        <v>0</v>
      </c>
    </row>
    <row r="2142" spans="1:2" x14ac:dyDescent="0.3">
      <c r="A2142" s="31"/>
      <c r="B2142">
        <f>COUNTIF(Equipamento_Tunel!$H$2:$H$158,A2142)</f>
        <v>0</v>
      </c>
    </row>
    <row r="2143" spans="1:2" x14ac:dyDescent="0.3">
      <c r="A2143" s="16"/>
      <c r="B2143">
        <f>COUNTIF(Equipamento_Tunel!$H$2:$H$158,A2143)</f>
        <v>0</v>
      </c>
    </row>
    <row r="2144" spans="1:2" x14ac:dyDescent="0.3">
      <c r="A2144" s="31"/>
      <c r="B2144">
        <f>COUNTIF(Equipamento_Tunel!$H$2:$H$158,A2144)</f>
        <v>0</v>
      </c>
    </row>
    <row r="2145" spans="1:2" x14ac:dyDescent="0.3">
      <c r="A2145" s="16"/>
      <c r="B2145">
        <f>COUNTIF(Equipamento_Tunel!$H$2:$H$158,A2145)</f>
        <v>0</v>
      </c>
    </row>
    <row r="2146" spans="1:2" x14ac:dyDescent="0.3">
      <c r="A2146" s="31"/>
      <c r="B2146">
        <f>COUNTIF(Equipamento_Tunel!$H$2:$H$158,A2146)</f>
        <v>0</v>
      </c>
    </row>
    <row r="2147" spans="1:2" x14ac:dyDescent="0.3">
      <c r="A2147" s="16"/>
      <c r="B2147">
        <f>COUNTIF(Equipamento_Tunel!$H$2:$H$158,A2147)</f>
        <v>0</v>
      </c>
    </row>
    <row r="2148" spans="1:2" x14ac:dyDescent="0.3">
      <c r="A2148" s="31"/>
      <c r="B2148">
        <f>COUNTIF(Equipamento_Tunel!$H$2:$H$158,A2148)</f>
        <v>0</v>
      </c>
    </row>
    <row r="2149" spans="1:2" x14ac:dyDescent="0.3">
      <c r="A2149" s="16"/>
      <c r="B2149">
        <f>COUNTIF(Equipamento_Tunel!$H$2:$H$158,A2149)</f>
        <v>0</v>
      </c>
    </row>
    <row r="2150" spans="1:2" x14ac:dyDescent="0.3">
      <c r="A2150" s="31"/>
      <c r="B2150">
        <f>COUNTIF(Equipamento_Tunel!$H$2:$H$158,A2150)</f>
        <v>0</v>
      </c>
    </row>
    <row r="2151" spans="1:2" x14ac:dyDescent="0.3">
      <c r="A2151" s="16"/>
      <c r="B2151">
        <f>COUNTIF(Equipamento_Tunel!$H$2:$H$158,A2151)</f>
        <v>0</v>
      </c>
    </row>
    <row r="2152" spans="1:2" x14ac:dyDescent="0.3">
      <c r="A2152" s="31"/>
      <c r="B2152">
        <f>COUNTIF(Equipamento_Tunel!$H$2:$H$158,A2152)</f>
        <v>0</v>
      </c>
    </row>
    <row r="2153" spans="1:2" x14ac:dyDescent="0.3">
      <c r="A2153" s="16"/>
      <c r="B2153">
        <f>COUNTIF(Equipamento_Tunel!$H$2:$H$158,A2153)</f>
        <v>0</v>
      </c>
    </row>
    <row r="2154" spans="1:2" x14ac:dyDescent="0.3">
      <c r="A2154" s="31"/>
      <c r="B2154">
        <f>COUNTIF(Equipamento_Tunel!$H$2:$H$158,A2154)</f>
        <v>0</v>
      </c>
    </row>
    <row r="2155" spans="1:2" x14ac:dyDescent="0.3">
      <c r="A2155" s="16"/>
      <c r="B2155">
        <f>COUNTIF(Equipamento_Tunel!$H$2:$H$158,A2155)</f>
        <v>0</v>
      </c>
    </row>
    <row r="2156" spans="1:2" x14ac:dyDescent="0.3">
      <c r="A2156" s="31"/>
      <c r="B2156">
        <f>COUNTIF(Equipamento_Tunel!$H$2:$H$158,A2156)</f>
        <v>0</v>
      </c>
    </row>
    <row r="2157" spans="1:2" x14ac:dyDescent="0.3">
      <c r="A2157" s="16"/>
      <c r="B2157">
        <f>COUNTIF(Equipamento_Tunel!$H$2:$H$158,A2157)</f>
        <v>0</v>
      </c>
    </row>
    <row r="2158" spans="1:2" x14ac:dyDescent="0.3">
      <c r="A2158" s="31"/>
      <c r="B2158">
        <f>COUNTIF(Equipamento_Tunel!$H$2:$H$158,A2158)</f>
        <v>0</v>
      </c>
    </row>
    <row r="2159" spans="1:2" x14ac:dyDescent="0.3">
      <c r="A2159" s="16"/>
      <c r="B2159">
        <f>COUNTIF(Equipamento_Tunel!$H$2:$H$158,A2159)</f>
        <v>0</v>
      </c>
    </row>
    <row r="2160" spans="1:2" x14ac:dyDescent="0.3">
      <c r="A2160" s="31"/>
      <c r="B2160">
        <f>COUNTIF(Equipamento_Tunel!$H$2:$H$158,A2160)</f>
        <v>0</v>
      </c>
    </row>
    <row r="2161" spans="1:2" x14ac:dyDescent="0.3">
      <c r="A2161" s="16"/>
      <c r="B2161">
        <f>COUNTIF(Equipamento_Tunel!$H$2:$H$158,A2161)</f>
        <v>0</v>
      </c>
    </row>
    <row r="2162" spans="1:2" x14ac:dyDescent="0.3">
      <c r="A2162" s="31"/>
      <c r="B2162">
        <f>COUNTIF(Equipamento_Tunel!$H$2:$H$158,A2162)</f>
        <v>0</v>
      </c>
    </row>
    <row r="2163" spans="1:2" x14ac:dyDescent="0.3">
      <c r="A2163" s="16"/>
      <c r="B2163">
        <f>COUNTIF(Equipamento_Tunel!$H$2:$H$158,A2163)</f>
        <v>0</v>
      </c>
    </row>
    <row r="2164" spans="1:2" x14ac:dyDescent="0.3">
      <c r="A2164" s="31"/>
      <c r="B2164">
        <f>COUNTIF(Equipamento_Tunel!$H$2:$H$158,A2164)</f>
        <v>0</v>
      </c>
    </row>
    <row r="2165" spans="1:2" x14ac:dyDescent="0.3">
      <c r="A2165" s="16"/>
      <c r="B2165">
        <f>COUNTIF(Equipamento_Tunel!$H$2:$H$158,A2165)</f>
        <v>0</v>
      </c>
    </row>
    <row r="2166" spans="1:2" x14ac:dyDescent="0.3">
      <c r="A2166" s="31"/>
      <c r="B2166">
        <f>COUNTIF(Equipamento_Tunel!$H$2:$H$158,A2166)</f>
        <v>0</v>
      </c>
    </row>
    <row r="2167" spans="1:2" x14ac:dyDescent="0.3">
      <c r="A2167" s="16"/>
      <c r="B2167">
        <f>COUNTIF(Equipamento_Tunel!$H$2:$H$158,A2167)</f>
        <v>0</v>
      </c>
    </row>
    <row r="2168" spans="1:2" x14ac:dyDescent="0.3">
      <c r="A2168" s="31"/>
      <c r="B2168">
        <f>COUNTIF(Equipamento_Tunel!$H$2:$H$158,A2168)</f>
        <v>0</v>
      </c>
    </row>
    <row r="2169" spans="1:2" x14ac:dyDescent="0.3">
      <c r="A2169" s="16"/>
      <c r="B2169">
        <f>COUNTIF(Equipamento_Tunel!$H$2:$H$158,A2169)</f>
        <v>0</v>
      </c>
    </row>
    <row r="2170" spans="1:2" x14ac:dyDescent="0.3">
      <c r="A2170" s="31"/>
      <c r="B2170">
        <f>COUNTIF(Equipamento_Tunel!$H$2:$H$158,A2170)</f>
        <v>0</v>
      </c>
    </row>
    <row r="2171" spans="1:2" x14ac:dyDescent="0.3">
      <c r="A2171" s="16"/>
      <c r="B2171">
        <f>COUNTIF(Equipamento_Tunel!$H$2:$H$158,A2171)</f>
        <v>0</v>
      </c>
    </row>
    <row r="2172" spans="1:2" x14ac:dyDescent="0.3">
      <c r="A2172" s="31"/>
      <c r="B2172">
        <f>COUNTIF(Equipamento_Tunel!$H$2:$H$158,A2172)</f>
        <v>0</v>
      </c>
    </row>
    <row r="2173" spans="1:2" x14ac:dyDescent="0.3">
      <c r="A2173" s="16"/>
      <c r="B2173">
        <f>COUNTIF(Equipamento_Tunel!$H$2:$H$158,A2173)</f>
        <v>0</v>
      </c>
    </row>
    <row r="2174" spans="1:2" x14ac:dyDescent="0.3">
      <c r="A2174" s="31"/>
      <c r="B2174">
        <f>COUNTIF(Equipamento_Tunel!$H$2:$H$158,A2174)</f>
        <v>0</v>
      </c>
    </row>
    <row r="2175" spans="1:2" x14ac:dyDescent="0.3">
      <c r="A2175" s="16"/>
      <c r="B2175">
        <f>COUNTIF(Equipamento_Tunel!$H$2:$H$158,A2175)</f>
        <v>0</v>
      </c>
    </row>
    <row r="2176" spans="1:2" x14ac:dyDescent="0.3">
      <c r="A2176" s="31"/>
      <c r="B2176">
        <f>COUNTIF(Equipamento_Tunel!$H$2:$H$158,A2176)</f>
        <v>0</v>
      </c>
    </row>
    <row r="2177" spans="1:2" x14ac:dyDescent="0.3">
      <c r="A2177" s="16"/>
      <c r="B2177">
        <f>COUNTIF(Equipamento_Tunel!$H$2:$H$158,A2177)</f>
        <v>0</v>
      </c>
    </row>
    <row r="2178" spans="1:2" x14ac:dyDescent="0.3">
      <c r="A2178" s="31"/>
      <c r="B2178">
        <f>COUNTIF(Equipamento_Tunel!$H$2:$H$158,A2178)</f>
        <v>0</v>
      </c>
    </row>
    <row r="2179" spans="1:2" x14ac:dyDescent="0.3">
      <c r="A2179" s="16"/>
      <c r="B2179">
        <f>COUNTIF(Equipamento_Tunel!$H$2:$H$158,A2179)</f>
        <v>0</v>
      </c>
    </row>
    <row r="2180" spans="1:2" x14ac:dyDescent="0.3">
      <c r="A2180" s="31"/>
      <c r="B2180">
        <f>COUNTIF(Equipamento_Tunel!$H$2:$H$158,A2180)</f>
        <v>0</v>
      </c>
    </row>
    <row r="2181" spans="1:2" x14ac:dyDescent="0.3">
      <c r="A2181" s="16"/>
      <c r="B2181">
        <f>COUNTIF(Equipamento_Tunel!$H$2:$H$158,A2181)</f>
        <v>0</v>
      </c>
    </row>
    <row r="2182" spans="1:2" x14ac:dyDescent="0.3">
      <c r="A2182" s="31"/>
      <c r="B2182">
        <f>COUNTIF(Equipamento_Tunel!$H$2:$H$158,A2182)</f>
        <v>0</v>
      </c>
    </row>
    <row r="2183" spans="1:2" x14ac:dyDescent="0.3">
      <c r="A2183" s="16"/>
      <c r="B2183">
        <f>COUNTIF(Equipamento_Tunel!$H$2:$H$158,A2183)</f>
        <v>0</v>
      </c>
    </row>
    <row r="2184" spans="1:2" x14ac:dyDescent="0.3">
      <c r="A2184" s="31"/>
      <c r="B2184">
        <f>COUNTIF(Equipamento_Tunel!$H$2:$H$158,A2184)</f>
        <v>0</v>
      </c>
    </row>
    <row r="2185" spans="1:2" x14ac:dyDescent="0.3">
      <c r="A2185" s="16"/>
      <c r="B2185">
        <f>COUNTIF(Equipamento_Tunel!$H$2:$H$158,A2185)</f>
        <v>0</v>
      </c>
    </row>
    <row r="2186" spans="1:2" x14ac:dyDescent="0.3">
      <c r="A2186" s="31"/>
      <c r="B2186">
        <f>COUNTIF(Equipamento_Tunel!$H$2:$H$158,A2186)</f>
        <v>0</v>
      </c>
    </row>
    <row r="2187" spans="1:2" x14ac:dyDescent="0.3">
      <c r="A2187" s="16"/>
      <c r="B2187">
        <f>COUNTIF(Equipamento_Tunel!$H$2:$H$158,A2187)</f>
        <v>0</v>
      </c>
    </row>
    <row r="2188" spans="1:2" x14ac:dyDescent="0.3">
      <c r="A2188" s="31"/>
      <c r="B2188">
        <f>COUNTIF(Equipamento_Tunel!$H$2:$H$158,A2188)</f>
        <v>0</v>
      </c>
    </row>
    <row r="2189" spans="1:2" x14ac:dyDescent="0.3">
      <c r="A2189" s="16"/>
      <c r="B2189">
        <f>COUNTIF(Equipamento_Tunel!$H$2:$H$158,A2189)</f>
        <v>0</v>
      </c>
    </row>
    <row r="2190" spans="1:2" x14ac:dyDescent="0.3">
      <c r="A2190" s="31"/>
      <c r="B2190">
        <f>COUNTIF(Equipamento_Tunel!$H$2:$H$158,A2190)</f>
        <v>0</v>
      </c>
    </row>
    <row r="2191" spans="1:2" x14ac:dyDescent="0.3">
      <c r="A2191" s="16"/>
      <c r="B2191">
        <f>COUNTIF(Equipamento_Tunel!$H$2:$H$158,A2191)</f>
        <v>0</v>
      </c>
    </row>
    <row r="2192" spans="1:2" x14ac:dyDescent="0.3">
      <c r="A2192" s="31"/>
      <c r="B2192">
        <f>COUNTIF(Equipamento_Tunel!$H$2:$H$158,A2192)</f>
        <v>0</v>
      </c>
    </row>
    <row r="2193" spans="1:2" x14ac:dyDescent="0.3">
      <c r="A2193" s="16"/>
      <c r="B2193">
        <f>COUNTIF(Equipamento_Tunel!$H$2:$H$158,A2193)</f>
        <v>0</v>
      </c>
    </row>
    <row r="2194" spans="1:2" x14ac:dyDescent="0.3">
      <c r="A2194" s="31"/>
      <c r="B2194">
        <f>COUNTIF(Equipamento_Tunel!$H$2:$H$158,A2194)</f>
        <v>0</v>
      </c>
    </row>
    <row r="2195" spans="1:2" x14ac:dyDescent="0.3">
      <c r="A2195" s="16"/>
      <c r="B2195">
        <f>COUNTIF(Equipamento_Tunel!$H$2:$H$158,A2195)</f>
        <v>0</v>
      </c>
    </row>
    <row r="2196" spans="1:2" x14ac:dyDescent="0.3">
      <c r="A2196" s="31"/>
      <c r="B2196">
        <f>COUNTIF(Equipamento_Tunel!$H$2:$H$158,A2196)</f>
        <v>0</v>
      </c>
    </row>
    <row r="2197" spans="1:2" x14ac:dyDescent="0.3">
      <c r="A2197" s="16"/>
      <c r="B2197">
        <f>COUNTIF(Equipamento_Tunel!$H$2:$H$158,A2197)</f>
        <v>0</v>
      </c>
    </row>
    <row r="2198" spans="1:2" x14ac:dyDescent="0.3">
      <c r="A2198" s="31"/>
      <c r="B2198">
        <f>COUNTIF(Equipamento_Tunel!$H$2:$H$158,A2198)</f>
        <v>0</v>
      </c>
    </row>
    <row r="2199" spans="1:2" x14ac:dyDescent="0.3">
      <c r="A2199" s="16"/>
      <c r="B2199">
        <f>COUNTIF(Equipamento_Tunel!$H$2:$H$158,A2199)</f>
        <v>0</v>
      </c>
    </row>
    <row r="2200" spans="1:2" x14ac:dyDescent="0.3">
      <c r="A2200" s="31"/>
      <c r="B2200">
        <f>COUNTIF(Equipamento_Tunel!$H$2:$H$158,A2200)</f>
        <v>0</v>
      </c>
    </row>
    <row r="2201" spans="1:2" x14ac:dyDescent="0.3">
      <c r="A2201" s="16"/>
      <c r="B2201">
        <f>COUNTIF(Equipamento_Tunel!$H$2:$H$158,A2201)</f>
        <v>0</v>
      </c>
    </row>
    <row r="2202" spans="1:2" x14ac:dyDescent="0.3">
      <c r="A2202" s="31"/>
      <c r="B2202">
        <f>COUNTIF(Equipamento_Tunel!$H$2:$H$158,A2202)</f>
        <v>0</v>
      </c>
    </row>
    <row r="2203" spans="1:2" x14ac:dyDescent="0.3">
      <c r="A2203" s="16"/>
      <c r="B2203">
        <f>COUNTIF(Equipamento_Tunel!$H$2:$H$158,A2203)</f>
        <v>0</v>
      </c>
    </row>
    <row r="2204" spans="1:2" x14ac:dyDescent="0.3">
      <c r="A2204" s="31"/>
      <c r="B2204">
        <f>COUNTIF(Equipamento_Tunel!$H$2:$H$158,A2204)</f>
        <v>0</v>
      </c>
    </row>
    <row r="2205" spans="1:2" x14ac:dyDescent="0.3">
      <c r="A2205" s="16"/>
      <c r="B2205">
        <f>COUNTIF(Equipamento_Tunel!$H$2:$H$158,A2205)</f>
        <v>0</v>
      </c>
    </row>
    <row r="2206" spans="1:2" x14ac:dyDescent="0.3">
      <c r="A2206" s="31"/>
      <c r="B2206">
        <f>COUNTIF(Equipamento_Tunel!$H$2:$H$158,A2206)</f>
        <v>0</v>
      </c>
    </row>
    <row r="2207" spans="1:2" x14ac:dyDescent="0.3">
      <c r="A2207" s="16"/>
      <c r="B2207">
        <f>COUNTIF(Equipamento_Tunel!$H$2:$H$158,A2207)</f>
        <v>0</v>
      </c>
    </row>
    <row r="2208" spans="1:2" x14ac:dyDescent="0.3">
      <c r="A2208" s="31"/>
      <c r="B2208">
        <f>COUNTIF(Equipamento_Tunel!$H$2:$H$158,A2208)</f>
        <v>0</v>
      </c>
    </row>
    <row r="2209" spans="1:2" x14ac:dyDescent="0.3">
      <c r="A2209" s="16"/>
      <c r="B2209">
        <f>COUNTIF(Equipamento_Tunel!$H$2:$H$158,A2209)</f>
        <v>0</v>
      </c>
    </row>
    <row r="2210" spans="1:2" x14ac:dyDescent="0.3">
      <c r="A2210" s="31"/>
      <c r="B2210">
        <f>COUNTIF(Equipamento_Tunel!$H$2:$H$158,A2210)</f>
        <v>0</v>
      </c>
    </row>
    <row r="2211" spans="1:2" x14ac:dyDescent="0.3">
      <c r="A2211" s="16"/>
      <c r="B2211">
        <f>COUNTIF(Equipamento_Tunel!$H$2:$H$158,A2211)</f>
        <v>0</v>
      </c>
    </row>
    <row r="2212" spans="1:2" x14ac:dyDescent="0.3">
      <c r="A2212" s="31"/>
      <c r="B2212">
        <f>COUNTIF(Equipamento_Tunel!$H$2:$H$158,A2212)</f>
        <v>0</v>
      </c>
    </row>
    <row r="2213" spans="1:2" x14ac:dyDescent="0.3">
      <c r="A2213" s="16"/>
      <c r="B2213">
        <f>COUNTIF(Equipamento_Tunel!$H$2:$H$158,A2213)</f>
        <v>0</v>
      </c>
    </row>
    <row r="2214" spans="1:2" x14ac:dyDescent="0.3">
      <c r="A2214" s="31"/>
      <c r="B2214">
        <f>COUNTIF(Equipamento_Tunel!$H$2:$H$158,A2214)</f>
        <v>0</v>
      </c>
    </row>
    <row r="2215" spans="1:2" x14ac:dyDescent="0.3">
      <c r="A2215" s="16"/>
      <c r="B2215">
        <f>COUNTIF(Equipamento_Tunel!$H$2:$H$158,A2215)</f>
        <v>0</v>
      </c>
    </row>
    <row r="2216" spans="1:2" x14ac:dyDescent="0.3">
      <c r="A2216" s="31"/>
      <c r="B2216">
        <f>COUNTIF(Equipamento_Tunel!$H$2:$H$158,A2216)</f>
        <v>0</v>
      </c>
    </row>
    <row r="2217" spans="1:2" x14ac:dyDescent="0.3">
      <c r="A2217" s="16"/>
      <c r="B2217">
        <f>COUNTIF(Equipamento_Tunel!$H$2:$H$158,A2217)</f>
        <v>0</v>
      </c>
    </row>
    <row r="2218" spans="1:2" x14ac:dyDescent="0.3">
      <c r="A2218" s="31"/>
      <c r="B2218">
        <f>COUNTIF(Equipamento_Tunel!$H$2:$H$158,A2218)</f>
        <v>0</v>
      </c>
    </row>
    <row r="2219" spans="1:2" x14ac:dyDescent="0.3">
      <c r="A2219" s="16"/>
      <c r="B2219">
        <f>COUNTIF(Equipamento_Tunel!$H$2:$H$158,A2219)</f>
        <v>0</v>
      </c>
    </row>
    <row r="2220" spans="1:2" x14ac:dyDescent="0.3">
      <c r="A2220" s="31"/>
      <c r="B2220">
        <f>COUNTIF(Equipamento_Tunel!$H$2:$H$158,A2220)</f>
        <v>0</v>
      </c>
    </row>
    <row r="2221" spans="1:2" x14ac:dyDescent="0.3">
      <c r="A2221" s="16"/>
      <c r="B2221">
        <f>COUNTIF(Equipamento_Tunel!$H$2:$H$158,A2221)</f>
        <v>0</v>
      </c>
    </row>
    <row r="2222" spans="1:2" x14ac:dyDescent="0.3">
      <c r="A2222" s="31"/>
      <c r="B2222">
        <f>COUNTIF(Equipamento_Tunel!$H$2:$H$158,A2222)</f>
        <v>0</v>
      </c>
    </row>
    <row r="2223" spans="1:2" x14ac:dyDescent="0.3">
      <c r="A2223" s="16"/>
      <c r="B2223">
        <f>COUNTIF(Equipamento_Tunel!$H$2:$H$158,A2223)</f>
        <v>0</v>
      </c>
    </row>
    <row r="2224" spans="1:2" x14ac:dyDescent="0.3">
      <c r="A2224" s="31"/>
      <c r="B2224">
        <f>COUNTIF(Equipamento_Tunel!$H$2:$H$158,A2224)</f>
        <v>0</v>
      </c>
    </row>
    <row r="2225" spans="1:2" x14ac:dyDescent="0.3">
      <c r="A2225" s="16"/>
      <c r="B2225">
        <f>COUNTIF(Equipamento_Tunel!$H$2:$H$158,A2225)</f>
        <v>0</v>
      </c>
    </row>
    <row r="2226" spans="1:2" x14ac:dyDescent="0.3">
      <c r="A2226" s="31"/>
      <c r="B2226">
        <f>COUNTIF(Equipamento_Tunel!$H$2:$H$158,A2226)</f>
        <v>0</v>
      </c>
    </row>
    <row r="2227" spans="1:2" x14ac:dyDescent="0.3">
      <c r="A2227" s="16"/>
      <c r="B2227">
        <f>COUNTIF(Equipamento_Tunel!$H$2:$H$158,A2227)</f>
        <v>0</v>
      </c>
    </row>
    <row r="2228" spans="1:2" x14ac:dyDescent="0.3">
      <c r="A2228" s="31"/>
      <c r="B2228">
        <f>COUNTIF(Equipamento_Tunel!$H$2:$H$158,A2228)</f>
        <v>0</v>
      </c>
    </row>
    <row r="2229" spans="1:2" x14ac:dyDescent="0.3">
      <c r="A2229" s="16"/>
      <c r="B2229">
        <f>COUNTIF(Equipamento_Tunel!$H$2:$H$158,A2229)</f>
        <v>0</v>
      </c>
    </row>
    <row r="2230" spans="1:2" x14ac:dyDescent="0.3">
      <c r="A2230" s="31"/>
      <c r="B2230">
        <f>COUNTIF(Equipamento_Tunel!$H$2:$H$158,A2230)</f>
        <v>0</v>
      </c>
    </row>
    <row r="2231" spans="1:2" x14ac:dyDescent="0.3">
      <c r="A2231" s="16"/>
      <c r="B2231">
        <f>COUNTIF(Equipamento_Tunel!$H$2:$H$158,A2231)</f>
        <v>0</v>
      </c>
    </row>
    <row r="2232" spans="1:2" x14ac:dyDescent="0.3">
      <c r="A2232" s="31"/>
      <c r="B2232">
        <f>COUNTIF(Equipamento_Tunel!$H$2:$H$158,A2232)</f>
        <v>0</v>
      </c>
    </row>
    <row r="2233" spans="1:2" x14ac:dyDescent="0.3">
      <c r="A2233" s="16"/>
      <c r="B2233">
        <f>COUNTIF(Equipamento_Tunel!$H$2:$H$158,A2233)</f>
        <v>0</v>
      </c>
    </row>
    <row r="2234" spans="1:2" x14ac:dyDescent="0.3">
      <c r="A2234" s="31"/>
      <c r="B2234">
        <f>COUNTIF(Equipamento_Tunel!$H$2:$H$158,A2234)</f>
        <v>0</v>
      </c>
    </row>
    <row r="2235" spans="1:2" x14ac:dyDescent="0.3">
      <c r="A2235" s="16"/>
      <c r="B2235">
        <f>COUNTIF(Equipamento_Tunel!$H$2:$H$158,A2235)</f>
        <v>0</v>
      </c>
    </row>
    <row r="2236" spans="1:2" x14ac:dyDescent="0.3">
      <c r="A2236" s="31"/>
      <c r="B2236">
        <f>COUNTIF(Equipamento_Tunel!$H$2:$H$158,A2236)</f>
        <v>0</v>
      </c>
    </row>
    <row r="2237" spans="1:2" x14ac:dyDescent="0.3">
      <c r="A2237" s="16"/>
      <c r="B2237">
        <f>COUNTIF(Equipamento_Tunel!$H$2:$H$158,A2237)</f>
        <v>0</v>
      </c>
    </row>
    <row r="2238" spans="1:2" x14ac:dyDescent="0.3">
      <c r="A2238" s="31"/>
      <c r="B2238">
        <f>COUNTIF(Equipamento_Tunel!$H$2:$H$158,A2238)</f>
        <v>0</v>
      </c>
    </row>
    <row r="2239" spans="1:2" x14ac:dyDescent="0.3">
      <c r="A2239" s="16"/>
      <c r="B2239">
        <f>COUNTIF(Equipamento_Tunel!$H$2:$H$158,A2239)</f>
        <v>0</v>
      </c>
    </row>
    <row r="2240" spans="1:2" x14ac:dyDescent="0.3">
      <c r="A2240" s="31"/>
      <c r="B2240">
        <f>COUNTIF(Equipamento_Tunel!$H$2:$H$158,A2240)</f>
        <v>0</v>
      </c>
    </row>
    <row r="2241" spans="1:2" x14ac:dyDescent="0.3">
      <c r="A2241" s="16"/>
      <c r="B2241">
        <f>COUNTIF(Equipamento_Tunel!$H$2:$H$158,A2241)</f>
        <v>0</v>
      </c>
    </row>
    <row r="2242" spans="1:2" x14ac:dyDescent="0.3">
      <c r="A2242" s="31"/>
      <c r="B2242">
        <f>COUNTIF(Equipamento_Tunel!$H$2:$H$158,A2242)</f>
        <v>0</v>
      </c>
    </row>
    <row r="2243" spans="1:2" x14ac:dyDescent="0.3">
      <c r="A2243" s="16"/>
      <c r="B2243">
        <f>COUNTIF(Equipamento_Tunel!$H$2:$H$158,A2243)</f>
        <v>0</v>
      </c>
    </row>
    <row r="2244" spans="1:2" x14ac:dyDescent="0.3">
      <c r="A2244" s="31"/>
      <c r="B2244">
        <f>COUNTIF(Equipamento_Tunel!$H$2:$H$158,A2244)</f>
        <v>0</v>
      </c>
    </row>
    <row r="2245" spans="1:2" x14ac:dyDescent="0.3">
      <c r="A2245" s="16"/>
      <c r="B2245">
        <f>COUNTIF(Equipamento_Tunel!$H$2:$H$158,A2245)</f>
        <v>0</v>
      </c>
    </row>
    <row r="2246" spans="1:2" x14ac:dyDescent="0.3">
      <c r="A2246" s="31"/>
      <c r="B2246">
        <f>COUNTIF(Equipamento_Tunel!$H$2:$H$158,A2246)</f>
        <v>0</v>
      </c>
    </row>
    <row r="2247" spans="1:2" x14ac:dyDescent="0.3">
      <c r="A2247" s="16"/>
      <c r="B2247">
        <f>COUNTIF(Equipamento_Tunel!$H$2:$H$158,A2247)</f>
        <v>0</v>
      </c>
    </row>
    <row r="2248" spans="1:2" x14ac:dyDescent="0.3">
      <c r="A2248" s="31"/>
      <c r="B2248">
        <f>COUNTIF(Equipamento_Tunel!$H$2:$H$158,A2248)</f>
        <v>0</v>
      </c>
    </row>
    <row r="2249" spans="1:2" x14ac:dyDescent="0.3">
      <c r="A2249" s="16"/>
      <c r="B2249">
        <f>COUNTIF(Equipamento_Tunel!$H$2:$H$158,A2249)</f>
        <v>0</v>
      </c>
    </row>
    <row r="2250" spans="1:2" x14ac:dyDescent="0.3">
      <c r="A2250" s="31"/>
      <c r="B2250">
        <f>COUNTIF(Equipamento_Tunel!$H$2:$H$158,A2250)</f>
        <v>0</v>
      </c>
    </row>
    <row r="2251" spans="1:2" x14ac:dyDescent="0.3">
      <c r="A2251" s="16"/>
      <c r="B2251">
        <f>COUNTIF(Equipamento_Tunel!$H$2:$H$158,A2251)</f>
        <v>0</v>
      </c>
    </row>
    <row r="2252" spans="1:2" x14ac:dyDescent="0.3">
      <c r="A2252" s="31"/>
      <c r="B2252">
        <f>COUNTIF(Equipamento_Tunel!$H$2:$H$158,A2252)</f>
        <v>0</v>
      </c>
    </row>
    <row r="2253" spans="1:2" x14ac:dyDescent="0.3">
      <c r="A2253" s="16"/>
      <c r="B2253">
        <f>COUNTIF(Equipamento_Tunel!$H$2:$H$158,A2253)</f>
        <v>0</v>
      </c>
    </row>
    <row r="2254" spans="1:2" x14ac:dyDescent="0.3">
      <c r="A2254" s="31"/>
      <c r="B2254">
        <f>COUNTIF(Equipamento_Tunel!$H$2:$H$158,A2254)</f>
        <v>0</v>
      </c>
    </row>
    <row r="2255" spans="1:2" x14ac:dyDescent="0.3">
      <c r="A2255" s="16"/>
      <c r="B2255">
        <f>COUNTIF(Equipamento_Tunel!$H$2:$H$158,A2255)</f>
        <v>0</v>
      </c>
    </row>
    <row r="2256" spans="1:2" x14ac:dyDescent="0.3">
      <c r="A2256" s="31"/>
      <c r="B2256">
        <f>COUNTIF(Equipamento_Tunel!$H$2:$H$158,A2256)</f>
        <v>0</v>
      </c>
    </row>
    <row r="2257" spans="1:2" x14ac:dyDescent="0.3">
      <c r="A2257" s="16"/>
      <c r="B2257">
        <f>COUNTIF(Equipamento_Tunel!$H$2:$H$158,A2257)</f>
        <v>0</v>
      </c>
    </row>
    <row r="2258" spans="1:2" x14ac:dyDescent="0.3">
      <c r="A2258" s="31"/>
      <c r="B2258">
        <f>COUNTIF(Equipamento_Tunel!$H$2:$H$158,A2258)</f>
        <v>0</v>
      </c>
    </row>
    <row r="2259" spans="1:2" x14ac:dyDescent="0.3">
      <c r="A2259" s="16"/>
      <c r="B2259">
        <f>COUNTIF(Equipamento_Tunel!$H$2:$H$158,A2259)</f>
        <v>0</v>
      </c>
    </row>
    <row r="2260" spans="1:2" x14ac:dyDescent="0.3">
      <c r="A2260" s="31"/>
      <c r="B2260">
        <f>COUNTIF(Equipamento_Tunel!$H$2:$H$158,A2260)</f>
        <v>0</v>
      </c>
    </row>
    <row r="2261" spans="1:2" x14ac:dyDescent="0.3">
      <c r="A2261" s="16"/>
      <c r="B2261">
        <f>COUNTIF(Equipamento_Tunel!$H$2:$H$158,A2261)</f>
        <v>0</v>
      </c>
    </row>
    <row r="2262" spans="1:2" x14ac:dyDescent="0.3">
      <c r="A2262" s="31"/>
      <c r="B2262">
        <f>COUNTIF(Equipamento_Tunel!$H$2:$H$158,A2262)</f>
        <v>0</v>
      </c>
    </row>
    <row r="2263" spans="1:2" x14ac:dyDescent="0.3">
      <c r="A2263" s="16"/>
      <c r="B2263">
        <f>COUNTIF(Equipamento_Tunel!$H$2:$H$158,A2263)</f>
        <v>0</v>
      </c>
    </row>
    <row r="2264" spans="1:2" x14ac:dyDescent="0.3">
      <c r="A2264" s="31"/>
      <c r="B2264">
        <f>COUNTIF(Equipamento_Tunel!$H$2:$H$158,A2264)</f>
        <v>0</v>
      </c>
    </row>
    <row r="2265" spans="1:2" x14ac:dyDescent="0.3">
      <c r="A2265" s="16"/>
      <c r="B2265">
        <f>COUNTIF(Equipamento_Tunel!$H$2:$H$158,A2265)</f>
        <v>0</v>
      </c>
    </row>
    <row r="2266" spans="1:2" x14ac:dyDescent="0.3">
      <c r="A2266" s="31"/>
      <c r="B2266">
        <f>COUNTIF(Equipamento_Tunel!$H$2:$H$158,A2266)</f>
        <v>0</v>
      </c>
    </row>
    <row r="2267" spans="1:2" x14ac:dyDescent="0.3">
      <c r="A2267" s="16"/>
      <c r="B2267">
        <f>COUNTIF(Equipamento_Tunel!$H$2:$H$158,A2267)</f>
        <v>0</v>
      </c>
    </row>
    <row r="2268" spans="1:2" x14ac:dyDescent="0.3">
      <c r="A2268" s="31"/>
      <c r="B2268">
        <f>COUNTIF(Equipamento_Tunel!$H$2:$H$158,A2268)</f>
        <v>0</v>
      </c>
    </row>
    <row r="2269" spans="1:2" x14ac:dyDescent="0.3">
      <c r="A2269" s="16"/>
      <c r="B2269">
        <f>COUNTIF(Equipamento_Tunel!$H$2:$H$158,A2269)</f>
        <v>0</v>
      </c>
    </row>
    <row r="2270" spans="1:2" x14ac:dyDescent="0.3">
      <c r="A2270" s="31"/>
      <c r="B2270">
        <f>COUNTIF(Equipamento_Tunel!$H$2:$H$158,A2270)</f>
        <v>0</v>
      </c>
    </row>
    <row r="2271" spans="1:2" x14ac:dyDescent="0.3">
      <c r="A2271" s="16"/>
      <c r="B2271">
        <f>COUNTIF(Equipamento_Tunel!$H$2:$H$158,A2271)</f>
        <v>0</v>
      </c>
    </row>
    <row r="2272" spans="1:2" x14ac:dyDescent="0.3">
      <c r="A2272" s="31"/>
      <c r="B2272">
        <f>COUNTIF(Equipamento_Tunel!$H$2:$H$158,A2272)</f>
        <v>0</v>
      </c>
    </row>
    <row r="2273" spans="1:2" x14ac:dyDescent="0.3">
      <c r="A2273" s="16"/>
      <c r="B2273">
        <f>COUNTIF(Equipamento_Tunel!$H$2:$H$158,A2273)</f>
        <v>0</v>
      </c>
    </row>
    <row r="2274" spans="1:2" x14ac:dyDescent="0.3">
      <c r="A2274" s="31"/>
      <c r="B2274">
        <f>COUNTIF(Equipamento_Tunel!$H$2:$H$158,A2274)</f>
        <v>0</v>
      </c>
    </row>
    <row r="2275" spans="1:2" x14ac:dyDescent="0.3">
      <c r="A2275" s="16"/>
      <c r="B2275">
        <f>COUNTIF(Equipamento_Tunel!$H$2:$H$158,A2275)</f>
        <v>0</v>
      </c>
    </row>
    <row r="2276" spans="1:2" x14ac:dyDescent="0.3">
      <c r="A2276" s="31"/>
      <c r="B2276">
        <f>COUNTIF(Equipamento_Tunel!$H$2:$H$158,A2276)</f>
        <v>0</v>
      </c>
    </row>
    <row r="2277" spans="1:2" x14ac:dyDescent="0.3">
      <c r="A2277" s="16"/>
      <c r="B2277">
        <f>COUNTIF(Equipamento_Tunel!$H$2:$H$158,A2277)</f>
        <v>0</v>
      </c>
    </row>
    <row r="2278" spans="1:2" x14ac:dyDescent="0.3">
      <c r="A2278" s="31"/>
      <c r="B2278">
        <f>COUNTIF(Equipamento_Tunel!$H$2:$H$158,A2278)</f>
        <v>0</v>
      </c>
    </row>
    <row r="2279" spans="1:2" x14ac:dyDescent="0.3">
      <c r="A2279" s="16"/>
      <c r="B2279">
        <f>COUNTIF(Equipamento_Tunel!$H$2:$H$158,A2279)</f>
        <v>0</v>
      </c>
    </row>
    <row r="2280" spans="1:2" x14ac:dyDescent="0.3">
      <c r="A2280" s="31"/>
      <c r="B2280">
        <f>COUNTIF(Equipamento_Tunel!$H$2:$H$158,A2280)</f>
        <v>0</v>
      </c>
    </row>
    <row r="2281" spans="1:2" x14ac:dyDescent="0.3">
      <c r="A2281" s="16"/>
      <c r="B2281">
        <f>COUNTIF(Equipamento_Tunel!$H$2:$H$158,A2281)</f>
        <v>0</v>
      </c>
    </row>
    <row r="2282" spans="1:2" x14ac:dyDescent="0.3">
      <c r="A2282" s="31"/>
      <c r="B2282">
        <f>COUNTIF(Equipamento_Tunel!$H$2:$H$158,A2282)</f>
        <v>0</v>
      </c>
    </row>
    <row r="2283" spans="1:2" x14ac:dyDescent="0.3">
      <c r="A2283" s="16"/>
      <c r="B2283">
        <f>COUNTIF(Equipamento_Tunel!$H$2:$H$158,A2283)</f>
        <v>0</v>
      </c>
    </row>
    <row r="2284" spans="1:2" x14ac:dyDescent="0.3">
      <c r="A2284" s="31"/>
      <c r="B2284">
        <f>COUNTIF(Equipamento_Tunel!$H$2:$H$158,A2284)</f>
        <v>0</v>
      </c>
    </row>
    <row r="2285" spans="1:2" x14ac:dyDescent="0.3">
      <c r="A2285" s="16"/>
      <c r="B2285">
        <f>COUNTIF(Equipamento_Tunel!$H$2:$H$158,A2285)</f>
        <v>0</v>
      </c>
    </row>
    <row r="2286" spans="1:2" x14ac:dyDescent="0.3">
      <c r="A2286" s="31"/>
      <c r="B2286">
        <f>COUNTIF(Equipamento_Tunel!$H$2:$H$158,A2286)</f>
        <v>0</v>
      </c>
    </row>
    <row r="2287" spans="1:2" x14ac:dyDescent="0.3">
      <c r="A2287" s="16"/>
      <c r="B2287">
        <f>COUNTIF(Equipamento_Tunel!$H$2:$H$158,A2287)</f>
        <v>0</v>
      </c>
    </row>
    <row r="2288" spans="1:2" x14ac:dyDescent="0.3">
      <c r="A2288" s="31"/>
      <c r="B2288">
        <f>COUNTIF(Equipamento_Tunel!$H$2:$H$158,A2288)</f>
        <v>0</v>
      </c>
    </row>
    <row r="2289" spans="1:2" x14ac:dyDescent="0.3">
      <c r="A2289" s="16"/>
      <c r="B2289">
        <f>COUNTIF(Equipamento_Tunel!$H$2:$H$158,A2289)</f>
        <v>0</v>
      </c>
    </row>
    <row r="2290" spans="1:2" x14ac:dyDescent="0.3">
      <c r="A2290" s="31"/>
      <c r="B2290">
        <f>COUNTIF(Equipamento_Tunel!$H$2:$H$158,A2290)</f>
        <v>0</v>
      </c>
    </row>
    <row r="2291" spans="1:2" x14ac:dyDescent="0.3">
      <c r="A2291" s="16"/>
      <c r="B2291">
        <f>COUNTIF(Equipamento_Tunel!$H$2:$H$158,A2291)</f>
        <v>0</v>
      </c>
    </row>
    <row r="2292" spans="1:2" x14ac:dyDescent="0.3">
      <c r="A2292" s="31"/>
      <c r="B2292">
        <f>COUNTIF(Equipamento_Tunel!$H$2:$H$158,A2292)</f>
        <v>0</v>
      </c>
    </row>
    <row r="2293" spans="1:2" x14ac:dyDescent="0.3">
      <c r="A2293" s="16"/>
      <c r="B2293">
        <f>COUNTIF(Equipamento_Tunel!$H$2:$H$158,A2293)</f>
        <v>0</v>
      </c>
    </row>
    <row r="2294" spans="1:2" x14ac:dyDescent="0.3">
      <c r="A2294" s="31"/>
      <c r="B2294">
        <f>COUNTIF(Equipamento_Tunel!$H$2:$H$158,A2294)</f>
        <v>0</v>
      </c>
    </row>
    <row r="2295" spans="1:2" x14ac:dyDescent="0.3">
      <c r="A2295" s="16"/>
      <c r="B2295">
        <f>COUNTIF(Equipamento_Tunel!$H$2:$H$158,A2295)</f>
        <v>0</v>
      </c>
    </row>
    <row r="2296" spans="1:2" x14ac:dyDescent="0.3">
      <c r="A2296" s="31"/>
      <c r="B2296">
        <f>COUNTIF(Equipamento_Tunel!$H$2:$H$158,A2296)</f>
        <v>0</v>
      </c>
    </row>
    <row r="2297" spans="1:2" x14ac:dyDescent="0.3">
      <c r="A2297" s="16"/>
      <c r="B2297">
        <f>COUNTIF(Equipamento_Tunel!$H$2:$H$158,A2297)</f>
        <v>0</v>
      </c>
    </row>
    <row r="2298" spans="1:2" x14ac:dyDescent="0.3">
      <c r="A2298" s="31"/>
      <c r="B2298">
        <f>COUNTIF(Equipamento_Tunel!$H$2:$H$158,A2298)</f>
        <v>0</v>
      </c>
    </row>
    <row r="2299" spans="1:2" x14ac:dyDescent="0.3">
      <c r="A2299" s="16"/>
      <c r="B2299">
        <f>COUNTIF(Equipamento_Tunel!$H$2:$H$158,A2299)</f>
        <v>0</v>
      </c>
    </row>
    <row r="2300" spans="1:2" x14ac:dyDescent="0.3">
      <c r="A2300" s="31"/>
      <c r="B2300">
        <f>COUNTIF(Equipamento_Tunel!$H$2:$H$158,A2300)</f>
        <v>0</v>
      </c>
    </row>
    <row r="2301" spans="1:2" x14ac:dyDescent="0.3">
      <c r="A2301" s="16"/>
      <c r="B2301">
        <f>COUNTIF(Equipamento_Tunel!$H$2:$H$158,A2301)</f>
        <v>0</v>
      </c>
    </row>
    <row r="2302" spans="1:2" x14ac:dyDescent="0.3">
      <c r="A2302" s="31"/>
      <c r="B2302">
        <f>COUNTIF(Equipamento_Tunel!$H$2:$H$158,A2302)</f>
        <v>0</v>
      </c>
    </row>
    <row r="2303" spans="1:2" x14ac:dyDescent="0.3">
      <c r="A2303" s="16"/>
      <c r="B2303">
        <f>COUNTIF(Equipamento_Tunel!$H$2:$H$158,A2303)</f>
        <v>0</v>
      </c>
    </row>
    <row r="2304" spans="1:2" x14ac:dyDescent="0.3">
      <c r="A2304" s="31"/>
      <c r="B2304">
        <f>COUNTIF(Equipamento_Tunel!$H$2:$H$158,A2304)</f>
        <v>0</v>
      </c>
    </row>
    <row r="2305" spans="1:2" x14ac:dyDescent="0.3">
      <c r="A2305" s="16"/>
      <c r="B2305">
        <f>COUNTIF(Equipamento_Tunel!$H$2:$H$158,A2305)</f>
        <v>0</v>
      </c>
    </row>
    <row r="2306" spans="1:2" x14ac:dyDescent="0.3">
      <c r="A2306" s="31"/>
      <c r="B2306">
        <f>COUNTIF(Equipamento_Tunel!$H$2:$H$158,A2306)</f>
        <v>0</v>
      </c>
    </row>
    <row r="2307" spans="1:2" x14ac:dyDescent="0.3">
      <c r="A2307" s="16"/>
      <c r="B2307">
        <f>COUNTIF(Equipamento_Tunel!$H$2:$H$158,A2307)</f>
        <v>0</v>
      </c>
    </row>
    <row r="2308" spans="1:2" x14ac:dyDescent="0.3">
      <c r="A2308" s="31"/>
      <c r="B2308">
        <f>COUNTIF(Equipamento_Tunel!$H$2:$H$158,A2308)</f>
        <v>0</v>
      </c>
    </row>
    <row r="2309" spans="1:2" x14ac:dyDescent="0.3">
      <c r="A2309" s="16"/>
      <c r="B2309">
        <f>COUNTIF(Equipamento_Tunel!$H$2:$H$158,A2309)</f>
        <v>0</v>
      </c>
    </row>
    <row r="2310" spans="1:2" x14ac:dyDescent="0.3">
      <c r="A2310" s="31"/>
      <c r="B2310">
        <f>COUNTIF(Equipamento_Tunel!$H$2:$H$158,A2310)</f>
        <v>0</v>
      </c>
    </row>
    <row r="2311" spans="1:2" x14ac:dyDescent="0.3">
      <c r="A2311" s="16"/>
      <c r="B2311">
        <f>COUNTIF(Equipamento_Tunel!$H$2:$H$158,A2311)</f>
        <v>0</v>
      </c>
    </row>
    <row r="2312" spans="1:2" x14ac:dyDescent="0.3">
      <c r="A2312" s="31"/>
      <c r="B2312">
        <f>COUNTIF(Equipamento_Tunel!$H$2:$H$158,A2312)</f>
        <v>0</v>
      </c>
    </row>
    <row r="2313" spans="1:2" x14ac:dyDescent="0.3">
      <c r="A2313" s="16"/>
      <c r="B2313">
        <f>COUNTIF(Equipamento_Tunel!$H$2:$H$158,A2313)</f>
        <v>0</v>
      </c>
    </row>
    <row r="2314" spans="1:2" x14ac:dyDescent="0.3">
      <c r="A2314" s="31"/>
      <c r="B2314">
        <f>COUNTIF(Equipamento_Tunel!$H$2:$H$158,A2314)</f>
        <v>0</v>
      </c>
    </row>
    <row r="2315" spans="1:2" x14ac:dyDescent="0.3">
      <c r="A2315" s="16"/>
      <c r="B2315">
        <f>COUNTIF(Equipamento_Tunel!$H$2:$H$158,A2315)</f>
        <v>0</v>
      </c>
    </row>
    <row r="2316" spans="1:2" x14ac:dyDescent="0.3">
      <c r="A2316" s="31"/>
      <c r="B2316">
        <f>COUNTIF(Equipamento_Tunel!$H$2:$H$158,A2316)</f>
        <v>0</v>
      </c>
    </row>
    <row r="2317" spans="1:2" x14ac:dyDescent="0.3">
      <c r="A2317" s="16"/>
      <c r="B2317">
        <f>COUNTIF(Equipamento_Tunel!$H$2:$H$158,A2317)</f>
        <v>0</v>
      </c>
    </row>
    <row r="2318" spans="1:2" x14ac:dyDescent="0.3">
      <c r="A2318" s="31"/>
      <c r="B2318">
        <f>COUNTIF(Equipamento_Tunel!$H$2:$H$158,A2318)</f>
        <v>0</v>
      </c>
    </row>
    <row r="2319" spans="1:2" x14ac:dyDescent="0.3">
      <c r="A2319" s="16"/>
      <c r="B2319">
        <f>COUNTIF(Equipamento_Tunel!$H$2:$H$158,A2319)</f>
        <v>0</v>
      </c>
    </row>
    <row r="2320" spans="1:2" x14ac:dyDescent="0.3">
      <c r="A2320" s="31"/>
      <c r="B2320">
        <f>COUNTIF(Equipamento_Tunel!$H$2:$H$158,A2320)</f>
        <v>0</v>
      </c>
    </row>
    <row r="2321" spans="1:2" x14ac:dyDescent="0.3">
      <c r="A2321" s="16"/>
      <c r="B2321">
        <f>COUNTIF(Equipamento_Tunel!$H$2:$H$158,A2321)</f>
        <v>0</v>
      </c>
    </row>
    <row r="2322" spans="1:2" x14ac:dyDescent="0.3">
      <c r="A2322" s="31"/>
      <c r="B2322">
        <f>COUNTIF(Equipamento_Tunel!$H$2:$H$158,A2322)</f>
        <v>0</v>
      </c>
    </row>
    <row r="2323" spans="1:2" x14ac:dyDescent="0.3">
      <c r="A2323" s="16"/>
      <c r="B2323">
        <f>COUNTIF(Equipamento_Tunel!$H$2:$H$158,A2323)</f>
        <v>0</v>
      </c>
    </row>
    <row r="2324" spans="1:2" x14ac:dyDescent="0.3">
      <c r="A2324" s="31"/>
      <c r="B2324">
        <f>COUNTIF(Equipamento_Tunel!$H$2:$H$158,A2324)</f>
        <v>0</v>
      </c>
    </row>
    <row r="2325" spans="1:2" x14ac:dyDescent="0.3">
      <c r="A2325" s="16"/>
      <c r="B2325">
        <f>COUNTIF(Equipamento_Tunel!$H$2:$H$158,A2325)</f>
        <v>0</v>
      </c>
    </row>
    <row r="2326" spans="1:2" x14ac:dyDescent="0.3">
      <c r="A2326" s="31"/>
      <c r="B2326">
        <f>COUNTIF(Equipamento_Tunel!$H$2:$H$158,A2326)</f>
        <v>0</v>
      </c>
    </row>
    <row r="2327" spans="1:2" x14ac:dyDescent="0.3">
      <c r="A2327" s="16"/>
      <c r="B2327">
        <f>COUNTIF(Equipamento_Tunel!$H$2:$H$158,A2327)</f>
        <v>0</v>
      </c>
    </row>
    <row r="2328" spans="1:2" x14ac:dyDescent="0.3">
      <c r="A2328" s="31"/>
      <c r="B2328">
        <f>COUNTIF(Equipamento_Tunel!$H$2:$H$158,A2328)</f>
        <v>0</v>
      </c>
    </row>
    <row r="2329" spans="1:2" x14ac:dyDescent="0.3">
      <c r="A2329" s="16"/>
      <c r="B2329">
        <f>COUNTIF(Equipamento_Tunel!$H$2:$H$158,A2329)</f>
        <v>0</v>
      </c>
    </row>
    <row r="2330" spans="1:2" x14ac:dyDescent="0.3">
      <c r="A2330" s="31"/>
      <c r="B2330">
        <f>COUNTIF(Equipamento_Tunel!$H$2:$H$158,A2330)</f>
        <v>0</v>
      </c>
    </row>
    <row r="2331" spans="1:2" x14ac:dyDescent="0.3">
      <c r="A2331" s="16"/>
      <c r="B2331">
        <f>COUNTIF(Equipamento_Tunel!$H$2:$H$158,A2331)</f>
        <v>0</v>
      </c>
    </row>
    <row r="2332" spans="1:2" x14ac:dyDescent="0.3">
      <c r="A2332" s="31"/>
      <c r="B2332">
        <f>COUNTIF(Equipamento_Tunel!$H$2:$H$158,A2332)</f>
        <v>0</v>
      </c>
    </row>
    <row r="2333" spans="1:2" x14ac:dyDescent="0.3">
      <c r="A2333" s="16"/>
      <c r="B2333">
        <f>COUNTIF(Equipamento_Tunel!$H$2:$H$158,A2333)</f>
        <v>0</v>
      </c>
    </row>
    <row r="2334" spans="1:2" x14ac:dyDescent="0.3">
      <c r="A2334" s="31"/>
      <c r="B2334">
        <f>COUNTIF(Equipamento_Tunel!$H$2:$H$158,A2334)</f>
        <v>0</v>
      </c>
    </row>
    <row r="2335" spans="1:2" x14ac:dyDescent="0.3">
      <c r="A2335" s="16"/>
      <c r="B2335">
        <f>COUNTIF(Equipamento_Tunel!$H$2:$H$158,A2335)</f>
        <v>0</v>
      </c>
    </row>
    <row r="2336" spans="1:2" x14ac:dyDescent="0.3">
      <c r="A2336" s="31"/>
      <c r="B2336">
        <f>COUNTIF(Equipamento_Tunel!$H$2:$H$158,A2336)</f>
        <v>0</v>
      </c>
    </row>
    <row r="2337" spans="1:2" x14ac:dyDescent="0.3">
      <c r="A2337" s="16"/>
      <c r="B2337">
        <f>COUNTIF(Equipamento_Tunel!$H$2:$H$158,A2337)</f>
        <v>0</v>
      </c>
    </row>
    <row r="2338" spans="1:2" x14ac:dyDescent="0.3">
      <c r="A2338" s="31"/>
      <c r="B2338">
        <f>COUNTIF(Equipamento_Tunel!$H$2:$H$158,A2338)</f>
        <v>0</v>
      </c>
    </row>
    <row r="2339" spans="1:2" x14ac:dyDescent="0.3">
      <c r="A2339" s="16"/>
      <c r="B2339">
        <f>COUNTIF(Equipamento_Tunel!$H$2:$H$158,A2339)</f>
        <v>0</v>
      </c>
    </row>
    <row r="2340" spans="1:2" x14ac:dyDescent="0.3">
      <c r="A2340" s="31"/>
      <c r="B2340">
        <f>COUNTIF(Equipamento_Tunel!$H$2:$H$158,A2340)</f>
        <v>0</v>
      </c>
    </row>
    <row r="2341" spans="1:2" x14ac:dyDescent="0.3">
      <c r="A2341" s="16"/>
      <c r="B2341">
        <f>COUNTIF(Equipamento_Tunel!$H$2:$H$158,A2341)</f>
        <v>0</v>
      </c>
    </row>
    <row r="2342" spans="1:2" x14ac:dyDescent="0.3">
      <c r="A2342" s="31"/>
      <c r="B2342">
        <f>COUNTIF(Equipamento_Tunel!$H$2:$H$158,A2342)</f>
        <v>0</v>
      </c>
    </row>
    <row r="2343" spans="1:2" x14ac:dyDescent="0.3">
      <c r="A2343" s="16"/>
      <c r="B2343">
        <f>COUNTIF(Equipamento_Tunel!$H$2:$H$158,A2343)</f>
        <v>0</v>
      </c>
    </row>
    <row r="2344" spans="1:2" x14ac:dyDescent="0.3">
      <c r="A2344" s="31"/>
      <c r="B2344">
        <f>COUNTIF(Equipamento_Tunel!$H$2:$H$158,A2344)</f>
        <v>0</v>
      </c>
    </row>
    <row r="2345" spans="1:2" x14ac:dyDescent="0.3">
      <c r="A2345" s="16"/>
      <c r="B2345">
        <f>COUNTIF(Equipamento_Tunel!$H$2:$H$158,A2345)</f>
        <v>0</v>
      </c>
    </row>
    <row r="2346" spans="1:2" x14ac:dyDescent="0.3">
      <c r="A2346" s="31"/>
      <c r="B2346">
        <f>COUNTIF(Equipamento_Tunel!$H$2:$H$158,A2346)</f>
        <v>0</v>
      </c>
    </row>
    <row r="2347" spans="1:2" x14ac:dyDescent="0.3">
      <c r="A2347" s="16"/>
      <c r="B2347">
        <f>COUNTIF(Equipamento_Tunel!$H$2:$H$158,A2347)</f>
        <v>0</v>
      </c>
    </row>
    <row r="2348" spans="1:2" x14ac:dyDescent="0.3">
      <c r="A2348" s="31"/>
      <c r="B2348">
        <f>COUNTIF(Equipamento_Tunel!$H$2:$H$158,A2348)</f>
        <v>0</v>
      </c>
    </row>
    <row r="2349" spans="1:2" x14ac:dyDescent="0.3">
      <c r="A2349" s="16"/>
      <c r="B2349">
        <f>COUNTIF(Equipamento_Tunel!$H$2:$H$158,A2349)</f>
        <v>0</v>
      </c>
    </row>
    <row r="2350" spans="1:2" x14ac:dyDescent="0.3">
      <c r="A2350" s="31"/>
      <c r="B2350">
        <f>COUNTIF(Equipamento_Tunel!$H$2:$H$158,A2350)</f>
        <v>0</v>
      </c>
    </row>
    <row r="2351" spans="1:2" x14ac:dyDescent="0.3">
      <c r="A2351" s="16"/>
      <c r="B2351">
        <f>COUNTIF(Equipamento_Tunel!$H$2:$H$158,A2351)</f>
        <v>0</v>
      </c>
    </row>
    <row r="2352" spans="1:2" x14ac:dyDescent="0.3">
      <c r="A2352" s="31"/>
      <c r="B2352">
        <f>COUNTIF(Equipamento_Tunel!$H$2:$H$158,A2352)</f>
        <v>0</v>
      </c>
    </row>
    <row r="2353" spans="1:2" x14ac:dyDescent="0.3">
      <c r="A2353" s="16"/>
      <c r="B2353">
        <f>COUNTIF(Equipamento_Tunel!$H$2:$H$158,A2353)</f>
        <v>0</v>
      </c>
    </row>
    <row r="2354" spans="1:2" x14ac:dyDescent="0.3">
      <c r="A2354" s="31"/>
      <c r="B2354">
        <f>COUNTIF(Equipamento_Tunel!$H$2:$H$158,A2354)</f>
        <v>0</v>
      </c>
    </row>
    <row r="2355" spans="1:2" x14ac:dyDescent="0.3">
      <c r="A2355" s="16"/>
      <c r="B2355">
        <f>COUNTIF(Equipamento_Tunel!$H$2:$H$158,A2355)</f>
        <v>0</v>
      </c>
    </row>
    <row r="2356" spans="1:2" x14ac:dyDescent="0.3">
      <c r="A2356" s="31"/>
      <c r="B2356">
        <f>COUNTIF(Equipamento_Tunel!$H$2:$H$158,A2356)</f>
        <v>0</v>
      </c>
    </row>
    <row r="2357" spans="1:2" x14ac:dyDescent="0.3">
      <c r="A2357" s="16"/>
      <c r="B2357">
        <f>COUNTIF(Equipamento_Tunel!$H$2:$H$158,A2357)</f>
        <v>0</v>
      </c>
    </row>
    <row r="2358" spans="1:2" x14ac:dyDescent="0.3">
      <c r="A2358" s="31"/>
      <c r="B2358">
        <f>COUNTIF(Equipamento_Tunel!$H$2:$H$158,A2358)</f>
        <v>0</v>
      </c>
    </row>
    <row r="2359" spans="1:2" x14ac:dyDescent="0.3">
      <c r="A2359" s="16"/>
      <c r="B2359">
        <f>COUNTIF(Equipamento_Tunel!$H$2:$H$158,A2359)</f>
        <v>0</v>
      </c>
    </row>
    <row r="2360" spans="1:2" x14ac:dyDescent="0.3">
      <c r="A2360" s="31"/>
      <c r="B2360">
        <f>COUNTIF(Equipamento_Tunel!$H$2:$H$158,A2360)</f>
        <v>0</v>
      </c>
    </row>
    <row r="2361" spans="1:2" x14ac:dyDescent="0.3">
      <c r="A2361" s="16"/>
      <c r="B2361">
        <f>COUNTIF(Equipamento_Tunel!$H$2:$H$158,A2361)</f>
        <v>0</v>
      </c>
    </row>
    <row r="2362" spans="1:2" x14ac:dyDescent="0.3">
      <c r="A2362" s="31"/>
      <c r="B2362">
        <f>COUNTIF(Equipamento_Tunel!$H$2:$H$158,A2362)</f>
        <v>0</v>
      </c>
    </row>
    <row r="2363" spans="1:2" x14ac:dyDescent="0.3">
      <c r="A2363" s="16"/>
      <c r="B2363">
        <f>COUNTIF(Equipamento_Tunel!$H$2:$H$158,A2363)</f>
        <v>0</v>
      </c>
    </row>
    <row r="2364" spans="1:2" x14ac:dyDescent="0.3">
      <c r="A2364" s="31"/>
      <c r="B2364">
        <f>COUNTIF(Equipamento_Tunel!$H$2:$H$158,A2364)</f>
        <v>0</v>
      </c>
    </row>
    <row r="2365" spans="1:2" x14ac:dyDescent="0.3">
      <c r="A2365" s="16"/>
      <c r="B2365">
        <f>COUNTIF(Equipamento_Tunel!$H$2:$H$158,A2365)</f>
        <v>0</v>
      </c>
    </row>
    <row r="2366" spans="1:2" x14ac:dyDescent="0.3">
      <c r="A2366" s="31"/>
      <c r="B2366">
        <f>COUNTIF(Equipamento_Tunel!$H$2:$H$158,A2366)</f>
        <v>0</v>
      </c>
    </row>
    <row r="2367" spans="1:2" x14ac:dyDescent="0.3">
      <c r="A2367" s="16"/>
      <c r="B2367">
        <f>COUNTIF(Equipamento_Tunel!$H$2:$H$158,A2367)</f>
        <v>0</v>
      </c>
    </row>
    <row r="2368" spans="1:2" x14ac:dyDescent="0.3">
      <c r="A2368" s="31"/>
      <c r="B2368">
        <f>COUNTIF(Equipamento_Tunel!$H$2:$H$158,A2368)</f>
        <v>0</v>
      </c>
    </row>
    <row r="2369" spans="1:2" x14ac:dyDescent="0.3">
      <c r="A2369" s="16"/>
      <c r="B2369">
        <f>COUNTIF(Equipamento_Tunel!$H$2:$H$158,A2369)</f>
        <v>0</v>
      </c>
    </row>
    <row r="2370" spans="1:2" x14ac:dyDescent="0.3">
      <c r="A2370" s="31"/>
      <c r="B2370">
        <f>COUNTIF(Equipamento_Tunel!$H$2:$H$158,A2370)</f>
        <v>0</v>
      </c>
    </row>
    <row r="2371" spans="1:2" x14ac:dyDescent="0.3">
      <c r="A2371" s="16"/>
      <c r="B2371">
        <f>COUNTIF(Equipamento_Tunel!$H$2:$H$158,A2371)</f>
        <v>0</v>
      </c>
    </row>
    <row r="2372" spans="1:2" x14ac:dyDescent="0.3">
      <c r="A2372" s="31"/>
      <c r="B2372">
        <f>COUNTIF(Equipamento_Tunel!$H$2:$H$158,A2372)</f>
        <v>0</v>
      </c>
    </row>
    <row r="2373" spans="1:2" x14ac:dyDescent="0.3">
      <c r="A2373" s="16"/>
      <c r="B2373">
        <f>COUNTIF(Equipamento_Tunel!$H$2:$H$158,A2373)</f>
        <v>0</v>
      </c>
    </row>
    <row r="2374" spans="1:2" x14ac:dyDescent="0.3">
      <c r="A2374" s="31"/>
      <c r="B2374">
        <f>COUNTIF(Equipamento_Tunel!$H$2:$H$158,A2374)</f>
        <v>0</v>
      </c>
    </row>
    <row r="2375" spans="1:2" x14ac:dyDescent="0.3">
      <c r="A2375" s="16"/>
      <c r="B2375">
        <f>COUNTIF(Equipamento_Tunel!$H$2:$H$158,A2375)</f>
        <v>0</v>
      </c>
    </row>
    <row r="2376" spans="1:2" x14ac:dyDescent="0.3">
      <c r="A2376" s="31"/>
      <c r="B2376">
        <f>COUNTIF(Equipamento_Tunel!$H$2:$H$158,A2376)</f>
        <v>0</v>
      </c>
    </row>
    <row r="2377" spans="1:2" x14ac:dyDescent="0.3">
      <c r="A2377" s="16"/>
      <c r="B2377">
        <f>COUNTIF(Equipamento_Tunel!$H$2:$H$158,A2377)</f>
        <v>0</v>
      </c>
    </row>
    <row r="2378" spans="1:2" x14ac:dyDescent="0.3">
      <c r="A2378" s="31"/>
      <c r="B2378">
        <f>COUNTIF(Equipamento_Tunel!$H$2:$H$158,A2378)</f>
        <v>0</v>
      </c>
    </row>
    <row r="2379" spans="1:2" x14ac:dyDescent="0.3">
      <c r="A2379" s="16"/>
      <c r="B2379">
        <f>COUNTIF(Equipamento_Tunel!$H$2:$H$158,A2379)</f>
        <v>0</v>
      </c>
    </row>
    <row r="2380" spans="1:2" x14ac:dyDescent="0.3">
      <c r="A2380" s="31"/>
      <c r="B2380">
        <f>COUNTIF(Equipamento_Tunel!$H$2:$H$158,A2380)</f>
        <v>0</v>
      </c>
    </row>
    <row r="2381" spans="1:2" x14ac:dyDescent="0.3">
      <c r="A2381" s="16"/>
      <c r="B2381">
        <f>COUNTIF(Equipamento_Tunel!$H$2:$H$158,A2381)</f>
        <v>0</v>
      </c>
    </row>
    <row r="2382" spans="1:2" x14ac:dyDescent="0.3">
      <c r="A2382" s="31"/>
      <c r="B2382">
        <f>COUNTIF(Equipamento_Tunel!$H$2:$H$158,A2382)</f>
        <v>0</v>
      </c>
    </row>
    <row r="2383" spans="1:2" x14ac:dyDescent="0.3">
      <c r="A2383" s="16"/>
      <c r="B2383">
        <f>COUNTIF(Equipamento_Tunel!$H$2:$H$158,A2383)</f>
        <v>0</v>
      </c>
    </row>
    <row r="2384" spans="1:2" x14ac:dyDescent="0.3">
      <c r="A2384" s="31"/>
      <c r="B2384">
        <f>COUNTIF(Equipamento_Tunel!$H$2:$H$158,A2384)</f>
        <v>0</v>
      </c>
    </row>
    <row r="2385" spans="1:2" x14ac:dyDescent="0.3">
      <c r="A2385" s="16"/>
      <c r="B2385">
        <f>COUNTIF(Equipamento_Tunel!$H$2:$H$158,A2385)</f>
        <v>0</v>
      </c>
    </row>
    <row r="2386" spans="1:2" x14ac:dyDescent="0.3">
      <c r="A2386" s="31"/>
      <c r="B2386">
        <f>COUNTIF(Equipamento_Tunel!$H$2:$H$158,A2386)</f>
        <v>0</v>
      </c>
    </row>
    <row r="2387" spans="1:2" x14ac:dyDescent="0.3">
      <c r="A2387" s="16"/>
      <c r="B2387">
        <f>COUNTIF(Equipamento_Tunel!$H$2:$H$158,A2387)</f>
        <v>0</v>
      </c>
    </row>
    <row r="2388" spans="1:2" x14ac:dyDescent="0.3">
      <c r="A2388" s="31"/>
      <c r="B2388">
        <f>COUNTIF(Equipamento_Tunel!$H$2:$H$158,A2388)</f>
        <v>0</v>
      </c>
    </row>
    <row r="2389" spans="1:2" x14ac:dyDescent="0.3">
      <c r="A2389" s="16"/>
      <c r="B2389">
        <f>COUNTIF(Equipamento_Tunel!$H$2:$H$158,A2389)</f>
        <v>0</v>
      </c>
    </row>
    <row r="2390" spans="1:2" x14ac:dyDescent="0.3">
      <c r="A2390" s="31"/>
      <c r="B2390">
        <f>COUNTIF(Equipamento_Tunel!$H$2:$H$158,A2390)</f>
        <v>0</v>
      </c>
    </row>
    <row r="2391" spans="1:2" x14ac:dyDescent="0.3">
      <c r="A2391" s="16"/>
      <c r="B2391">
        <f>COUNTIF(Equipamento_Tunel!$H$2:$H$158,A2391)</f>
        <v>0</v>
      </c>
    </row>
    <row r="2392" spans="1:2" x14ac:dyDescent="0.3">
      <c r="A2392" s="31"/>
      <c r="B2392">
        <f>COUNTIF(Equipamento_Tunel!$H$2:$H$158,A2392)</f>
        <v>0</v>
      </c>
    </row>
    <row r="2393" spans="1:2" x14ac:dyDescent="0.3">
      <c r="A2393" s="16"/>
      <c r="B2393">
        <f>COUNTIF(Equipamento_Tunel!$H$2:$H$158,A2393)</f>
        <v>0</v>
      </c>
    </row>
    <row r="2394" spans="1:2" x14ac:dyDescent="0.3">
      <c r="A2394" s="31"/>
      <c r="B2394">
        <f>COUNTIF(Equipamento_Tunel!$H$2:$H$158,A2394)</f>
        <v>0</v>
      </c>
    </row>
    <row r="2395" spans="1:2" x14ac:dyDescent="0.3">
      <c r="A2395" s="16"/>
      <c r="B2395">
        <f>COUNTIF(Equipamento_Tunel!$H$2:$H$158,A2395)</f>
        <v>0</v>
      </c>
    </row>
    <row r="2396" spans="1:2" x14ac:dyDescent="0.3">
      <c r="A2396" s="31"/>
      <c r="B2396">
        <f>COUNTIF(Equipamento_Tunel!$H$2:$H$158,A2396)</f>
        <v>0</v>
      </c>
    </row>
    <row r="2397" spans="1:2" x14ac:dyDescent="0.3">
      <c r="A2397" s="16"/>
      <c r="B2397">
        <f>COUNTIF(Equipamento_Tunel!$H$2:$H$158,A2397)</f>
        <v>0</v>
      </c>
    </row>
    <row r="2398" spans="1:2" x14ac:dyDescent="0.3">
      <c r="A2398" s="31"/>
      <c r="B2398">
        <f>COUNTIF(Equipamento_Tunel!$H$2:$H$158,A2398)</f>
        <v>0</v>
      </c>
    </row>
    <row r="2399" spans="1:2" x14ac:dyDescent="0.3">
      <c r="A2399" s="16"/>
      <c r="B2399">
        <f>COUNTIF(Equipamento_Tunel!$H$2:$H$158,A2399)</f>
        <v>0</v>
      </c>
    </row>
    <row r="2400" spans="1:2" x14ac:dyDescent="0.3">
      <c r="A2400" s="31"/>
      <c r="B2400">
        <f>COUNTIF(Equipamento_Tunel!$H$2:$H$158,A2400)</f>
        <v>0</v>
      </c>
    </row>
    <row r="2401" spans="1:2" x14ac:dyDescent="0.3">
      <c r="A2401" s="16"/>
      <c r="B2401">
        <f>COUNTIF(Equipamento_Tunel!$H$2:$H$158,A2401)</f>
        <v>0</v>
      </c>
    </row>
    <row r="2402" spans="1:2" x14ac:dyDescent="0.3">
      <c r="A2402" s="31"/>
      <c r="B2402">
        <f>COUNTIF(Equipamento_Tunel!$H$2:$H$158,A2402)</f>
        <v>0</v>
      </c>
    </row>
    <row r="2403" spans="1:2" x14ac:dyDescent="0.3">
      <c r="A2403" s="16"/>
      <c r="B2403">
        <f>COUNTIF(Equipamento_Tunel!$H$2:$H$158,A2403)</f>
        <v>0</v>
      </c>
    </row>
    <row r="2404" spans="1:2" x14ac:dyDescent="0.3">
      <c r="A2404" s="31"/>
      <c r="B2404">
        <f>COUNTIF(Equipamento_Tunel!$H$2:$H$158,A2404)</f>
        <v>0</v>
      </c>
    </row>
    <row r="2405" spans="1:2" x14ac:dyDescent="0.3">
      <c r="A2405" s="16"/>
      <c r="B2405">
        <f>COUNTIF(Equipamento_Tunel!$H$2:$H$158,A2405)</f>
        <v>0</v>
      </c>
    </row>
    <row r="2406" spans="1:2" x14ac:dyDescent="0.3">
      <c r="A2406" s="31"/>
      <c r="B2406">
        <f>COUNTIF(Equipamento_Tunel!$H$2:$H$158,A2406)</f>
        <v>0</v>
      </c>
    </row>
    <row r="2407" spans="1:2" x14ac:dyDescent="0.3">
      <c r="A2407" s="16"/>
      <c r="B2407">
        <f>COUNTIF(Equipamento_Tunel!$H$2:$H$158,A2407)</f>
        <v>0</v>
      </c>
    </row>
    <row r="2408" spans="1:2" x14ac:dyDescent="0.3">
      <c r="A2408" s="31"/>
      <c r="B2408">
        <f>COUNTIF(Equipamento_Tunel!$H$2:$H$158,A2408)</f>
        <v>0</v>
      </c>
    </row>
    <row r="2409" spans="1:2" x14ac:dyDescent="0.3">
      <c r="A2409" s="16"/>
      <c r="B2409">
        <f>COUNTIF(Equipamento_Tunel!$H$2:$H$158,A2409)</f>
        <v>0</v>
      </c>
    </row>
    <row r="2410" spans="1:2" x14ac:dyDescent="0.3">
      <c r="A2410" s="31"/>
      <c r="B2410">
        <f>COUNTIF(Equipamento_Tunel!$H$2:$H$158,A2410)</f>
        <v>0</v>
      </c>
    </row>
    <row r="2411" spans="1:2" x14ac:dyDescent="0.3">
      <c r="A2411" s="16"/>
      <c r="B2411">
        <f>COUNTIF(Equipamento_Tunel!$H$2:$H$158,A2411)</f>
        <v>0</v>
      </c>
    </row>
    <row r="2412" spans="1:2" x14ac:dyDescent="0.3">
      <c r="A2412" s="31"/>
      <c r="B2412">
        <f>COUNTIF(Equipamento_Tunel!$H$2:$H$158,A2412)</f>
        <v>0</v>
      </c>
    </row>
    <row r="2413" spans="1:2" x14ac:dyDescent="0.3">
      <c r="A2413" s="16"/>
      <c r="B2413">
        <f>COUNTIF(Equipamento_Tunel!$H$2:$H$158,A2413)</f>
        <v>0</v>
      </c>
    </row>
    <row r="2414" spans="1:2" x14ac:dyDescent="0.3">
      <c r="A2414" s="31"/>
      <c r="B2414">
        <f>COUNTIF(Equipamento_Tunel!$H$2:$H$158,A2414)</f>
        <v>0</v>
      </c>
    </row>
    <row r="2415" spans="1:2" x14ac:dyDescent="0.3">
      <c r="A2415" s="16"/>
      <c r="B2415">
        <f>COUNTIF(Equipamento_Tunel!$H$2:$H$158,A2415)</f>
        <v>0</v>
      </c>
    </row>
    <row r="2416" spans="1:2" x14ac:dyDescent="0.3">
      <c r="A2416" s="31"/>
      <c r="B2416">
        <f>COUNTIF(Equipamento_Tunel!$H$2:$H$158,A2416)</f>
        <v>0</v>
      </c>
    </row>
    <row r="2417" spans="1:2" x14ac:dyDescent="0.3">
      <c r="A2417" s="16"/>
      <c r="B2417">
        <f>COUNTIF(Equipamento_Tunel!$H$2:$H$158,A2417)</f>
        <v>0</v>
      </c>
    </row>
    <row r="2418" spans="1:2" x14ac:dyDescent="0.3">
      <c r="A2418" s="31"/>
      <c r="B2418">
        <f>COUNTIF(Equipamento_Tunel!$H$2:$H$158,A2418)</f>
        <v>0</v>
      </c>
    </row>
    <row r="2419" spans="1:2" x14ac:dyDescent="0.3">
      <c r="A2419" s="16"/>
      <c r="B2419">
        <f>COUNTIF(Equipamento_Tunel!$H$2:$H$158,A2419)</f>
        <v>0</v>
      </c>
    </row>
    <row r="2420" spans="1:2" x14ac:dyDescent="0.3">
      <c r="A2420" s="31"/>
      <c r="B2420">
        <f>COUNTIF(Equipamento_Tunel!$H$2:$H$158,A2420)</f>
        <v>0</v>
      </c>
    </row>
    <row r="2421" spans="1:2" x14ac:dyDescent="0.3">
      <c r="A2421" s="16"/>
      <c r="B2421">
        <f>COUNTIF(Equipamento_Tunel!$H$2:$H$158,A2421)</f>
        <v>0</v>
      </c>
    </row>
    <row r="2422" spans="1:2" x14ac:dyDescent="0.3">
      <c r="A2422" s="31"/>
      <c r="B2422">
        <f>COUNTIF(Equipamento_Tunel!$H$2:$H$158,A2422)</f>
        <v>0</v>
      </c>
    </row>
    <row r="2423" spans="1:2" x14ac:dyDescent="0.3">
      <c r="A2423" s="16"/>
      <c r="B2423">
        <f>COUNTIF(Equipamento_Tunel!$H$2:$H$158,A2423)</f>
        <v>0</v>
      </c>
    </row>
    <row r="2424" spans="1:2" x14ac:dyDescent="0.3">
      <c r="A2424" s="31"/>
      <c r="B2424">
        <f>COUNTIF(Equipamento_Tunel!$H$2:$H$158,A2424)</f>
        <v>0</v>
      </c>
    </row>
    <row r="2425" spans="1:2" x14ac:dyDescent="0.3">
      <c r="A2425" s="16"/>
      <c r="B2425">
        <f>COUNTIF(Equipamento_Tunel!$H$2:$H$158,A2425)</f>
        <v>0</v>
      </c>
    </row>
    <row r="2426" spans="1:2" x14ac:dyDescent="0.3">
      <c r="A2426" s="31"/>
      <c r="B2426">
        <f>COUNTIF(Equipamento_Tunel!$H$2:$H$158,A2426)</f>
        <v>0</v>
      </c>
    </row>
    <row r="2427" spans="1:2" x14ac:dyDescent="0.3">
      <c r="A2427" s="16"/>
      <c r="B2427">
        <f>COUNTIF(Equipamento_Tunel!$H$2:$H$158,A2427)</f>
        <v>0</v>
      </c>
    </row>
    <row r="2428" spans="1:2" x14ac:dyDescent="0.3">
      <c r="A2428" s="31"/>
      <c r="B2428">
        <f>COUNTIF(Equipamento_Tunel!$H$2:$H$158,A2428)</f>
        <v>0</v>
      </c>
    </row>
    <row r="2429" spans="1:2" x14ac:dyDescent="0.3">
      <c r="A2429" s="16"/>
      <c r="B2429">
        <f>COUNTIF(Equipamento_Tunel!$H$2:$H$158,A2429)</f>
        <v>0</v>
      </c>
    </row>
    <row r="2430" spans="1:2" x14ac:dyDescent="0.3">
      <c r="A2430" s="31"/>
      <c r="B2430">
        <f>COUNTIF(Equipamento_Tunel!$H$2:$H$158,A2430)</f>
        <v>0</v>
      </c>
    </row>
    <row r="2431" spans="1:2" x14ac:dyDescent="0.3">
      <c r="A2431" s="16"/>
      <c r="B2431">
        <f>COUNTIF(Equipamento_Tunel!$H$2:$H$158,A2431)</f>
        <v>0</v>
      </c>
    </row>
    <row r="2432" spans="1:2" x14ac:dyDescent="0.3">
      <c r="A2432" s="31"/>
      <c r="B2432">
        <f>COUNTIF(Equipamento_Tunel!$H$2:$H$158,A2432)</f>
        <v>0</v>
      </c>
    </row>
    <row r="2433" spans="1:2" x14ac:dyDescent="0.3">
      <c r="A2433" s="16"/>
      <c r="B2433">
        <f>COUNTIF(Equipamento_Tunel!$H$2:$H$158,A2433)</f>
        <v>0</v>
      </c>
    </row>
    <row r="2434" spans="1:2" x14ac:dyDescent="0.3">
      <c r="A2434" s="31"/>
      <c r="B2434">
        <f>COUNTIF(Equipamento_Tunel!$H$2:$H$158,A2434)</f>
        <v>0</v>
      </c>
    </row>
    <row r="2435" spans="1:2" x14ac:dyDescent="0.3">
      <c r="A2435" s="16"/>
      <c r="B2435">
        <f>COUNTIF(Equipamento_Tunel!$H$2:$H$158,A2435)</f>
        <v>0</v>
      </c>
    </row>
    <row r="2436" spans="1:2" x14ac:dyDescent="0.3">
      <c r="A2436" s="31"/>
      <c r="B2436">
        <f>COUNTIF(Equipamento_Tunel!$H$2:$H$158,A2436)</f>
        <v>0</v>
      </c>
    </row>
    <row r="2437" spans="1:2" x14ac:dyDescent="0.3">
      <c r="A2437" s="16"/>
      <c r="B2437">
        <f>COUNTIF(Equipamento_Tunel!$H$2:$H$158,A2437)</f>
        <v>0</v>
      </c>
    </row>
    <row r="2438" spans="1:2" x14ac:dyDescent="0.3">
      <c r="A2438" s="31"/>
      <c r="B2438">
        <f>COUNTIF(Equipamento_Tunel!$H$2:$H$158,A2438)</f>
        <v>0</v>
      </c>
    </row>
    <row r="2439" spans="1:2" x14ac:dyDescent="0.3">
      <c r="A2439" s="16"/>
      <c r="B2439">
        <f>COUNTIF(Equipamento_Tunel!$H$2:$H$158,A2439)</f>
        <v>0</v>
      </c>
    </row>
    <row r="2440" spans="1:2" x14ac:dyDescent="0.3">
      <c r="A2440" s="31"/>
      <c r="B2440">
        <f>COUNTIF(Equipamento_Tunel!$H$2:$H$158,A2440)</f>
        <v>0</v>
      </c>
    </row>
    <row r="2441" spans="1:2" x14ac:dyDescent="0.3">
      <c r="A2441" s="16"/>
      <c r="B2441">
        <f>COUNTIF(Equipamento_Tunel!$H$2:$H$158,A2441)</f>
        <v>0</v>
      </c>
    </row>
    <row r="2442" spans="1:2" x14ac:dyDescent="0.3">
      <c r="A2442" s="31"/>
      <c r="B2442">
        <f>COUNTIF(Equipamento_Tunel!$H$2:$H$158,A2442)</f>
        <v>0</v>
      </c>
    </row>
    <row r="2443" spans="1:2" x14ac:dyDescent="0.3">
      <c r="A2443" s="16"/>
      <c r="B2443">
        <f>COUNTIF(Equipamento_Tunel!$H$2:$H$158,A2443)</f>
        <v>0</v>
      </c>
    </row>
    <row r="2444" spans="1:2" x14ac:dyDescent="0.3">
      <c r="A2444" s="31"/>
      <c r="B2444">
        <f>COUNTIF(Equipamento_Tunel!$H$2:$H$158,A2444)</f>
        <v>0</v>
      </c>
    </row>
    <row r="2445" spans="1:2" x14ac:dyDescent="0.3">
      <c r="A2445" s="16"/>
      <c r="B2445">
        <f>COUNTIF(Equipamento_Tunel!$H$2:$H$158,A2445)</f>
        <v>0</v>
      </c>
    </row>
    <row r="2446" spans="1:2" x14ac:dyDescent="0.3">
      <c r="A2446" s="31"/>
      <c r="B2446">
        <f>COUNTIF(Equipamento_Tunel!$H$2:$H$158,A2446)</f>
        <v>0</v>
      </c>
    </row>
    <row r="2447" spans="1:2" x14ac:dyDescent="0.3">
      <c r="A2447" s="16"/>
      <c r="B2447">
        <f>COUNTIF(Equipamento_Tunel!$H$2:$H$158,A2447)</f>
        <v>0</v>
      </c>
    </row>
    <row r="2448" spans="1:2" x14ac:dyDescent="0.3">
      <c r="A2448" s="31"/>
      <c r="B2448">
        <f>COUNTIF(Equipamento_Tunel!$H$2:$H$158,A2448)</f>
        <v>0</v>
      </c>
    </row>
    <row r="2449" spans="1:2" x14ac:dyDescent="0.3">
      <c r="A2449" s="16"/>
      <c r="B2449">
        <f>COUNTIF(Equipamento_Tunel!$H$2:$H$158,A2449)</f>
        <v>0</v>
      </c>
    </row>
    <row r="2450" spans="1:2" x14ac:dyDescent="0.3">
      <c r="A2450" s="31"/>
      <c r="B2450">
        <f>COUNTIF(Equipamento_Tunel!$H$2:$H$158,A2450)</f>
        <v>0</v>
      </c>
    </row>
    <row r="2451" spans="1:2" x14ac:dyDescent="0.3">
      <c r="A2451" s="16"/>
      <c r="B2451">
        <f>COUNTIF(Equipamento_Tunel!$H$2:$H$158,A2451)</f>
        <v>0</v>
      </c>
    </row>
    <row r="2452" spans="1:2" x14ac:dyDescent="0.3">
      <c r="A2452" s="31"/>
      <c r="B2452">
        <f>COUNTIF(Equipamento_Tunel!$H$2:$H$158,A2452)</f>
        <v>0</v>
      </c>
    </row>
    <row r="2453" spans="1:2" x14ac:dyDescent="0.3">
      <c r="A2453" s="16"/>
      <c r="B2453">
        <f>COUNTIF(Equipamento_Tunel!$H$2:$H$158,A2453)</f>
        <v>0</v>
      </c>
    </row>
    <row r="2454" spans="1:2" x14ac:dyDescent="0.3">
      <c r="A2454" s="31"/>
      <c r="B2454">
        <f>COUNTIF(Equipamento_Tunel!$H$2:$H$158,A2454)</f>
        <v>0</v>
      </c>
    </row>
    <row r="2455" spans="1:2" x14ac:dyDescent="0.3">
      <c r="A2455" s="16"/>
      <c r="B2455">
        <f>COUNTIF(Equipamento_Tunel!$H$2:$H$158,A2455)</f>
        <v>0</v>
      </c>
    </row>
    <row r="2456" spans="1:2" x14ac:dyDescent="0.3">
      <c r="A2456" s="31"/>
      <c r="B2456">
        <f>COUNTIF(Equipamento_Tunel!$H$2:$H$158,A2456)</f>
        <v>0</v>
      </c>
    </row>
    <row r="2457" spans="1:2" x14ac:dyDescent="0.3">
      <c r="A2457" s="16"/>
      <c r="B2457">
        <f>COUNTIF(Equipamento_Tunel!$H$2:$H$158,A2457)</f>
        <v>0</v>
      </c>
    </row>
    <row r="2458" spans="1:2" x14ac:dyDescent="0.3">
      <c r="A2458" s="31"/>
      <c r="B2458">
        <f>COUNTIF(Equipamento_Tunel!$H$2:$H$158,A2458)</f>
        <v>0</v>
      </c>
    </row>
    <row r="2459" spans="1:2" x14ac:dyDescent="0.3">
      <c r="A2459" s="16"/>
      <c r="B2459">
        <f>COUNTIF(Equipamento_Tunel!$H$2:$H$158,A2459)</f>
        <v>0</v>
      </c>
    </row>
    <row r="2460" spans="1:2" x14ac:dyDescent="0.3">
      <c r="A2460" s="31"/>
      <c r="B2460">
        <f>COUNTIF(Equipamento_Tunel!$H$2:$H$158,A2460)</f>
        <v>0</v>
      </c>
    </row>
    <row r="2461" spans="1:2" x14ac:dyDescent="0.3">
      <c r="A2461" s="16"/>
      <c r="B2461">
        <f>COUNTIF(Equipamento_Tunel!$H$2:$H$158,A2461)</f>
        <v>0</v>
      </c>
    </row>
    <row r="2462" spans="1:2" x14ac:dyDescent="0.3">
      <c r="A2462" s="31"/>
      <c r="B2462">
        <f>COUNTIF(Equipamento_Tunel!$H$2:$H$158,A2462)</f>
        <v>0</v>
      </c>
    </row>
    <row r="2463" spans="1:2" x14ac:dyDescent="0.3">
      <c r="A2463" s="16"/>
      <c r="B2463">
        <f>COUNTIF(Equipamento_Tunel!$H$2:$H$158,A2463)</f>
        <v>0</v>
      </c>
    </row>
    <row r="2464" spans="1:2" x14ac:dyDescent="0.3">
      <c r="A2464" s="31"/>
      <c r="B2464">
        <f>COUNTIF(Equipamento_Tunel!$H$2:$H$158,A2464)</f>
        <v>0</v>
      </c>
    </row>
    <row r="2465" spans="1:2" x14ac:dyDescent="0.3">
      <c r="A2465" s="16"/>
      <c r="B2465">
        <f>COUNTIF(Equipamento_Tunel!$H$2:$H$158,A2465)</f>
        <v>0</v>
      </c>
    </row>
    <row r="2466" spans="1:2" x14ac:dyDescent="0.3">
      <c r="A2466" s="31"/>
      <c r="B2466">
        <f>COUNTIF(Equipamento_Tunel!$H$2:$H$158,A2466)</f>
        <v>0</v>
      </c>
    </row>
    <row r="2467" spans="1:2" x14ac:dyDescent="0.3">
      <c r="A2467" s="16"/>
      <c r="B2467">
        <f>COUNTIF(Equipamento_Tunel!$H$2:$H$158,A2467)</f>
        <v>0</v>
      </c>
    </row>
    <row r="2468" spans="1:2" x14ac:dyDescent="0.3">
      <c r="A2468" s="31"/>
      <c r="B2468">
        <f>COUNTIF(Equipamento_Tunel!$H$2:$H$158,A2468)</f>
        <v>0</v>
      </c>
    </row>
    <row r="2469" spans="1:2" x14ac:dyDescent="0.3">
      <c r="A2469" s="16"/>
      <c r="B2469">
        <f>COUNTIF(Equipamento_Tunel!$H$2:$H$158,A2469)</f>
        <v>0</v>
      </c>
    </row>
    <row r="2470" spans="1:2" x14ac:dyDescent="0.3">
      <c r="A2470" s="31"/>
      <c r="B2470">
        <f>COUNTIF(Equipamento_Tunel!$H$2:$H$158,A2470)</f>
        <v>0</v>
      </c>
    </row>
    <row r="2471" spans="1:2" x14ac:dyDescent="0.3">
      <c r="A2471" s="16"/>
      <c r="B2471">
        <f>COUNTIF(Equipamento_Tunel!$H$2:$H$158,A2471)</f>
        <v>0</v>
      </c>
    </row>
    <row r="2472" spans="1:2" x14ac:dyDescent="0.3">
      <c r="A2472" s="31"/>
      <c r="B2472">
        <f>COUNTIF(Equipamento_Tunel!$H$2:$H$158,A2472)</f>
        <v>0</v>
      </c>
    </row>
    <row r="2473" spans="1:2" x14ac:dyDescent="0.3">
      <c r="A2473" s="16"/>
      <c r="B2473">
        <f>COUNTIF(Equipamento_Tunel!$H$2:$H$158,A2473)</f>
        <v>0</v>
      </c>
    </row>
    <row r="2474" spans="1:2" x14ac:dyDescent="0.3">
      <c r="A2474" s="31"/>
      <c r="B2474">
        <f>COUNTIF(Equipamento_Tunel!$H$2:$H$158,A2474)</f>
        <v>0</v>
      </c>
    </row>
    <row r="2475" spans="1:2" x14ac:dyDescent="0.3">
      <c r="A2475" s="16"/>
      <c r="B2475">
        <f>COUNTIF(Equipamento_Tunel!$H$2:$H$158,A2475)</f>
        <v>0</v>
      </c>
    </row>
    <row r="2476" spans="1:2" x14ac:dyDescent="0.3">
      <c r="A2476" s="31"/>
      <c r="B2476">
        <f>COUNTIF(Equipamento_Tunel!$H$2:$H$158,A2476)</f>
        <v>0</v>
      </c>
    </row>
    <row r="2477" spans="1:2" x14ac:dyDescent="0.3">
      <c r="A2477" s="16"/>
      <c r="B2477">
        <f>COUNTIF(Equipamento_Tunel!$H$2:$H$158,A2477)</f>
        <v>0</v>
      </c>
    </row>
    <row r="2478" spans="1:2" x14ac:dyDescent="0.3">
      <c r="A2478" s="31"/>
      <c r="B2478">
        <f>COUNTIF(Equipamento_Tunel!$H$2:$H$158,A2478)</f>
        <v>0</v>
      </c>
    </row>
    <row r="2479" spans="1:2" x14ac:dyDescent="0.3">
      <c r="A2479" s="16"/>
      <c r="B2479">
        <f>COUNTIF(Equipamento_Tunel!$H$2:$H$158,A2479)</f>
        <v>0</v>
      </c>
    </row>
    <row r="2480" spans="1:2" x14ac:dyDescent="0.3">
      <c r="A2480" s="31"/>
      <c r="B2480">
        <f>COUNTIF(Equipamento_Tunel!$H$2:$H$158,A2480)</f>
        <v>0</v>
      </c>
    </row>
    <row r="2481" spans="1:2" x14ac:dyDescent="0.3">
      <c r="A2481" s="16"/>
      <c r="B2481">
        <f>COUNTIF(Equipamento_Tunel!$H$2:$H$158,A2481)</f>
        <v>0</v>
      </c>
    </row>
    <row r="2482" spans="1:2" x14ac:dyDescent="0.3">
      <c r="A2482" s="31"/>
      <c r="B2482">
        <f>COUNTIF(Equipamento_Tunel!$H$2:$H$158,A2482)</f>
        <v>0</v>
      </c>
    </row>
    <row r="2483" spans="1:2" x14ac:dyDescent="0.3">
      <c r="A2483" s="16"/>
      <c r="B2483">
        <f>COUNTIF(Equipamento_Tunel!$H$2:$H$158,A2483)</f>
        <v>0</v>
      </c>
    </row>
    <row r="2484" spans="1:2" x14ac:dyDescent="0.3">
      <c r="A2484" s="31"/>
      <c r="B2484">
        <f>COUNTIF(Equipamento_Tunel!$H$2:$H$158,A2484)</f>
        <v>0</v>
      </c>
    </row>
    <row r="2485" spans="1:2" x14ac:dyDescent="0.3">
      <c r="A2485" s="16"/>
      <c r="B2485">
        <f>COUNTIF(Equipamento_Tunel!$H$2:$H$158,A2485)</f>
        <v>0</v>
      </c>
    </row>
    <row r="2486" spans="1:2" x14ac:dyDescent="0.3">
      <c r="A2486" s="31"/>
      <c r="B2486">
        <f>COUNTIF(Equipamento_Tunel!$H$2:$H$158,A2486)</f>
        <v>0</v>
      </c>
    </row>
    <row r="2487" spans="1:2" x14ac:dyDescent="0.3">
      <c r="A2487" s="16"/>
      <c r="B2487">
        <f>COUNTIF(Equipamento_Tunel!$H$2:$H$158,A2487)</f>
        <v>0</v>
      </c>
    </row>
    <row r="2488" spans="1:2" x14ac:dyDescent="0.3">
      <c r="A2488" s="31"/>
      <c r="B2488">
        <f>COUNTIF(Equipamento_Tunel!$H$2:$H$158,A2488)</f>
        <v>0</v>
      </c>
    </row>
    <row r="2489" spans="1:2" x14ac:dyDescent="0.3">
      <c r="A2489" s="16"/>
      <c r="B2489">
        <f>COUNTIF(Equipamento_Tunel!$H$2:$H$158,A2489)</f>
        <v>0</v>
      </c>
    </row>
    <row r="2490" spans="1:2" x14ac:dyDescent="0.3">
      <c r="A2490" s="31"/>
      <c r="B2490">
        <f>COUNTIF(Equipamento_Tunel!$H$2:$H$158,A2490)</f>
        <v>0</v>
      </c>
    </row>
    <row r="2491" spans="1:2" x14ac:dyDescent="0.3">
      <c r="A2491" s="16"/>
      <c r="B2491">
        <f>COUNTIF(Equipamento_Tunel!$H$2:$H$158,A2491)</f>
        <v>0</v>
      </c>
    </row>
    <row r="2492" spans="1:2" x14ac:dyDescent="0.3">
      <c r="A2492" s="31"/>
      <c r="B2492">
        <f>COUNTIF(Equipamento_Tunel!$H$2:$H$158,A2492)</f>
        <v>0</v>
      </c>
    </row>
    <row r="2493" spans="1:2" x14ac:dyDescent="0.3">
      <c r="A2493" s="16"/>
      <c r="B2493">
        <f>COUNTIF(Equipamento_Tunel!$H$2:$H$158,A2493)</f>
        <v>0</v>
      </c>
    </row>
    <row r="2494" spans="1:2" x14ac:dyDescent="0.3">
      <c r="A2494" s="31"/>
      <c r="B2494">
        <f>COUNTIF(Equipamento_Tunel!$H$2:$H$158,A2494)</f>
        <v>0</v>
      </c>
    </row>
    <row r="2495" spans="1:2" x14ac:dyDescent="0.3">
      <c r="A2495" s="16"/>
      <c r="B2495">
        <f>COUNTIF(Equipamento_Tunel!$H$2:$H$158,A2495)</f>
        <v>0</v>
      </c>
    </row>
    <row r="2496" spans="1:2" x14ac:dyDescent="0.3">
      <c r="A2496" s="31"/>
      <c r="B2496">
        <f>COUNTIF(Equipamento_Tunel!$H$2:$H$158,A2496)</f>
        <v>0</v>
      </c>
    </row>
    <row r="2497" spans="1:2" x14ac:dyDescent="0.3">
      <c r="A2497" s="16"/>
      <c r="B2497">
        <f>COUNTIF(Equipamento_Tunel!$H$2:$H$158,A2497)</f>
        <v>0</v>
      </c>
    </row>
    <row r="2498" spans="1:2" x14ac:dyDescent="0.3">
      <c r="A2498" s="31"/>
      <c r="B2498">
        <f>COUNTIF(Equipamento_Tunel!$H$2:$H$158,A2498)</f>
        <v>0</v>
      </c>
    </row>
    <row r="2499" spans="1:2" x14ac:dyDescent="0.3">
      <c r="A2499" s="16"/>
      <c r="B2499">
        <f>COUNTIF(Equipamento_Tunel!$H$2:$H$158,A2499)</f>
        <v>0</v>
      </c>
    </row>
    <row r="2500" spans="1:2" x14ac:dyDescent="0.3">
      <c r="A2500" s="31"/>
      <c r="B2500">
        <f>COUNTIF(Equipamento_Tunel!$H$2:$H$158,A2500)</f>
        <v>0</v>
      </c>
    </row>
    <row r="2501" spans="1:2" x14ac:dyDescent="0.3">
      <c r="A2501" s="16"/>
      <c r="B2501">
        <f>COUNTIF(Equipamento_Tunel!$H$2:$H$158,A2501)</f>
        <v>0</v>
      </c>
    </row>
    <row r="2502" spans="1:2" x14ac:dyDescent="0.3">
      <c r="A2502" s="31"/>
      <c r="B2502">
        <f>COUNTIF(Equipamento_Tunel!$H$2:$H$158,A2502)</f>
        <v>0</v>
      </c>
    </row>
    <row r="2503" spans="1:2" x14ac:dyDescent="0.3">
      <c r="A2503" s="16"/>
      <c r="B2503">
        <f>COUNTIF(Equipamento_Tunel!$H$2:$H$158,A2503)</f>
        <v>0</v>
      </c>
    </row>
    <row r="2504" spans="1:2" x14ac:dyDescent="0.3">
      <c r="A2504" s="31"/>
      <c r="B2504">
        <f>COUNTIF(Equipamento_Tunel!$H$2:$H$158,A2504)</f>
        <v>0</v>
      </c>
    </row>
    <row r="2505" spans="1:2" x14ac:dyDescent="0.3">
      <c r="A2505" s="16"/>
      <c r="B2505">
        <f>COUNTIF(Equipamento_Tunel!$H$2:$H$158,A2505)</f>
        <v>0</v>
      </c>
    </row>
    <row r="2506" spans="1:2" x14ac:dyDescent="0.3">
      <c r="A2506" s="31"/>
      <c r="B2506">
        <f>COUNTIF(Equipamento_Tunel!$H$2:$H$158,A2506)</f>
        <v>0</v>
      </c>
    </row>
    <row r="2507" spans="1:2" x14ac:dyDescent="0.3">
      <c r="A2507" s="16"/>
      <c r="B2507">
        <f>COUNTIF(Equipamento_Tunel!$H$2:$H$158,A2507)</f>
        <v>0</v>
      </c>
    </row>
    <row r="2508" spans="1:2" x14ac:dyDescent="0.3">
      <c r="A2508" s="31"/>
      <c r="B2508">
        <f>COUNTIF(Equipamento_Tunel!$H$2:$H$158,A2508)</f>
        <v>0</v>
      </c>
    </row>
    <row r="2509" spans="1:2" x14ac:dyDescent="0.3">
      <c r="A2509" s="16"/>
      <c r="B2509">
        <f>COUNTIF(Equipamento_Tunel!$H$2:$H$158,A2509)</f>
        <v>0</v>
      </c>
    </row>
    <row r="2510" spans="1:2" x14ac:dyDescent="0.3">
      <c r="A2510" s="31"/>
      <c r="B2510">
        <f>COUNTIF(Equipamento_Tunel!$H$2:$H$158,A2510)</f>
        <v>0</v>
      </c>
    </row>
    <row r="2511" spans="1:2" x14ac:dyDescent="0.3">
      <c r="A2511" s="16"/>
      <c r="B2511">
        <f>COUNTIF(Equipamento_Tunel!$H$2:$H$158,A2511)</f>
        <v>0</v>
      </c>
    </row>
    <row r="2512" spans="1:2" x14ac:dyDescent="0.3">
      <c r="A2512" s="31"/>
      <c r="B2512">
        <f>COUNTIF(Equipamento_Tunel!$H$2:$H$158,A2512)</f>
        <v>0</v>
      </c>
    </row>
    <row r="2513" spans="1:2" x14ac:dyDescent="0.3">
      <c r="A2513" s="16"/>
      <c r="B2513">
        <f>COUNTIF(Equipamento_Tunel!$H$2:$H$158,A2513)</f>
        <v>0</v>
      </c>
    </row>
    <row r="2514" spans="1:2" x14ac:dyDescent="0.3">
      <c r="A2514" s="31"/>
      <c r="B2514">
        <f>COUNTIF(Equipamento_Tunel!$H$2:$H$158,A2514)</f>
        <v>0</v>
      </c>
    </row>
    <row r="2515" spans="1:2" x14ac:dyDescent="0.3">
      <c r="A2515" s="16"/>
      <c r="B2515">
        <f>COUNTIF(Equipamento_Tunel!$H$2:$H$158,A2515)</f>
        <v>0</v>
      </c>
    </row>
    <row r="2516" spans="1:2" x14ac:dyDescent="0.3">
      <c r="A2516" s="31"/>
      <c r="B2516">
        <f>COUNTIF(Equipamento_Tunel!$H$2:$H$158,A2516)</f>
        <v>0</v>
      </c>
    </row>
    <row r="2517" spans="1:2" x14ac:dyDescent="0.3">
      <c r="A2517" s="16"/>
      <c r="B2517">
        <f>COUNTIF(Equipamento_Tunel!$H$2:$H$158,A2517)</f>
        <v>0</v>
      </c>
    </row>
    <row r="2518" spans="1:2" x14ac:dyDescent="0.3">
      <c r="A2518" s="31"/>
      <c r="B2518">
        <f>COUNTIF(Equipamento_Tunel!$H$2:$H$158,A2518)</f>
        <v>0</v>
      </c>
    </row>
    <row r="2519" spans="1:2" x14ac:dyDescent="0.3">
      <c r="A2519" s="16"/>
      <c r="B2519">
        <f>COUNTIF(Equipamento_Tunel!$H$2:$H$158,A2519)</f>
        <v>0</v>
      </c>
    </row>
    <row r="2520" spans="1:2" x14ac:dyDescent="0.3">
      <c r="A2520" s="31"/>
      <c r="B2520">
        <f>COUNTIF(Equipamento_Tunel!$H$2:$H$158,A2520)</f>
        <v>0</v>
      </c>
    </row>
    <row r="2521" spans="1:2" x14ac:dyDescent="0.3">
      <c r="A2521" s="16"/>
      <c r="B2521">
        <f>COUNTIF(Equipamento_Tunel!$H$2:$H$158,A2521)</f>
        <v>0</v>
      </c>
    </row>
    <row r="2522" spans="1:2" x14ac:dyDescent="0.3">
      <c r="A2522" s="31"/>
      <c r="B2522">
        <f>COUNTIF(Equipamento_Tunel!$H$2:$H$158,A2522)</f>
        <v>0</v>
      </c>
    </row>
    <row r="2523" spans="1:2" x14ac:dyDescent="0.3">
      <c r="A2523" s="16"/>
      <c r="B2523">
        <f>COUNTIF(Equipamento_Tunel!$H$2:$H$158,A2523)</f>
        <v>0</v>
      </c>
    </row>
    <row r="2524" spans="1:2" x14ac:dyDescent="0.3">
      <c r="A2524" s="31"/>
      <c r="B2524">
        <f>COUNTIF(Equipamento_Tunel!$H$2:$H$158,A2524)</f>
        <v>0</v>
      </c>
    </row>
    <row r="2525" spans="1:2" x14ac:dyDescent="0.3">
      <c r="A2525" s="16"/>
      <c r="B2525">
        <f>COUNTIF(Equipamento_Tunel!$H$2:$H$158,A2525)</f>
        <v>0</v>
      </c>
    </row>
    <row r="2526" spans="1:2" x14ac:dyDescent="0.3">
      <c r="A2526" s="31"/>
      <c r="B2526">
        <f>COUNTIF(Equipamento_Tunel!$H$2:$H$158,A2526)</f>
        <v>0</v>
      </c>
    </row>
    <row r="2527" spans="1:2" x14ac:dyDescent="0.3">
      <c r="A2527" s="16"/>
      <c r="B2527">
        <f>COUNTIF(Equipamento_Tunel!$H$2:$H$158,A2527)</f>
        <v>0</v>
      </c>
    </row>
    <row r="2528" spans="1:2" x14ac:dyDescent="0.3">
      <c r="A2528" s="31"/>
      <c r="B2528">
        <f>COUNTIF(Equipamento_Tunel!$H$2:$H$158,A2528)</f>
        <v>0</v>
      </c>
    </row>
    <row r="2529" spans="1:2" x14ac:dyDescent="0.3">
      <c r="A2529" s="16"/>
      <c r="B2529">
        <f>COUNTIF(Equipamento_Tunel!$H$2:$H$158,A2529)</f>
        <v>0</v>
      </c>
    </row>
    <row r="2530" spans="1:2" x14ac:dyDescent="0.3">
      <c r="A2530" s="31"/>
      <c r="B2530">
        <f>COUNTIF(Equipamento_Tunel!$H$2:$H$158,A2530)</f>
        <v>0</v>
      </c>
    </row>
    <row r="2531" spans="1:2" x14ac:dyDescent="0.3">
      <c r="A2531" s="16"/>
      <c r="B2531">
        <f>COUNTIF(Equipamento_Tunel!$H$2:$H$158,A2531)</f>
        <v>0</v>
      </c>
    </row>
    <row r="2532" spans="1:2" x14ac:dyDescent="0.3">
      <c r="A2532" s="31"/>
      <c r="B2532">
        <f>COUNTIF(Equipamento_Tunel!$H$2:$H$158,A2532)</f>
        <v>0</v>
      </c>
    </row>
    <row r="2533" spans="1:2" x14ac:dyDescent="0.3">
      <c r="A2533" s="16"/>
      <c r="B2533">
        <f>COUNTIF(Equipamento_Tunel!$H$2:$H$158,A2533)</f>
        <v>0</v>
      </c>
    </row>
    <row r="2534" spans="1:2" x14ac:dyDescent="0.3">
      <c r="A2534" s="31"/>
      <c r="B2534">
        <f>COUNTIF(Equipamento_Tunel!$H$2:$H$158,A2534)</f>
        <v>0</v>
      </c>
    </row>
    <row r="2535" spans="1:2" x14ac:dyDescent="0.3">
      <c r="A2535" s="16"/>
      <c r="B2535">
        <f>COUNTIF(Equipamento_Tunel!$H$2:$H$158,A2535)</f>
        <v>0</v>
      </c>
    </row>
    <row r="2536" spans="1:2" x14ac:dyDescent="0.3">
      <c r="A2536" s="31"/>
      <c r="B2536">
        <f>COUNTIF(Equipamento_Tunel!$H$2:$H$158,A2536)</f>
        <v>0</v>
      </c>
    </row>
    <row r="2537" spans="1:2" x14ac:dyDescent="0.3">
      <c r="A2537" s="16"/>
      <c r="B2537">
        <f>COUNTIF(Equipamento_Tunel!$H$2:$H$158,A2537)</f>
        <v>0</v>
      </c>
    </row>
    <row r="2538" spans="1:2" x14ac:dyDescent="0.3">
      <c r="A2538" s="31"/>
      <c r="B2538">
        <f>COUNTIF(Equipamento_Tunel!$H$2:$H$158,A2538)</f>
        <v>0</v>
      </c>
    </row>
    <row r="2539" spans="1:2" x14ac:dyDescent="0.3">
      <c r="A2539" s="16"/>
      <c r="B2539">
        <f>COUNTIF(Equipamento_Tunel!$H$2:$H$158,A2539)</f>
        <v>0</v>
      </c>
    </row>
    <row r="2540" spans="1:2" x14ac:dyDescent="0.3">
      <c r="A2540" s="31"/>
      <c r="B2540">
        <f>COUNTIF(Equipamento_Tunel!$H$2:$H$158,A2540)</f>
        <v>0</v>
      </c>
    </row>
    <row r="2541" spans="1:2" x14ac:dyDescent="0.3">
      <c r="A2541" s="16"/>
      <c r="B2541">
        <f>COUNTIF(Equipamento_Tunel!$H$2:$H$158,A2541)</f>
        <v>0</v>
      </c>
    </row>
    <row r="2542" spans="1:2" x14ac:dyDescent="0.3">
      <c r="A2542" s="31"/>
      <c r="B2542">
        <f>COUNTIF(Equipamento_Tunel!$H$2:$H$158,A2542)</f>
        <v>0</v>
      </c>
    </row>
    <row r="2543" spans="1:2" x14ac:dyDescent="0.3">
      <c r="A2543" s="16"/>
      <c r="B2543">
        <f>COUNTIF(Equipamento_Tunel!$H$2:$H$158,A2543)</f>
        <v>0</v>
      </c>
    </row>
    <row r="2544" spans="1:2" x14ac:dyDescent="0.3">
      <c r="A2544" s="31"/>
      <c r="B2544">
        <f>COUNTIF(Equipamento_Tunel!$H$2:$H$158,A2544)</f>
        <v>0</v>
      </c>
    </row>
    <row r="2545" spans="1:2" x14ac:dyDescent="0.3">
      <c r="A2545" s="16"/>
      <c r="B2545">
        <f>COUNTIF(Equipamento_Tunel!$H$2:$H$158,A2545)</f>
        <v>0</v>
      </c>
    </row>
    <row r="2546" spans="1:2" x14ac:dyDescent="0.3">
      <c r="A2546" s="31"/>
      <c r="B2546">
        <f>COUNTIF(Equipamento_Tunel!$H$2:$H$158,A2546)</f>
        <v>0</v>
      </c>
    </row>
    <row r="2547" spans="1:2" x14ac:dyDescent="0.3">
      <c r="A2547" s="16"/>
      <c r="B2547">
        <f>COUNTIF(Equipamento_Tunel!$H$2:$H$158,A2547)</f>
        <v>0</v>
      </c>
    </row>
    <row r="2548" spans="1:2" x14ac:dyDescent="0.3">
      <c r="A2548" s="31"/>
      <c r="B2548">
        <f>COUNTIF(Equipamento_Tunel!$H$2:$H$158,A2548)</f>
        <v>0</v>
      </c>
    </row>
    <row r="2549" spans="1:2" x14ac:dyDescent="0.3">
      <c r="A2549" s="16"/>
      <c r="B2549">
        <f>COUNTIF(Equipamento_Tunel!$H$2:$H$158,A2549)</f>
        <v>0</v>
      </c>
    </row>
    <row r="2550" spans="1:2" x14ac:dyDescent="0.3">
      <c r="A2550" s="31"/>
      <c r="B2550">
        <f>COUNTIF(Equipamento_Tunel!$H$2:$H$158,A2550)</f>
        <v>0</v>
      </c>
    </row>
    <row r="2551" spans="1:2" x14ac:dyDescent="0.3">
      <c r="A2551" s="16"/>
      <c r="B2551">
        <f>COUNTIF(Equipamento_Tunel!$H$2:$H$158,A2551)</f>
        <v>0</v>
      </c>
    </row>
    <row r="2552" spans="1:2" x14ac:dyDescent="0.3">
      <c r="A2552" s="31"/>
      <c r="B2552">
        <f>COUNTIF(Equipamento_Tunel!$H$2:$H$158,A2552)</f>
        <v>0</v>
      </c>
    </row>
    <row r="2553" spans="1:2" x14ac:dyDescent="0.3">
      <c r="A2553" s="16"/>
      <c r="B2553">
        <f>COUNTIF(Equipamento_Tunel!$H$2:$H$158,A2553)</f>
        <v>0</v>
      </c>
    </row>
    <row r="2554" spans="1:2" x14ac:dyDescent="0.3">
      <c r="A2554" s="31"/>
      <c r="B2554">
        <f>COUNTIF(Equipamento_Tunel!$H$2:$H$158,A2554)</f>
        <v>0</v>
      </c>
    </row>
    <row r="2555" spans="1:2" x14ac:dyDescent="0.3">
      <c r="A2555" s="16"/>
      <c r="B2555">
        <f>COUNTIF(Equipamento_Tunel!$H$2:$H$158,A2555)</f>
        <v>0</v>
      </c>
    </row>
    <row r="2556" spans="1:2" x14ac:dyDescent="0.3">
      <c r="A2556" s="31"/>
      <c r="B2556">
        <f>COUNTIF(Equipamento_Tunel!$H$2:$H$158,A2556)</f>
        <v>0</v>
      </c>
    </row>
    <row r="2557" spans="1:2" x14ac:dyDescent="0.3">
      <c r="A2557" s="16"/>
      <c r="B2557">
        <f>COUNTIF(Equipamento_Tunel!$H$2:$H$158,A2557)</f>
        <v>0</v>
      </c>
    </row>
    <row r="2558" spans="1:2" x14ac:dyDescent="0.3">
      <c r="A2558" s="31"/>
      <c r="B2558">
        <f>COUNTIF(Equipamento_Tunel!$H$2:$H$158,A2558)</f>
        <v>0</v>
      </c>
    </row>
    <row r="2559" spans="1:2" x14ac:dyDescent="0.3">
      <c r="A2559" s="16"/>
      <c r="B2559">
        <f>COUNTIF(Equipamento_Tunel!$H$2:$H$158,A2559)</f>
        <v>0</v>
      </c>
    </row>
    <row r="2560" spans="1:2" x14ac:dyDescent="0.3">
      <c r="A2560" s="31"/>
      <c r="B2560">
        <f>COUNTIF(Equipamento_Tunel!$H$2:$H$158,A2560)</f>
        <v>0</v>
      </c>
    </row>
    <row r="2561" spans="1:2" x14ac:dyDescent="0.3">
      <c r="A2561" s="16"/>
      <c r="B2561">
        <f>COUNTIF(Equipamento_Tunel!$H$2:$H$158,A2561)</f>
        <v>0</v>
      </c>
    </row>
    <row r="2562" spans="1:2" x14ac:dyDescent="0.3">
      <c r="A2562" s="31"/>
      <c r="B2562">
        <f>COUNTIF(Equipamento_Tunel!$H$2:$H$158,A2562)</f>
        <v>0</v>
      </c>
    </row>
    <row r="2563" spans="1:2" x14ac:dyDescent="0.3">
      <c r="A2563" s="16"/>
      <c r="B2563">
        <f>COUNTIF(Equipamento_Tunel!$H$2:$H$158,A2563)</f>
        <v>0</v>
      </c>
    </row>
    <row r="2564" spans="1:2" x14ac:dyDescent="0.3">
      <c r="A2564" s="31"/>
      <c r="B2564">
        <f>COUNTIF(Equipamento_Tunel!$H$2:$H$158,A2564)</f>
        <v>0</v>
      </c>
    </row>
    <row r="2565" spans="1:2" x14ac:dyDescent="0.3">
      <c r="A2565" s="16"/>
      <c r="B2565">
        <f>COUNTIF(Equipamento_Tunel!$H$2:$H$158,A2565)</f>
        <v>0</v>
      </c>
    </row>
    <row r="2566" spans="1:2" x14ac:dyDescent="0.3">
      <c r="A2566" s="31"/>
      <c r="B2566">
        <f>COUNTIF(Equipamento_Tunel!$H$2:$H$158,A2566)</f>
        <v>0</v>
      </c>
    </row>
    <row r="2567" spans="1:2" x14ac:dyDescent="0.3">
      <c r="A2567" s="16"/>
      <c r="B2567">
        <f>COUNTIF(Equipamento_Tunel!$H$2:$H$158,A2567)</f>
        <v>0</v>
      </c>
    </row>
    <row r="2568" spans="1:2" x14ac:dyDescent="0.3">
      <c r="A2568" s="31"/>
      <c r="B2568">
        <f>COUNTIF(Equipamento_Tunel!$H$2:$H$158,A2568)</f>
        <v>0</v>
      </c>
    </row>
    <row r="2569" spans="1:2" x14ac:dyDescent="0.3">
      <c r="A2569" s="16"/>
      <c r="B2569">
        <f>COUNTIF(Equipamento_Tunel!$H$2:$H$158,A2569)</f>
        <v>0</v>
      </c>
    </row>
    <row r="2570" spans="1:2" x14ac:dyDescent="0.3">
      <c r="A2570" s="31"/>
      <c r="B2570">
        <f>COUNTIF(Equipamento_Tunel!$H$2:$H$158,A2570)</f>
        <v>0</v>
      </c>
    </row>
    <row r="2571" spans="1:2" x14ac:dyDescent="0.3">
      <c r="A2571" s="16"/>
      <c r="B2571">
        <f>COUNTIF(Equipamento_Tunel!$H$2:$H$158,A2571)</f>
        <v>0</v>
      </c>
    </row>
    <row r="2572" spans="1:2" x14ac:dyDescent="0.3">
      <c r="A2572" s="31"/>
      <c r="B2572">
        <f>COUNTIF(Equipamento_Tunel!$H$2:$H$158,A2572)</f>
        <v>0</v>
      </c>
    </row>
    <row r="2573" spans="1:2" x14ac:dyDescent="0.3">
      <c r="A2573" s="16"/>
      <c r="B2573">
        <f>COUNTIF(Equipamento_Tunel!$H$2:$H$158,A2573)</f>
        <v>0</v>
      </c>
    </row>
    <row r="2574" spans="1:2" x14ac:dyDescent="0.3">
      <c r="A2574" s="31"/>
      <c r="B2574">
        <f>COUNTIF(Equipamento_Tunel!$H$2:$H$158,A2574)</f>
        <v>0</v>
      </c>
    </row>
    <row r="2575" spans="1:2" x14ac:dyDescent="0.3">
      <c r="A2575" s="16"/>
      <c r="B2575">
        <f>COUNTIF(Equipamento_Tunel!$H$2:$H$158,A2575)</f>
        <v>0</v>
      </c>
    </row>
    <row r="2576" spans="1:2" x14ac:dyDescent="0.3">
      <c r="A2576" s="31"/>
      <c r="B2576">
        <f>COUNTIF(Equipamento_Tunel!$H$2:$H$158,A2576)</f>
        <v>0</v>
      </c>
    </row>
    <row r="2577" spans="1:2" x14ac:dyDescent="0.3">
      <c r="A2577" s="16"/>
      <c r="B2577">
        <f>COUNTIF(Equipamento_Tunel!$H$2:$H$158,A2577)</f>
        <v>0</v>
      </c>
    </row>
    <row r="2578" spans="1:2" x14ac:dyDescent="0.3">
      <c r="A2578" s="31"/>
      <c r="B2578">
        <f>COUNTIF(Equipamento_Tunel!$H$2:$H$158,A2578)</f>
        <v>0</v>
      </c>
    </row>
    <row r="2579" spans="1:2" x14ac:dyDescent="0.3">
      <c r="A2579" s="16"/>
      <c r="B2579">
        <f>COUNTIF(Equipamento_Tunel!$H$2:$H$158,A2579)</f>
        <v>0</v>
      </c>
    </row>
    <row r="2580" spans="1:2" x14ac:dyDescent="0.3">
      <c r="A2580" s="31"/>
      <c r="B2580">
        <f>COUNTIF(Equipamento_Tunel!$H$2:$H$158,A2580)</f>
        <v>0</v>
      </c>
    </row>
    <row r="2581" spans="1:2" x14ac:dyDescent="0.3">
      <c r="A2581" s="16"/>
      <c r="B2581">
        <f>COUNTIF(Equipamento_Tunel!$H$2:$H$158,A2581)</f>
        <v>0</v>
      </c>
    </row>
    <row r="2582" spans="1:2" x14ac:dyDescent="0.3">
      <c r="A2582" s="31"/>
      <c r="B2582">
        <f>COUNTIF(Equipamento_Tunel!$H$2:$H$158,A2582)</f>
        <v>0</v>
      </c>
    </row>
    <row r="2583" spans="1:2" x14ac:dyDescent="0.3">
      <c r="A2583" s="16"/>
      <c r="B2583">
        <f>COUNTIF(Equipamento_Tunel!$H$2:$H$158,A2583)</f>
        <v>0</v>
      </c>
    </row>
    <row r="2584" spans="1:2" x14ac:dyDescent="0.3">
      <c r="A2584" s="31"/>
      <c r="B2584">
        <f>COUNTIF(Equipamento_Tunel!$H$2:$H$158,A2584)</f>
        <v>0</v>
      </c>
    </row>
    <row r="2585" spans="1:2" x14ac:dyDescent="0.3">
      <c r="A2585" s="16"/>
      <c r="B2585">
        <f>COUNTIF(Equipamento_Tunel!$H$2:$H$158,A2585)</f>
        <v>0</v>
      </c>
    </row>
    <row r="2586" spans="1:2" x14ac:dyDescent="0.3">
      <c r="A2586" s="31"/>
      <c r="B2586">
        <f>COUNTIF(Equipamento_Tunel!$H$2:$H$158,A2586)</f>
        <v>0</v>
      </c>
    </row>
    <row r="2587" spans="1:2" x14ac:dyDescent="0.3">
      <c r="A2587" s="16"/>
      <c r="B2587">
        <f>COUNTIF(Equipamento_Tunel!$H$2:$H$158,A2587)</f>
        <v>0</v>
      </c>
    </row>
    <row r="2588" spans="1:2" x14ac:dyDescent="0.3">
      <c r="A2588" s="31"/>
      <c r="B2588">
        <f>COUNTIF(Equipamento_Tunel!$H$2:$H$158,A2588)</f>
        <v>0</v>
      </c>
    </row>
    <row r="2589" spans="1:2" x14ac:dyDescent="0.3">
      <c r="A2589" s="16"/>
      <c r="B2589">
        <f>COUNTIF(Equipamento_Tunel!$H$2:$H$158,A2589)</f>
        <v>0</v>
      </c>
    </row>
    <row r="2590" spans="1:2" x14ac:dyDescent="0.3">
      <c r="A2590" s="31"/>
      <c r="B2590">
        <f>COUNTIF(Equipamento_Tunel!$H$2:$H$158,A2590)</f>
        <v>0</v>
      </c>
    </row>
    <row r="2591" spans="1:2" x14ac:dyDescent="0.3">
      <c r="A2591" s="16"/>
      <c r="B2591">
        <f>COUNTIF(Equipamento_Tunel!$H$2:$H$158,A2591)</f>
        <v>0</v>
      </c>
    </row>
    <row r="2592" spans="1:2" x14ac:dyDescent="0.3">
      <c r="A2592" s="31"/>
      <c r="B2592">
        <f>COUNTIF(Equipamento_Tunel!$H$2:$H$158,A2592)</f>
        <v>0</v>
      </c>
    </row>
    <row r="2593" spans="1:2" x14ac:dyDescent="0.3">
      <c r="A2593" s="16"/>
      <c r="B2593">
        <f>COUNTIF(Equipamento_Tunel!$H$2:$H$158,A2593)</f>
        <v>0</v>
      </c>
    </row>
    <row r="2594" spans="1:2" x14ac:dyDescent="0.3">
      <c r="A2594" s="31"/>
      <c r="B2594">
        <f>COUNTIF(Equipamento_Tunel!$H$2:$H$158,A2594)</f>
        <v>0</v>
      </c>
    </row>
    <row r="2595" spans="1:2" x14ac:dyDescent="0.3">
      <c r="A2595" s="16"/>
      <c r="B2595">
        <f>COUNTIF(Equipamento_Tunel!$H$2:$H$158,A2595)</f>
        <v>0</v>
      </c>
    </row>
    <row r="2596" spans="1:2" x14ac:dyDescent="0.3">
      <c r="A2596" s="31"/>
      <c r="B2596">
        <f>COUNTIF(Equipamento_Tunel!$H$2:$H$158,A2596)</f>
        <v>0</v>
      </c>
    </row>
    <row r="2597" spans="1:2" x14ac:dyDescent="0.3">
      <c r="A2597" s="16"/>
      <c r="B2597">
        <f>COUNTIF(Equipamento_Tunel!$H$2:$H$158,A2597)</f>
        <v>0</v>
      </c>
    </row>
    <row r="2598" spans="1:2" x14ac:dyDescent="0.3">
      <c r="A2598" s="31"/>
      <c r="B2598">
        <f>COUNTIF(Equipamento_Tunel!$H$2:$H$158,A2598)</f>
        <v>0</v>
      </c>
    </row>
    <row r="2599" spans="1:2" x14ac:dyDescent="0.3">
      <c r="A2599" s="16"/>
      <c r="B2599">
        <f>COUNTIF(Equipamento_Tunel!$H$2:$H$158,A2599)</f>
        <v>0</v>
      </c>
    </row>
    <row r="2600" spans="1:2" x14ac:dyDescent="0.3">
      <c r="A2600" s="31"/>
      <c r="B2600">
        <f>COUNTIF(Equipamento_Tunel!$H$2:$H$158,A2600)</f>
        <v>0</v>
      </c>
    </row>
    <row r="2601" spans="1:2" x14ac:dyDescent="0.3">
      <c r="A2601" s="16"/>
      <c r="B2601">
        <f>COUNTIF(Equipamento_Tunel!$H$2:$H$158,A2601)</f>
        <v>0</v>
      </c>
    </row>
    <row r="2602" spans="1:2" x14ac:dyDescent="0.3">
      <c r="A2602" s="31"/>
      <c r="B2602">
        <f>COUNTIF(Equipamento_Tunel!$H$2:$H$158,A2602)</f>
        <v>0</v>
      </c>
    </row>
    <row r="2603" spans="1:2" x14ac:dyDescent="0.3">
      <c r="A2603" s="16"/>
      <c r="B2603">
        <f>COUNTIF(Equipamento_Tunel!$H$2:$H$158,A2603)</f>
        <v>0</v>
      </c>
    </row>
    <row r="2604" spans="1:2" x14ac:dyDescent="0.3">
      <c r="A2604" s="31"/>
      <c r="B2604">
        <f>COUNTIF(Equipamento_Tunel!$H$2:$H$158,A2604)</f>
        <v>0</v>
      </c>
    </row>
    <row r="2605" spans="1:2" x14ac:dyDescent="0.3">
      <c r="A2605" s="16"/>
      <c r="B2605">
        <f>COUNTIF(Equipamento_Tunel!$H$2:$H$158,A2605)</f>
        <v>0</v>
      </c>
    </row>
    <row r="2606" spans="1:2" x14ac:dyDescent="0.3">
      <c r="A2606" s="31"/>
      <c r="B2606">
        <f>COUNTIF(Equipamento_Tunel!$H$2:$H$158,A2606)</f>
        <v>0</v>
      </c>
    </row>
    <row r="2607" spans="1:2" x14ac:dyDescent="0.3">
      <c r="A2607" s="16"/>
      <c r="B2607">
        <f>COUNTIF(Equipamento_Tunel!$H$2:$H$158,A2607)</f>
        <v>0</v>
      </c>
    </row>
    <row r="2608" spans="1:2" x14ac:dyDescent="0.3">
      <c r="A2608" s="31"/>
      <c r="B2608">
        <f>COUNTIF(Equipamento_Tunel!$H$2:$H$158,A2608)</f>
        <v>0</v>
      </c>
    </row>
    <row r="2609" spans="1:2" x14ac:dyDescent="0.3">
      <c r="A2609" s="16"/>
      <c r="B2609">
        <f>COUNTIF(Equipamento_Tunel!$H$2:$H$158,A2609)</f>
        <v>0</v>
      </c>
    </row>
    <row r="2610" spans="1:2" x14ac:dyDescent="0.3">
      <c r="A2610" s="31"/>
      <c r="B2610">
        <f>COUNTIF(Equipamento_Tunel!$H$2:$H$158,A2610)</f>
        <v>0</v>
      </c>
    </row>
    <row r="2611" spans="1:2" x14ac:dyDescent="0.3">
      <c r="A2611" s="16"/>
      <c r="B2611">
        <f>COUNTIF(Equipamento_Tunel!$H$2:$H$158,A2611)</f>
        <v>0</v>
      </c>
    </row>
    <row r="2612" spans="1:2" x14ac:dyDescent="0.3">
      <c r="A2612" s="31"/>
      <c r="B2612">
        <f>COUNTIF(Equipamento_Tunel!$H$2:$H$158,A2612)</f>
        <v>0</v>
      </c>
    </row>
    <row r="2613" spans="1:2" x14ac:dyDescent="0.3">
      <c r="A2613" s="16"/>
      <c r="B2613">
        <f>COUNTIF(Equipamento_Tunel!$H$2:$H$158,A2613)</f>
        <v>0</v>
      </c>
    </row>
    <row r="2614" spans="1:2" x14ac:dyDescent="0.3">
      <c r="A2614" s="31"/>
      <c r="B2614">
        <f>COUNTIF(Equipamento_Tunel!$H$2:$H$158,A2614)</f>
        <v>0</v>
      </c>
    </row>
    <row r="2615" spans="1:2" x14ac:dyDescent="0.3">
      <c r="A2615" s="16"/>
      <c r="B2615">
        <f>COUNTIF(Equipamento_Tunel!$H$2:$H$158,A2615)</f>
        <v>0</v>
      </c>
    </row>
    <row r="2616" spans="1:2" x14ac:dyDescent="0.3">
      <c r="A2616" s="31"/>
      <c r="B2616">
        <f>COUNTIF(Equipamento_Tunel!$H$2:$H$158,A2616)</f>
        <v>0</v>
      </c>
    </row>
    <row r="2617" spans="1:2" x14ac:dyDescent="0.3">
      <c r="A2617" s="16"/>
      <c r="B2617">
        <f>COUNTIF(Equipamento_Tunel!$H$2:$H$158,A2617)</f>
        <v>0</v>
      </c>
    </row>
    <row r="2618" spans="1:2" x14ac:dyDescent="0.3">
      <c r="A2618" s="31"/>
      <c r="B2618">
        <f>COUNTIF(Equipamento_Tunel!$H$2:$H$158,A2618)</f>
        <v>0</v>
      </c>
    </row>
    <row r="2619" spans="1:2" x14ac:dyDescent="0.3">
      <c r="A2619" s="16"/>
      <c r="B2619">
        <f>COUNTIF(Equipamento_Tunel!$H$2:$H$158,A2619)</f>
        <v>0</v>
      </c>
    </row>
    <row r="2620" spans="1:2" x14ac:dyDescent="0.3">
      <c r="A2620" s="31"/>
      <c r="B2620">
        <f>COUNTIF(Equipamento_Tunel!$H$2:$H$158,A2620)</f>
        <v>0</v>
      </c>
    </row>
    <row r="2621" spans="1:2" x14ac:dyDescent="0.3">
      <c r="A2621" s="16"/>
      <c r="B2621">
        <f>COUNTIF(Equipamento_Tunel!$H$2:$H$158,A2621)</f>
        <v>0</v>
      </c>
    </row>
    <row r="2622" spans="1:2" x14ac:dyDescent="0.3">
      <c r="A2622" s="31"/>
      <c r="B2622">
        <f>COUNTIF(Equipamento_Tunel!$H$2:$H$158,A2622)</f>
        <v>0</v>
      </c>
    </row>
    <row r="2623" spans="1:2" x14ac:dyDescent="0.3">
      <c r="A2623" s="16"/>
      <c r="B2623">
        <f>COUNTIF(Equipamento_Tunel!$H$2:$H$158,A2623)</f>
        <v>0</v>
      </c>
    </row>
    <row r="2624" spans="1:2" x14ac:dyDescent="0.3">
      <c r="A2624" s="31"/>
      <c r="B2624">
        <f>COUNTIF(Equipamento_Tunel!$H$2:$H$158,A2624)</f>
        <v>0</v>
      </c>
    </row>
    <row r="2625" spans="1:2" x14ac:dyDescent="0.3">
      <c r="A2625" s="16"/>
      <c r="B2625">
        <f>COUNTIF(Equipamento_Tunel!$H$2:$H$158,A2625)</f>
        <v>0</v>
      </c>
    </row>
    <row r="2626" spans="1:2" x14ac:dyDescent="0.3">
      <c r="A2626" s="31"/>
      <c r="B2626">
        <f>COUNTIF(Equipamento_Tunel!$H$2:$H$158,A2626)</f>
        <v>0</v>
      </c>
    </row>
    <row r="2627" spans="1:2" x14ac:dyDescent="0.3">
      <c r="A2627" s="16"/>
      <c r="B2627">
        <f>COUNTIF(Equipamento_Tunel!$H$2:$H$158,A2627)</f>
        <v>0</v>
      </c>
    </row>
    <row r="2628" spans="1:2" x14ac:dyDescent="0.3">
      <c r="A2628" s="31"/>
      <c r="B2628">
        <f>COUNTIF(Equipamento_Tunel!$H$2:$H$158,A2628)</f>
        <v>0</v>
      </c>
    </row>
    <row r="2629" spans="1:2" x14ac:dyDescent="0.3">
      <c r="A2629" s="16"/>
      <c r="B2629">
        <f>COUNTIF(Equipamento_Tunel!$H$2:$H$158,A2629)</f>
        <v>0</v>
      </c>
    </row>
    <row r="2630" spans="1:2" x14ac:dyDescent="0.3">
      <c r="A2630" s="31"/>
      <c r="B2630">
        <f>COUNTIF(Equipamento_Tunel!$H$2:$H$158,A2630)</f>
        <v>0</v>
      </c>
    </row>
    <row r="2631" spans="1:2" x14ac:dyDescent="0.3">
      <c r="A2631" s="16"/>
      <c r="B2631">
        <f>COUNTIF(Equipamento_Tunel!$H$2:$H$158,A2631)</f>
        <v>0</v>
      </c>
    </row>
    <row r="2632" spans="1:2" x14ac:dyDescent="0.3">
      <c r="A2632" s="31"/>
      <c r="B2632">
        <f>COUNTIF(Equipamento_Tunel!$H$2:$H$158,A2632)</f>
        <v>0</v>
      </c>
    </row>
    <row r="2633" spans="1:2" x14ac:dyDescent="0.3">
      <c r="A2633" s="16"/>
      <c r="B2633">
        <f>COUNTIF(Equipamento_Tunel!$H$2:$H$158,A2633)</f>
        <v>0</v>
      </c>
    </row>
    <row r="2634" spans="1:2" x14ac:dyDescent="0.3">
      <c r="A2634" s="31"/>
      <c r="B2634">
        <f>COUNTIF(Equipamento_Tunel!$H$2:$H$158,A2634)</f>
        <v>0</v>
      </c>
    </row>
    <row r="2635" spans="1:2" x14ac:dyDescent="0.3">
      <c r="A2635" s="16"/>
      <c r="B2635">
        <f>COUNTIF(Equipamento_Tunel!$H$2:$H$158,A2635)</f>
        <v>0</v>
      </c>
    </row>
    <row r="2636" spans="1:2" x14ac:dyDescent="0.3">
      <c r="A2636" s="31"/>
      <c r="B2636">
        <f>COUNTIF(Equipamento_Tunel!$H$2:$H$158,A2636)</f>
        <v>0</v>
      </c>
    </row>
    <row r="2637" spans="1:2" x14ac:dyDescent="0.3">
      <c r="A2637" s="16"/>
      <c r="B2637">
        <f>COUNTIF(Equipamento_Tunel!$H$2:$H$158,A2637)</f>
        <v>0</v>
      </c>
    </row>
    <row r="2638" spans="1:2" x14ac:dyDescent="0.3">
      <c r="A2638" s="31"/>
      <c r="B2638">
        <f>COUNTIF(Equipamento_Tunel!$H$2:$H$158,A2638)</f>
        <v>0</v>
      </c>
    </row>
    <row r="2639" spans="1:2" x14ac:dyDescent="0.3">
      <c r="A2639" s="16"/>
      <c r="B2639">
        <f>COUNTIF(Equipamento_Tunel!$H$2:$H$158,A2639)</f>
        <v>0</v>
      </c>
    </row>
    <row r="2640" spans="1:2" x14ac:dyDescent="0.3">
      <c r="A2640" s="31"/>
      <c r="B2640">
        <f>COUNTIF(Equipamento_Tunel!$H$2:$H$158,A2640)</f>
        <v>0</v>
      </c>
    </row>
    <row r="2641" spans="1:2" x14ac:dyDescent="0.3">
      <c r="A2641" s="16"/>
      <c r="B2641">
        <f>COUNTIF(Equipamento_Tunel!$H$2:$H$158,A2641)</f>
        <v>0</v>
      </c>
    </row>
    <row r="2642" spans="1:2" x14ac:dyDescent="0.3">
      <c r="A2642" s="31"/>
      <c r="B2642">
        <f>COUNTIF(Equipamento_Tunel!$H$2:$H$158,A2642)</f>
        <v>0</v>
      </c>
    </row>
    <row r="2643" spans="1:2" x14ac:dyDescent="0.3">
      <c r="A2643" s="16"/>
      <c r="B2643">
        <f>COUNTIF(Equipamento_Tunel!$H$2:$H$158,A2643)</f>
        <v>0</v>
      </c>
    </row>
    <row r="2644" spans="1:2" x14ac:dyDescent="0.3">
      <c r="A2644" s="31"/>
      <c r="B2644">
        <f>COUNTIF(Equipamento_Tunel!$H$2:$H$158,A2644)</f>
        <v>0</v>
      </c>
    </row>
    <row r="2645" spans="1:2" x14ac:dyDescent="0.3">
      <c r="A2645" s="16"/>
      <c r="B2645">
        <f>COUNTIF(Equipamento_Tunel!$H$2:$H$158,A2645)</f>
        <v>0</v>
      </c>
    </row>
    <row r="2646" spans="1:2" x14ac:dyDescent="0.3">
      <c r="A2646" s="31"/>
      <c r="B2646">
        <f>COUNTIF(Equipamento_Tunel!$H$2:$H$158,A2646)</f>
        <v>0</v>
      </c>
    </row>
    <row r="2647" spans="1:2" x14ac:dyDescent="0.3">
      <c r="A2647" s="16"/>
      <c r="B2647">
        <f>COUNTIF(Equipamento_Tunel!$H$2:$H$158,A2647)</f>
        <v>0</v>
      </c>
    </row>
    <row r="2648" spans="1:2" x14ac:dyDescent="0.3">
      <c r="A2648" s="31"/>
      <c r="B2648">
        <f>COUNTIF(Equipamento_Tunel!$H$2:$H$158,A2648)</f>
        <v>0</v>
      </c>
    </row>
    <row r="2649" spans="1:2" x14ac:dyDescent="0.3">
      <c r="A2649" s="16"/>
      <c r="B2649">
        <f>COUNTIF(Equipamento_Tunel!$H$2:$H$158,A2649)</f>
        <v>0</v>
      </c>
    </row>
    <row r="2650" spans="1:2" x14ac:dyDescent="0.3">
      <c r="A2650" s="31"/>
      <c r="B2650">
        <f>COUNTIF(Equipamento_Tunel!$H$2:$H$158,A2650)</f>
        <v>0</v>
      </c>
    </row>
    <row r="2651" spans="1:2" x14ac:dyDescent="0.3">
      <c r="A2651" s="16"/>
      <c r="B2651">
        <f>COUNTIF(Equipamento_Tunel!$H$2:$H$158,A2651)</f>
        <v>0</v>
      </c>
    </row>
    <row r="2652" spans="1:2" x14ac:dyDescent="0.3">
      <c r="A2652" s="31"/>
      <c r="B2652">
        <f>COUNTIF(Equipamento_Tunel!$H$2:$H$158,A2652)</f>
        <v>0</v>
      </c>
    </row>
    <row r="2653" spans="1:2" x14ac:dyDescent="0.3">
      <c r="A2653" s="16"/>
      <c r="B2653">
        <f>COUNTIF(Equipamento_Tunel!$H$2:$H$158,A2653)</f>
        <v>0</v>
      </c>
    </row>
    <row r="2654" spans="1:2" x14ac:dyDescent="0.3">
      <c r="A2654" s="31"/>
      <c r="B2654">
        <f>COUNTIF(Equipamento_Tunel!$H$2:$H$158,A2654)</f>
        <v>0</v>
      </c>
    </row>
    <row r="2655" spans="1:2" x14ac:dyDescent="0.3">
      <c r="A2655" s="16"/>
      <c r="B2655">
        <f>COUNTIF(Equipamento_Tunel!$H$2:$H$158,A2655)</f>
        <v>0</v>
      </c>
    </row>
    <row r="2656" spans="1:2" x14ac:dyDescent="0.3">
      <c r="A2656" s="31"/>
      <c r="B2656">
        <f>COUNTIF(Equipamento_Tunel!$H$2:$H$158,A2656)</f>
        <v>0</v>
      </c>
    </row>
    <row r="2657" spans="1:2" x14ac:dyDescent="0.3">
      <c r="A2657" s="16"/>
      <c r="B2657">
        <f>COUNTIF(Equipamento_Tunel!$H$2:$H$158,A2657)</f>
        <v>0</v>
      </c>
    </row>
    <row r="2658" spans="1:2" x14ac:dyDescent="0.3">
      <c r="A2658" s="31"/>
      <c r="B2658">
        <f>COUNTIF(Equipamento_Tunel!$H$2:$H$158,A2658)</f>
        <v>0</v>
      </c>
    </row>
    <row r="2659" spans="1:2" x14ac:dyDescent="0.3">
      <c r="A2659" s="16"/>
      <c r="B2659">
        <f>COUNTIF(Equipamento_Tunel!$H$2:$H$158,A2659)</f>
        <v>0</v>
      </c>
    </row>
    <row r="2660" spans="1:2" x14ac:dyDescent="0.3">
      <c r="A2660" s="31"/>
      <c r="B2660">
        <f>COUNTIF(Equipamento_Tunel!$H$2:$H$158,A2660)</f>
        <v>0</v>
      </c>
    </row>
    <row r="2661" spans="1:2" x14ac:dyDescent="0.3">
      <c r="A2661" s="16"/>
      <c r="B2661">
        <f>COUNTIF(Equipamento_Tunel!$H$2:$H$158,A2661)</f>
        <v>0</v>
      </c>
    </row>
    <row r="2662" spans="1:2" x14ac:dyDescent="0.3">
      <c r="A2662" s="31"/>
      <c r="B2662">
        <f>COUNTIF(Equipamento_Tunel!$H$2:$H$158,A2662)</f>
        <v>0</v>
      </c>
    </row>
    <row r="2663" spans="1:2" x14ac:dyDescent="0.3">
      <c r="A2663" s="16"/>
      <c r="B2663">
        <f>COUNTIF(Equipamento_Tunel!$H$2:$H$158,A2663)</f>
        <v>0</v>
      </c>
    </row>
    <row r="2664" spans="1:2" x14ac:dyDescent="0.3">
      <c r="A2664" s="31"/>
      <c r="B2664">
        <f>COUNTIF(Equipamento_Tunel!$H$2:$H$158,A2664)</f>
        <v>0</v>
      </c>
    </row>
    <row r="2665" spans="1:2" x14ac:dyDescent="0.3">
      <c r="A2665" s="16"/>
      <c r="B2665">
        <f>COUNTIF(Equipamento_Tunel!$H$2:$H$158,A2665)</f>
        <v>0</v>
      </c>
    </row>
    <row r="2666" spans="1:2" x14ac:dyDescent="0.3">
      <c r="A2666" s="31"/>
      <c r="B2666">
        <f>COUNTIF(Equipamento_Tunel!$H$2:$H$158,A2666)</f>
        <v>0</v>
      </c>
    </row>
    <row r="2667" spans="1:2" x14ac:dyDescent="0.3">
      <c r="A2667" s="16"/>
      <c r="B2667">
        <f>COUNTIF(Equipamento_Tunel!$H$2:$H$158,A2667)</f>
        <v>0</v>
      </c>
    </row>
    <row r="2668" spans="1:2" x14ac:dyDescent="0.3">
      <c r="A2668" s="31"/>
      <c r="B2668">
        <f>COUNTIF(Equipamento_Tunel!$H$2:$H$158,A2668)</f>
        <v>0</v>
      </c>
    </row>
    <row r="2669" spans="1:2" x14ac:dyDescent="0.3">
      <c r="A2669" s="16"/>
      <c r="B2669">
        <f>COUNTIF(Equipamento_Tunel!$H$2:$H$158,A2669)</f>
        <v>0</v>
      </c>
    </row>
    <row r="2670" spans="1:2" x14ac:dyDescent="0.3">
      <c r="A2670" s="31"/>
      <c r="B2670">
        <f>COUNTIF(Equipamento_Tunel!$H$2:$H$158,A2670)</f>
        <v>0</v>
      </c>
    </row>
    <row r="2671" spans="1:2" x14ac:dyDescent="0.3">
      <c r="A2671" s="16"/>
      <c r="B2671">
        <f>COUNTIF(Equipamento_Tunel!$H$2:$H$158,A2671)</f>
        <v>0</v>
      </c>
    </row>
    <row r="2672" spans="1:2" x14ac:dyDescent="0.3">
      <c r="A2672" s="31"/>
      <c r="B2672">
        <f>COUNTIF(Equipamento_Tunel!$H$2:$H$158,A2672)</f>
        <v>0</v>
      </c>
    </row>
    <row r="2673" spans="1:2" x14ac:dyDescent="0.3">
      <c r="A2673" s="16"/>
      <c r="B2673">
        <f>COUNTIF(Equipamento_Tunel!$H$2:$H$158,A2673)</f>
        <v>0</v>
      </c>
    </row>
    <row r="2674" spans="1:2" x14ac:dyDescent="0.3">
      <c r="A2674" s="31"/>
      <c r="B2674">
        <f>COUNTIF(Equipamento_Tunel!$H$2:$H$158,A2674)</f>
        <v>0</v>
      </c>
    </row>
    <row r="2675" spans="1:2" x14ac:dyDescent="0.3">
      <c r="A2675" s="16"/>
      <c r="B2675">
        <f>COUNTIF(Equipamento_Tunel!$H$2:$H$158,A2675)</f>
        <v>0</v>
      </c>
    </row>
    <row r="2676" spans="1:2" x14ac:dyDescent="0.3">
      <c r="A2676" s="31"/>
      <c r="B2676">
        <f>COUNTIF(Equipamento_Tunel!$H$2:$H$158,A2676)</f>
        <v>0</v>
      </c>
    </row>
    <row r="2677" spans="1:2" x14ac:dyDescent="0.3">
      <c r="A2677" s="16"/>
      <c r="B2677">
        <f>COUNTIF(Equipamento_Tunel!$H$2:$H$158,A2677)</f>
        <v>0</v>
      </c>
    </row>
    <row r="2678" spans="1:2" x14ac:dyDescent="0.3">
      <c r="A2678" s="31"/>
      <c r="B2678">
        <f>COUNTIF(Equipamento_Tunel!$H$2:$H$158,A2678)</f>
        <v>0</v>
      </c>
    </row>
    <row r="2679" spans="1:2" x14ac:dyDescent="0.3">
      <c r="A2679" s="16"/>
      <c r="B2679">
        <f>COUNTIF(Equipamento_Tunel!$H$2:$H$158,A2679)</f>
        <v>0</v>
      </c>
    </row>
    <row r="2680" spans="1:2" x14ac:dyDescent="0.3">
      <c r="A2680" s="31"/>
      <c r="B2680">
        <f>COUNTIF(Equipamento_Tunel!$H$2:$H$158,A2680)</f>
        <v>0</v>
      </c>
    </row>
    <row r="2681" spans="1:2" x14ac:dyDescent="0.3">
      <c r="A2681" s="16"/>
      <c r="B2681">
        <f>COUNTIF(Equipamento_Tunel!$H$2:$H$158,A2681)</f>
        <v>0</v>
      </c>
    </row>
    <row r="2682" spans="1:2" x14ac:dyDescent="0.3">
      <c r="A2682" s="31"/>
      <c r="B2682">
        <f>COUNTIF(Equipamento_Tunel!$H$2:$H$158,A2682)</f>
        <v>0</v>
      </c>
    </row>
    <row r="2683" spans="1:2" x14ac:dyDescent="0.3">
      <c r="A2683" s="16"/>
      <c r="B2683">
        <f>COUNTIF(Equipamento_Tunel!$H$2:$H$158,A2683)</f>
        <v>0</v>
      </c>
    </row>
    <row r="2684" spans="1:2" x14ac:dyDescent="0.3">
      <c r="A2684" s="31"/>
      <c r="B2684">
        <f>COUNTIF(Equipamento_Tunel!$H$2:$H$158,A2684)</f>
        <v>0</v>
      </c>
    </row>
    <row r="2685" spans="1:2" x14ac:dyDescent="0.3">
      <c r="A2685" s="16"/>
      <c r="B2685">
        <f>COUNTIF(Equipamento_Tunel!$H$2:$H$158,A2685)</f>
        <v>0</v>
      </c>
    </row>
    <row r="2686" spans="1:2" x14ac:dyDescent="0.3">
      <c r="A2686" s="31"/>
      <c r="B2686">
        <f>COUNTIF(Equipamento_Tunel!$H$2:$H$158,A2686)</f>
        <v>0</v>
      </c>
    </row>
    <row r="2687" spans="1:2" x14ac:dyDescent="0.3">
      <c r="A2687" s="16"/>
      <c r="B2687">
        <f>COUNTIF(Equipamento_Tunel!$H$2:$H$158,A2687)</f>
        <v>0</v>
      </c>
    </row>
    <row r="2688" spans="1:2" x14ac:dyDescent="0.3">
      <c r="A2688" s="31"/>
      <c r="B2688">
        <f>COUNTIF(Equipamento_Tunel!$H$2:$H$158,A2688)</f>
        <v>0</v>
      </c>
    </row>
    <row r="2689" spans="1:2" x14ac:dyDescent="0.3">
      <c r="A2689" s="16"/>
      <c r="B2689">
        <f>COUNTIF(Equipamento_Tunel!$H$2:$H$158,A2689)</f>
        <v>0</v>
      </c>
    </row>
    <row r="2690" spans="1:2" x14ac:dyDescent="0.3">
      <c r="A2690" s="31"/>
      <c r="B2690">
        <f>COUNTIF(Equipamento_Tunel!$H$2:$H$158,A2690)</f>
        <v>0</v>
      </c>
    </row>
    <row r="2691" spans="1:2" x14ac:dyDescent="0.3">
      <c r="A2691" s="16"/>
      <c r="B2691">
        <f>COUNTIF(Equipamento_Tunel!$H$2:$H$158,A2691)</f>
        <v>0</v>
      </c>
    </row>
    <row r="2692" spans="1:2" x14ac:dyDescent="0.3">
      <c r="A2692" s="31"/>
      <c r="B2692">
        <f>COUNTIF(Equipamento_Tunel!$H$2:$H$158,A2692)</f>
        <v>0</v>
      </c>
    </row>
    <row r="2693" spans="1:2" x14ac:dyDescent="0.3">
      <c r="A2693" s="16"/>
      <c r="B2693">
        <f>COUNTIF(Equipamento_Tunel!$H$2:$H$158,A2693)</f>
        <v>0</v>
      </c>
    </row>
    <row r="2694" spans="1:2" x14ac:dyDescent="0.3">
      <c r="A2694" s="31"/>
      <c r="B2694">
        <f>COUNTIF(Equipamento_Tunel!$H$2:$H$158,A2694)</f>
        <v>0</v>
      </c>
    </row>
    <row r="2695" spans="1:2" x14ac:dyDescent="0.3">
      <c r="A2695" s="16"/>
      <c r="B2695">
        <f>COUNTIF(Equipamento_Tunel!$H$2:$H$158,A2695)</f>
        <v>0</v>
      </c>
    </row>
    <row r="2696" spans="1:2" x14ac:dyDescent="0.3">
      <c r="A2696" s="31"/>
      <c r="B2696">
        <f>COUNTIF(Equipamento_Tunel!$H$2:$H$158,A2696)</f>
        <v>0</v>
      </c>
    </row>
    <row r="2697" spans="1:2" x14ac:dyDescent="0.3">
      <c r="A2697" s="16"/>
      <c r="B2697">
        <f>COUNTIF(Equipamento_Tunel!$H$2:$H$158,A2697)</f>
        <v>0</v>
      </c>
    </row>
    <row r="2698" spans="1:2" x14ac:dyDescent="0.3">
      <c r="A2698" s="31"/>
      <c r="B2698">
        <f>COUNTIF(Equipamento_Tunel!$H$2:$H$158,A2698)</f>
        <v>0</v>
      </c>
    </row>
    <row r="2699" spans="1:2" x14ac:dyDescent="0.3">
      <c r="A2699" s="16"/>
      <c r="B2699">
        <f>COUNTIF(Equipamento_Tunel!$H$2:$H$158,A2699)</f>
        <v>0</v>
      </c>
    </row>
    <row r="2700" spans="1:2" x14ac:dyDescent="0.3">
      <c r="A2700" s="31"/>
      <c r="B2700">
        <f>COUNTIF(Equipamento_Tunel!$H$2:$H$158,A2700)</f>
        <v>0</v>
      </c>
    </row>
    <row r="2701" spans="1:2" x14ac:dyDescent="0.3">
      <c r="A2701" s="16"/>
      <c r="B2701">
        <f>COUNTIF(Equipamento_Tunel!$H$2:$H$158,A2701)</f>
        <v>0</v>
      </c>
    </row>
    <row r="2702" spans="1:2" x14ac:dyDescent="0.3">
      <c r="A2702" s="31"/>
      <c r="B2702">
        <f>COUNTIF(Equipamento_Tunel!$H$2:$H$158,A2702)</f>
        <v>0</v>
      </c>
    </row>
    <row r="2703" spans="1:2" x14ac:dyDescent="0.3">
      <c r="A2703" s="16"/>
      <c r="B2703">
        <f>COUNTIF(Equipamento_Tunel!$H$2:$H$158,A2703)</f>
        <v>0</v>
      </c>
    </row>
    <row r="2704" spans="1:2" x14ac:dyDescent="0.3">
      <c r="A2704" s="31"/>
      <c r="B2704">
        <f>COUNTIF(Equipamento_Tunel!$H$2:$H$158,A2704)</f>
        <v>0</v>
      </c>
    </row>
    <row r="2705" spans="1:2" x14ac:dyDescent="0.3">
      <c r="A2705" s="16"/>
      <c r="B2705">
        <f>COUNTIF(Equipamento_Tunel!$H$2:$H$158,A2705)</f>
        <v>0</v>
      </c>
    </row>
    <row r="2706" spans="1:2" x14ac:dyDescent="0.3">
      <c r="A2706" s="31"/>
      <c r="B2706">
        <f>COUNTIF(Equipamento_Tunel!$H$2:$H$158,A2706)</f>
        <v>0</v>
      </c>
    </row>
    <row r="2707" spans="1:2" x14ac:dyDescent="0.3">
      <c r="A2707" s="16"/>
      <c r="B2707">
        <f>COUNTIF(Equipamento_Tunel!$H$2:$H$158,A2707)</f>
        <v>0</v>
      </c>
    </row>
    <row r="2708" spans="1:2" x14ac:dyDescent="0.3">
      <c r="A2708" s="31"/>
      <c r="B2708">
        <f>COUNTIF(Equipamento_Tunel!$H$2:$H$158,A2708)</f>
        <v>0</v>
      </c>
    </row>
    <row r="2709" spans="1:2" x14ac:dyDescent="0.3">
      <c r="A2709" s="16"/>
      <c r="B2709">
        <f>COUNTIF(Equipamento_Tunel!$H$2:$H$158,A2709)</f>
        <v>0</v>
      </c>
    </row>
    <row r="2710" spans="1:2" x14ac:dyDescent="0.3">
      <c r="A2710" s="31"/>
      <c r="B2710">
        <f>COUNTIF(Equipamento_Tunel!$H$2:$H$158,A2710)</f>
        <v>0</v>
      </c>
    </row>
    <row r="2711" spans="1:2" x14ac:dyDescent="0.3">
      <c r="A2711" s="16"/>
      <c r="B2711">
        <f>COUNTIF(Equipamento_Tunel!$H$2:$H$158,A2711)</f>
        <v>0</v>
      </c>
    </row>
    <row r="2712" spans="1:2" x14ac:dyDescent="0.3">
      <c r="A2712" s="31"/>
      <c r="B2712">
        <f>COUNTIF(Equipamento_Tunel!$H$2:$H$158,A2712)</f>
        <v>0</v>
      </c>
    </row>
    <row r="2713" spans="1:2" x14ac:dyDescent="0.3">
      <c r="A2713" s="16"/>
      <c r="B2713">
        <f>COUNTIF(Equipamento_Tunel!$H$2:$H$158,A2713)</f>
        <v>0</v>
      </c>
    </row>
    <row r="2714" spans="1:2" x14ac:dyDescent="0.3">
      <c r="A2714" s="31"/>
      <c r="B2714">
        <f>COUNTIF(Equipamento_Tunel!$H$2:$H$158,A2714)</f>
        <v>0</v>
      </c>
    </row>
    <row r="2715" spans="1:2" x14ac:dyDescent="0.3">
      <c r="A2715" s="16"/>
      <c r="B2715">
        <f>COUNTIF(Equipamento_Tunel!$H$2:$H$158,A2715)</f>
        <v>0</v>
      </c>
    </row>
    <row r="2716" spans="1:2" x14ac:dyDescent="0.3">
      <c r="A2716" s="31"/>
      <c r="B2716">
        <f>COUNTIF(Equipamento_Tunel!$H$2:$H$158,A2716)</f>
        <v>0</v>
      </c>
    </row>
    <row r="2717" spans="1:2" x14ac:dyDescent="0.3">
      <c r="A2717" s="16"/>
      <c r="B2717">
        <f>COUNTIF(Equipamento_Tunel!$H$2:$H$158,A2717)</f>
        <v>0</v>
      </c>
    </row>
    <row r="2718" spans="1:2" x14ac:dyDescent="0.3">
      <c r="A2718" s="31"/>
      <c r="B2718">
        <f>COUNTIF(Equipamento_Tunel!$H$2:$H$158,A2718)</f>
        <v>0</v>
      </c>
    </row>
    <row r="2719" spans="1:2" x14ac:dyDescent="0.3">
      <c r="A2719" s="16"/>
      <c r="B2719">
        <f>COUNTIF(Equipamento_Tunel!$H$2:$H$158,A2719)</f>
        <v>0</v>
      </c>
    </row>
    <row r="2720" spans="1:2" x14ac:dyDescent="0.3">
      <c r="A2720" s="31"/>
      <c r="B2720">
        <f>COUNTIF(Equipamento_Tunel!$H$2:$H$158,A2720)</f>
        <v>0</v>
      </c>
    </row>
    <row r="2721" spans="1:2" x14ac:dyDescent="0.3">
      <c r="A2721" s="16"/>
      <c r="B2721">
        <f>COUNTIF(Equipamento_Tunel!$H$2:$H$158,A2721)</f>
        <v>0</v>
      </c>
    </row>
    <row r="2722" spans="1:2" x14ac:dyDescent="0.3">
      <c r="A2722" s="31"/>
      <c r="B2722">
        <f>COUNTIF(Equipamento_Tunel!$H$2:$H$158,A2722)</f>
        <v>0</v>
      </c>
    </row>
    <row r="2723" spans="1:2" x14ac:dyDescent="0.3">
      <c r="A2723" s="16"/>
      <c r="B2723">
        <f>COUNTIF(Equipamento_Tunel!$H$2:$H$158,A2723)</f>
        <v>0</v>
      </c>
    </row>
    <row r="2724" spans="1:2" x14ac:dyDescent="0.3">
      <c r="A2724" s="31"/>
      <c r="B2724">
        <f>COUNTIF(Equipamento_Tunel!$H$2:$H$158,A2724)</f>
        <v>0</v>
      </c>
    </row>
    <row r="2725" spans="1:2" x14ac:dyDescent="0.3">
      <c r="A2725" s="16"/>
      <c r="B2725">
        <f>COUNTIF(Equipamento_Tunel!$H$2:$H$158,A2725)</f>
        <v>0</v>
      </c>
    </row>
    <row r="2726" spans="1:2" x14ac:dyDescent="0.3">
      <c r="A2726" s="31"/>
      <c r="B2726">
        <f>COUNTIF(Equipamento_Tunel!$H$2:$H$158,A2726)</f>
        <v>0</v>
      </c>
    </row>
    <row r="2727" spans="1:2" x14ac:dyDescent="0.3">
      <c r="A2727" s="16"/>
      <c r="B2727">
        <f>COUNTIF(Equipamento_Tunel!$H$2:$H$158,A2727)</f>
        <v>0</v>
      </c>
    </row>
    <row r="2728" spans="1:2" x14ac:dyDescent="0.3">
      <c r="A2728" s="31"/>
      <c r="B2728">
        <f>COUNTIF(Equipamento_Tunel!$H$2:$H$158,A2728)</f>
        <v>0</v>
      </c>
    </row>
    <row r="2729" spans="1:2" x14ac:dyDescent="0.3">
      <c r="A2729" s="16"/>
      <c r="B2729">
        <f>COUNTIF(Equipamento_Tunel!$H$2:$H$158,A2729)</f>
        <v>0</v>
      </c>
    </row>
    <row r="2730" spans="1:2" x14ac:dyDescent="0.3">
      <c r="A2730" s="31"/>
      <c r="B2730">
        <f>COUNTIF(Equipamento_Tunel!$H$2:$H$158,A2730)</f>
        <v>0</v>
      </c>
    </row>
    <row r="2731" spans="1:2" x14ac:dyDescent="0.3">
      <c r="A2731" s="16"/>
      <c r="B2731">
        <f>COUNTIF(Equipamento_Tunel!$H$2:$H$158,A2731)</f>
        <v>0</v>
      </c>
    </row>
    <row r="2732" spans="1:2" x14ac:dyDescent="0.3">
      <c r="A2732" s="31"/>
      <c r="B2732">
        <f>COUNTIF(Equipamento_Tunel!$H$2:$H$158,A2732)</f>
        <v>0</v>
      </c>
    </row>
    <row r="2733" spans="1:2" x14ac:dyDescent="0.3">
      <c r="A2733" s="16"/>
      <c r="B2733">
        <f>COUNTIF(Equipamento_Tunel!$H$2:$H$158,A2733)</f>
        <v>0</v>
      </c>
    </row>
    <row r="2734" spans="1:2" x14ac:dyDescent="0.3">
      <c r="A2734" s="31"/>
      <c r="B2734">
        <f>COUNTIF(Equipamento_Tunel!$H$2:$H$158,A2734)</f>
        <v>0</v>
      </c>
    </row>
    <row r="2735" spans="1:2" x14ac:dyDescent="0.3">
      <c r="A2735" s="16"/>
      <c r="B2735">
        <f>COUNTIF(Equipamento_Tunel!$H$2:$H$158,A2735)</f>
        <v>0</v>
      </c>
    </row>
    <row r="2736" spans="1:2" x14ac:dyDescent="0.3">
      <c r="A2736" s="31"/>
      <c r="B2736">
        <f>COUNTIF(Equipamento_Tunel!$H$2:$H$158,A2736)</f>
        <v>0</v>
      </c>
    </row>
    <row r="2737" spans="1:2" x14ac:dyDescent="0.3">
      <c r="A2737" s="16"/>
      <c r="B2737">
        <f>COUNTIF(Equipamento_Tunel!$H$2:$H$158,A2737)</f>
        <v>0</v>
      </c>
    </row>
    <row r="2738" spans="1:2" x14ac:dyDescent="0.3">
      <c r="A2738" s="31"/>
      <c r="B2738">
        <f>COUNTIF(Equipamento_Tunel!$H$2:$H$158,A2738)</f>
        <v>0</v>
      </c>
    </row>
    <row r="2739" spans="1:2" x14ac:dyDescent="0.3">
      <c r="A2739" s="16"/>
      <c r="B2739">
        <f>COUNTIF(Equipamento_Tunel!$H$2:$H$158,A2739)</f>
        <v>0</v>
      </c>
    </row>
    <row r="2740" spans="1:2" x14ac:dyDescent="0.3">
      <c r="A2740" s="31"/>
      <c r="B2740">
        <f>COUNTIF(Equipamento_Tunel!$H$2:$H$158,A2740)</f>
        <v>0</v>
      </c>
    </row>
    <row r="2741" spans="1:2" x14ac:dyDescent="0.3">
      <c r="A2741" s="16"/>
      <c r="B2741">
        <f>COUNTIF(Equipamento_Tunel!$H$2:$H$158,A2741)</f>
        <v>0</v>
      </c>
    </row>
    <row r="2742" spans="1:2" x14ac:dyDescent="0.3">
      <c r="A2742" s="31"/>
      <c r="B2742">
        <f>COUNTIF(Equipamento_Tunel!$H$2:$H$158,A2742)</f>
        <v>0</v>
      </c>
    </row>
    <row r="2743" spans="1:2" x14ac:dyDescent="0.3">
      <c r="A2743" s="16"/>
      <c r="B2743">
        <f>COUNTIF(Equipamento_Tunel!$H$2:$H$158,A2743)</f>
        <v>0</v>
      </c>
    </row>
    <row r="2744" spans="1:2" x14ac:dyDescent="0.3">
      <c r="A2744" s="31"/>
      <c r="B2744">
        <f>COUNTIF(Equipamento_Tunel!$H$2:$H$158,A2744)</f>
        <v>0</v>
      </c>
    </row>
    <row r="2745" spans="1:2" x14ac:dyDescent="0.3">
      <c r="A2745" s="16"/>
      <c r="B2745">
        <f>COUNTIF(Equipamento_Tunel!$H$2:$H$158,A2745)</f>
        <v>0</v>
      </c>
    </row>
    <row r="2746" spans="1:2" x14ac:dyDescent="0.3">
      <c r="A2746" s="31"/>
      <c r="B2746">
        <f>COUNTIF(Equipamento_Tunel!$H$2:$H$158,A2746)</f>
        <v>0</v>
      </c>
    </row>
    <row r="2747" spans="1:2" x14ac:dyDescent="0.3">
      <c r="A2747" s="16"/>
      <c r="B2747">
        <f>COUNTIF(Equipamento_Tunel!$H$2:$H$158,A2747)</f>
        <v>0</v>
      </c>
    </row>
    <row r="2748" spans="1:2" x14ac:dyDescent="0.3">
      <c r="A2748" s="31"/>
      <c r="B2748">
        <f>COUNTIF(Equipamento_Tunel!$H$2:$H$158,A2748)</f>
        <v>0</v>
      </c>
    </row>
    <row r="2749" spans="1:2" x14ac:dyDescent="0.3">
      <c r="A2749" s="16"/>
      <c r="B2749">
        <f>COUNTIF(Equipamento_Tunel!$H$2:$H$158,A2749)</f>
        <v>0</v>
      </c>
    </row>
    <row r="2750" spans="1:2" x14ac:dyDescent="0.3">
      <c r="A2750" s="31"/>
      <c r="B2750">
        <f>COUNTIF(Equipamento_Tunel!$H$2:$H$158,A2750)</f>
        <v>0</v>
      </c>
    </row>
    <row r="2751" spans="1:2" x14ac:dyDescent="0.3">
      <c r="A2751" s="16"/>
      <c r="B2751">
        <f>COUNTIF(Equipamento_Tunel!$H$2:$H$158,A2751)</f>
        <v>0</v>
      </c>
    </row>
    <row r="2752" spans="1:2" x14ac:dyDescent="0.3">
      <c r="A2752" s="31"/>
      <c r="B2752">
        <f>COUNTIF(Equipamento_Tunel!$H$2:$H$158,A2752)</f>
        <v>0</v>
      </c>
    </row>
    <row r="2753" spans="1:2" x14ac:dyDescent="0.3">
      <c r="A2753" s="16"/>
      <c r="B2753">
        <f>COUNTIF(Equipamento_Tunel!$H$2:$H$158,A2753)</f>
        <v>0</v>
      </c>
    </row>
    <row r="2754" spans="1:2" x14ac:dyDescent="0.3">
      <c r="A2754" s="31"/>
      <c r="B2754">
        <f>COUNTIF(Equipamento_Tunel!$H$2:$H$158,A2754)</f>
        <v>0</v>
      </c>
    </row>
    <row r="2755" spans="1:2" x14ac:dyDescent="0.3">
      <c r="A2755" s="16"/>
      <c r="B2755">
        <f>COUNTIF(Equipamento_Tunel!$H$2:$H$158,A2755)</f>
        <v>0</v>
      </c>
    </row>
    <row r="2756" spans="1:2" x14ac:dyDescent="0.3">
      <c r="A2756" s="31"/>
      <c r="B2756">
        <f>COUNTIF(Equipamento_Tunel!$H$2:$H$158,A2756)</f>
        <v>0</v>
      </c>
    </row>
    <row r="2757" spans="1:2" x14ac:dyDescent="0.3">
      <c r="A2757" s="16"/>
      <c r="B2757">
        <f>COUNTIF(Equipamento_Tunel!$H$2:$H$158,A2757)</f>
        <v>0</v>
      </c>
    </row>
    <row r="2758" spans="1:2" x14ac:dyDescent="0.3">
      <c r="A2758" s="31"/>
      <c r="B2758">
        <f>COUNTIF(Equipamento_Tunel!$H$2:$H$158,A2758)</f>
        <v>0</v>
      </c>
    </row>
    <row r="2759" spans="1:2" x14ac:dyDescent="0.3">
      <c r="A2759" s="16"/>
      <c r="B2759">
        <f>COUNTIF(Equipamento_Tunel!$H$2:$H$158,A2759)</f>
        <v>0</v>
      </c>
    </row>
    <row r="2760" spans="1:2" x14ac:dyDescent="0.3">
      <c r="A2760" s="31"/>
      <c r="B2760">
        <f>COUNTIF(Equipamento_Tunel!$H$2:$H$158,A2760)</f>
        <v>0</v>
      </c>
    </row>
    <row r="2761" spans="1:2" x14ac:dyDescent="0.3">
      <c r="A2761" s="16"/>
      <c r="B2761">
        <f>COUNTIF(Equipamento_Tunel!$H$2:$H$158,A2761)</f>
        <v>0</v>
      </c>
    </row>
    <row r="2762" spans="1:2" x14ac:dyDescent="0.3">
      <c r="A2762" s="31"/>
      <c r="B2762">
        <f>COUNTIF(Equipamento_Tunel!$H$2:$H$158,A2762)</f>
        <v>0</v>
      </c>
    </row>
    <row r="2763" spans="1:2" x14ac:dyDescent="0.3">
      <c r="A2763" s="16"/>
      <c r="B2763">
        <f>COUNTIF(Equipamento_Tunel!$H$2:$H$158,A2763)</f>
        <v>0</v>
      </c>
    </row>
    <row r="2764" spans="1:2" x14ac:dyDescent="0.3">
      <c r="A2764" s="31"/>
      <c r="B2764">
        <f>COUNTIF(Equipamento_Tunel!$H$2:$H$158,A2764)</f>
        <v>0</v>
      </c>
    </row>
    <row r="2765" spans="1:2" x14ac:dyDescent="0.3">
      <c r="A2765" s="16"/>
      <c r="B2765">
        <f>COUNTIF(Equipamento_Tunel!$H$2:$H$158,A2765)</f>
        <v>0</v>
      </c>
    </row>
    <row r="2766" spans="1:2" x14ac:dyDescent="0.3">
      <c r="A2766" s="31"/>
      <c r="B2766">
        <f>COUNTIF(Equipamento_Tunel!$H$2:$H$158,A2766)</f>
        <v>0</v>
      </c>
    </row>
    <row r="2767" spans="1:2" x14ac:dyDescent="0.3">
      <c r="A2767" s="16"/>
      <c r="B2767">
        <f>COUNTIF(Equipamento_Tunel!$H$2:$H$158,A2767)</f>
        <v>0</v>
      </c>
    </row>
    <row r="2768" spans="1:2" x14ac:dyDescent="0.3">
      <c r="A2768" s="31"/>
      <c r="B2768">
        <f>COUNTIF(Equipamento_Tunel!$H$2:$H$158,A2768)</f>
        <v>0</v>
      </c>
    </row>
    <row r="2769" spans="1:2" x14ac:dyDescent="0.3">
      <c r="A2769" s="16"/>
      <c r="B2769">
        <f>COUNTIF(Equipamento_Tunel!$H$2:$H$158,A2769)</f>
        <v>0</v>
      </c>
    </row>
    <row r="2770" spans="1:2" x14ac:dyDescent="0.3">
      <c r="A2770" s="31"/>
      <c r="B2770">
        <f>COUNTIF(Equipamento_Tunel!$H$2:$H$158,A2770)</f>
        <v>0</v>
      </c>
    </row>
    <row r="2771" spans="1:2" x14ac:dyDescent="0.3">
      <c r="A2771" s="16"/>
      <c r="B2771">
        <f>COUNTIF(Equipamento_Tunel!$H$2:$H$158,A2771)</f>
        <v>0</v>
      </c>
    </row>
    <row r="2772" spans="1:2" x14ac:dyDescent="0.3">
      <c r="A2772" s="31"/>
      <c r="B2772">
        <f>COUNTIF(Equipamento_Tunel!$H$2:$H$158,A2772)</f>
        <v>0</v>
      </c>
    </row>
    <row r="2773" spans="1:2" x14ac:dyDescent="0.3">
      <c r="A2773" s="16"/>
      <c r="B2773">
        <f>COUNTIF(Equipamento_Tunel!$H$2:$H$158,A2773)</f>
        <v>0</v>
      </c>
    </row>
    <row r="2774" spans="1:2" x14ac:dyDescent="0.3">
      <c r="A2774" s="31"/>
      <c r="B2774">
        <f>COUNTIF(Equipamento_Tunel!$H$2:$H$158,A2774)</f>
        <v>0</v>
      </c>
    </row>
    <row r="2775" spans="1:2" x14ac:dyDescent="0.3">
      <c r="A2775" s="16"/>
      <c r="B2775">
        <f>COUNTIF(Equipamento_Tunel!$H$2:$H$158,A2775)</f>
        <v>0</v>
      </c>
    </row>
    <row r="2776" spans="1:2" x14ac:dyDescent="0.3">
      <c r="A2776" s="31"/>
      <c r="B2776">
        <f>COUNTIF(Equipamento_Tunel!$H$2:$H$158,A2776)</f>
        <v>0</v>
      </c>
    </row>
    <row r="2777" spans="1:2" x14ac:dyDescent="0.3">
      <c r="A2777" s="16"/>
      <c r="B2777">
        <f>COUNTIF(Equipamento_Tunel!$H$2:$H$158,A2777)</f>
        <v>0</v>
      </c>
    </row>
    <row r="2778" spans="1:2" x14ac:dyDescent="0.3">
      <c r="A2778" s="31"/>
      <c r="B2778">
        <f>COUNTIF(Equipamento_Tunel!$H$2:$H$158,A2778)</f>
        <v>0</v>
      </c>
    </row>
    <row r="2779" spans="1:2" x14ac:dyDescent="0.3">
      <c r="A2779" s="16"/>
      <c r="B2779">
        <f>COUNTIF(Equipamento_Tunel!$H$2:$H$158,A2779)</f>
        <v>0</v>
      </c>
    </row>
    <row r="2780" spans="1:2" x14ac:dyDescent="0.3">
      <c r="A2780" s="31"/>
      <c r="B2780">
        <f>COUNTIF(Equipamento_Tunel!$H$2:$H$158,A2780)</f>
        <v>0</v>
      </c>
    </row>
    <row r="2781" spans="1:2" x14ac:dyDescent="0.3">
      <c r="A2781" s="16"/>
      <c r="B2781">
        <f>COUNTIF(Equipamento_Tunel!$H$2:$H$158,A2781)</f>
        <v>0</v>
      </c>
    </row>
    <row r="2782" spans="1:2" x14ac:dyDescent="0.3">
      <c r="A2782" s="31"/>
      <c r="B2782">
        <f>COUNTIF(Equipamento_Tunel!$H$2:$H$158,A2782)</f>
        <v>0</v>
      </c>
    </row>
    <row r="2783" spans="1:2" x14ac:dyDescent="0.3">
      <c r="A2783" s="16"/>
      <c r="B2783">
        <f>COUNTIF(Equipamento_Tunel!$H$2:$H$158,A2783)</f>
        <v>0</v>
      </c>
    </row>
    <row r="2784" spans="1:2" x14ac:dyDescent="0.3">
      <c r="A2784" s="31"/>
      <c r="B2784">
        <f>COUNTIF(Equipamento_Tunel!$H$2:$H$158,A2784)</f>
        <v>0</v>
      </c>
    </row>
    <row r="2785" spans="1:2" x14ac:dyDescent="0.3">
      <c r="A2785" s="16"/>
      <c r="B2785">
        <f>COUNTIF(Equipamento_Tunel!$H$2:$H$158,A2785)</f>
        <v>0</v>
      </c>
    </row>
    <row r="2786" spans="1:2" x14ac:dyDescent="0.3">
      <c r="A2786" s="31"/>
      <c r="B2786">
        <f>COUNTIF(Equipamento_Tunel!$H$2:$H$158,A2786)</f>
        <v>0</v>
      </c>
    </row>
    <row r="2787" spans="1:2" x14ac:dyDescent="0.3">
      <c r="A2787" s="16"/>
      <c r="B2787">
        <f>COUNTIF(Equipamento_Tunel!$H$2:$H$158,A2787)</f>
        <v>0</v>
      </c>
    </row>
    <row r="2788" spans="1:2" x14ac:dyDescent="0.3">
      <c r="A2788" s="31"/>
      <c r="B2788">
        <f>COUNTIF(Equipamento_Tunel!$H$2:$H$158,A2788)</f>
        <v>0</v>
      </c>
    </row>
    <row r="2789" spans="1:2" x14ac:dyDescent="0.3">
      <c r="A2789" s="16"/>
      <c r="B2789">
        <f>COUNTIF(Equipamento_Tunel!$H$2:$H$158,A2789)</f>
        <v>0</v>
      </c>
    </row>
    <row r="2790" spans="1:2" x14ac:dyDescent="0.3">
      <c r="A2790" s="31"/>
      <c r="B2790">
        <f>COUNTIF(Equipamento_Tunel!$H$2:$H$158,A2790)</f>
        <v>0</v>
      </c>
    </row>
    <row r="2791" spans="1:2" x14ac:dyDescent="0.3">
      <c r="A2791" s="16"/>
      <c r="B2791">
        <f>COUNTIF(Equipamento_Tunel!$H$2:$H$158,A2791)</f>
        <v>0</v>
      </c>
    </row>
    <row r="2792" spans="1:2" x14ac:dyDescent="0.3">
      <c r="A2792" s="31"/>
      <c r="B2792">
        <f>COUNTIF(Equipamento_Tunel!$H$2:$H$158,A2792)</f>
        <v>0</v>
      </c>
    </row>
    <row r="2793" spans="1:2" x14ac:dyDescent="0.3">
      <c r="A2793" s="16"/>
      <c r="B2793">
        <f>COUNTIF(Equipamento_Tunel!$H$2:$H$158,A2793)</f>
        <v>0</v>
      </c>
    </row>
    <row r="2794" spans="1:2" x14ac:dyDescent="0.3">
      <c r="A2794" s="31"/>
      <c r="B2794">
        <f>COUNTIF(Equipamento_Tunel!$H$2:$H$158,A2794)</f>
        <v>0</v>
      </c>
    </row>
    <row r="2795" spans="1:2" x14ac:dyDescent="0.3">
      <c r="A2795" s="16"/>
      <c r="B2795">
        <f>COUNTIF(Equipamento_Tunel!$H$2:$H$158,A2795)</f>
        <v>0</v>
      </c>
    </row>
    <row r="2796" spans="1:2" x14ac:dyDescent="0.3">
      <c r="A2796" s="31"/>
      <c r="B2796">
        <f>COUNTIF(Equipamento_Tunel!$H$2:$H$158,A2796)</f>
        <v>0</v>
      </c>
    </row>
    <row r="2797" spans="1:2" x14ac:dyDescent="0.3">
      <c r="A2797" s="16"/>
      <c r="B2797">
        <f>COUNTIF(Equipamento_Tunel!$H$2:$H$158,A2797)</f>
        <v>0</v>
      </c>
    </row>
    <row r="2798" spans="1:2" x14ac:dyDescent="0.3">
      <c r="A2798" s="31"/>
      <c r="B2798">
        <f>COUNTIF(Equipamento_Tunel!$H$2:$H$158,A2798)</f>
        <v>0</v>
      </c>
    </row>
    <row r="2799" spans="1:2" x14ac:dyDescent="0.3">
      <c r="A2799" s="16"/>
      <c r="B2799">
        <f>COUNTIF(Equipamento_Tunel!$H$2:$H$158,A2799)</f>
        <v>0</v>
      </c>
    </row>
    <row r="2800" spans="1:2" x14ac:dyDescent="0.3">
      <c r="A2800" s="31"/>
      <c r="B2800">
        <f>COUNTIF(Equipamento_Tunel!$H$2:$H$158,A2800)</f>
        <v>0</v>
      </c>
    </row>
    <row r="2801" spans="1:2" x14ac:dyDescent="0.3">
      <c r="A2801" s="16"/>
      <c r="B2801">
        <f>COUNTIF(Equipamento_Tunel!$H$2:$H$158,A2801)</f>
        <v>0</v>
      </c>
    </row>
    <row r="2802" spans="1:2" x14ac:dyDescent="0.3">
      <c r="A2802" s="31"/>
      <c r="B2802">
        <f>COUNTIF(Equipamento_Tunel!$H$2:$H$158,A2802)</f>
        <v>0</v>
      </c>
    </row>
    <row r="2803" spans="1:2" x14ac:dyDescent="0.3">
      <c r="A2803" s="16"/>
      <c r="B2803">
        <f>COUNTIF(Equipamento_Tunel!$H$2:$H$158,A2803)</f>
        <v>0</v>
      </c>
    </row>
    <row r="2804" spans="1:2" x14ac:dyDescent="0.3">
      <c r="A2804" s="31"/>
      <c r="B2804">
        <f>COUNTIF(Equipamento_Tunel!$H$2:$H$158,A2804)</f>
        <v>0</v>
      </c>
    </row>
    <row r="2805" spans="1:2" x14ac:dyDescent="0.3">
      <c r="A2805" s="16"/>
      <c r="B2805">
        <f>COUNTIF(Equipamento_Tunel!$H$2:$H$158,A2805)</f>
        <v>0</v>
      </c>
    </row>
    <row r="2806" spans="1:2" x14ac:dyDescent="0.3">
      <c r="A2806" s="31"/>
      <c r="B2806">
        <f>COUNTIF(Equipamento_Tunel!$H$2:$H$158,A2806)</f>
        <v>0</v>
      </c>
    </row>
    <row r="2807" spans="1:2" x14ac:dyDescent="0.3">
      <c r="A2807" s="16"/>
      <c r="B2807">
        <f>COUNTIF(Equipamento_Tunel!$H$2:$H$158,A2807)</f>
        <v>0</v>
      </c>
    </row>
    <row r="2808" spans="1:2" x14ac:dyDescent="0.3">
      <c r="A2808" s="31"/>
      <c r="B2808">
        <f>COUNTIF(Equipamento_Tunel!$H$2:$H$158,A2808)</f>
        <v>0</v>
      </c>
    </row>
    <row r="2809" spans="1:2" x14ac:dyDescent="0.3">
      <c r="A2809" s="16"/>
      <c r="B2809">
        <f>COUNTIF(Equipamento_Tunel!$H$2:$H$158,A2809)</f>
        <v>0</v>
      </c>
    </row>
    <row r="2810" spans="1:2" x14ac:dyDescent="0.3">
      <c r="A2810" s="31"/>
      <c r="B2810">
        <f>COUNTIF(Equipamento_Tunel!$H$2:$H$158,A2810)</f>
        <v>0</v>
      </c>
    </row>
    <row r="2811" spans="1:2" x14ac:dyDescent="0.3">
      <c r="A2811" s="16"/>
      <c r="B2811">
        <f>COUNTIF(Equipamento_Tunel!$H$2:$H$158,A2811)</f>
        <v>0</v>
      </c>
    </row>
    <row r="2812" spans="1:2" x14ac:dyDescent="0.3">
      <c r="A2812" s="31"/>
      <c r="B2812">
        <f>COUNTIF(Equipamento_Tunel!$H$2:$H$158,A2812)</f>
        <v>0</v>
      </c>
    </row>
    <row r="2813" spans="1:2" x14ac:dyDescent="0.3">
      <c r="A2813" s="16"/>
      <c r="B2813">
        <f>COUNTIF(Equipamento_Tunel!$H$2:$H$158,A2813)</f>
        <v>0</v>
      </c>
    </row>
    <row r="2814" spans="1:2" x14ac:dyDescent="0.3">
      <c r="A2814" s="31"/>
      <c r="B2814">
        <f>COUNTIF(Equipamento_Tunel!$H$2:$H$158,A2814)</f>
        <v>0</v>
      </c>
    </row>
    <row r="2815" spans="1:2" x14ac:dyDescent="0.3">
      <c r="A2815" s="16"/>
      <c r="B2815">
        <f>COUNTIF(Equipamento_Tunel!$H$2:$H$158,A2815)</f>
        <v>0</v>
      </c>
    </row>
    <row r="2816" spans="1:2" x14ac:dyDescent="0.3">
      <c r="A2816" s="31"/>
      <c r="B2816">
        <f>COUNTIF(Equipamento_Tunel!$H$2:$H$158,A2816)</f>
        <v>0</v>
      </c>
    </row>
    <row r="2817" spans="1:2" x14ac:dyDescent="0.3">
      <c r="A2817" s="16"/>
      <c r="B2817">
        <f>COUNTIF(Equipamento_Tunel!$H$2:$H$158,A2817)</f>
        <v>0</v>
      </c>
    </row>
    <row r="2818" spans="1:2" x14ac:dyDescent="0.3">
      <c r="A2818" s="31"/>
      <c r="B2818">
        <f>COUNTIF(Equipamento_Tunel!$H$2:$H$158,A2818)</f>
        <v>0</v>
      </c>
    </row>
    <row r="2819" spans="1:2" x14ac:dyDescent="0.3">
      <c r="A2819" s="16"/>
      <c r="B2819">
        <f>COUNTIF(Equipamento_Tunel!$H$2:$H$158,A2819)</f>
        <v>0</v>
      </c>
    </row>
    <row r="2820" spans="1:2" x14ac:dyDescent="0.3">
      <c r="A2820" s="31"/>
      <c r="B2820">
        <f>COUNTIF(Equipamento_Tunel!$H$2:$H$158,A2820)</f>
        <v>0</v>
      </c>
    </row>
    <row r="2821" spans="1:2" x14ac:dyDescent="0.3">
      <c r="A2821" s="16"/>
      <c r="B2821">
        <f>COUNTIF(Equipamento_Tunel!$H$2:$H$158,A2821)</f>
        <v>0</v>
      </c>
    </row>
    <row r="2822" spans="1:2" x14ac:dyDescent="0.3">
      <c r="A2822" s="31"/>
      <c r="B2822">
        <f>COUNTIF(Equipamento_Tunel!$H$2:$H$158,A2822)</f>
        <v>0</v>
      </c>
    </row>
    <row r="2823" spans="1:2" x14ac:dyDescent="0.3">
      <c r="A2823" s="16"/>
      <c r="B2823">
        <f>COUNTIF(Equipamento_Tunel!$H$2:$H$158,A2823)</f>
        <v>0</v>
      </c>
    </row>
    <row r="2824" spans="1:2" x14ac:dyDescent="0.3">
      <c r="A2824" s="31"/>
      <c r="B2824">
        <f>COUNTIF(Equipamento_Tunel!$H$2:$H$158,A2824)</f>
        <v>0</v>
      </c>
    </row>
    <row r="2825" spans="1:2" x14ac:dyDescent="0.3">
      <c r="A2825" s="16"/>
      <c r="B2825">
        <f>COUNTIF(Equipamento_Tunel!$H$2:$H$158,A2825)</f>
        <v>0</v>
      </c>
    </row>
    <row r="2826" spans="1:2" x14ac:dyDescent="0.3">
      <c r="A2826" s="31"/>
      <c r="B2826">
        <f>COUNTIF(Equipamento_Tunel!$H$2:$H$158,A2826)</f>
        <v>0</v>
      </c>
    </row>
    <row r="2827" spans="1:2" x14ac:dyDescent="0.3">
      <c r="A2827" s="16"/>
      <c r="B2827">
        <f>COUNTIF(Equipamento_Tunel!$H$2:$H$158,A2827)</f>
        <v>0</v>
      </c>
    </row>
    <row r="2828" spans="1:2" x14ac:dyDescent="0.3">
      <c r="A2828" s="31"/>
      <c r="B2828">
        <f>COUNTIF(Equipamento_Tunel!$H$2:$H$158,A2828)</f>
        <v>0</v>
      </c>
    </row>
    <row r="2829" spans="1:2" x14ac:dyDescent="0.3">
      <c r="A2829" s="16"/>
      <c r="B2829">
        <f>COUNTIF(Equipamento_Tunel!$H$2:$H$158,A2829)</f>
        <v>0</v>
      </c>
    </row>
    <row r="2830" spans="1:2" x14ac:dyDescent="0.3">
      <c r="A2830" s="31"/>
      <c r="B2830">
        <f>COUNTIF(Equipamento_Tunel!$H$2:$H$158,A2830)</f>
        <v>0</v>
      </c>
    </row>
    <row r="2831" spans="1:2" x14ac:dyDescent="0.3">
      <c r="A2831" s="16"/>
      <c r="B2831">
        <f>COUNTIF(Equipamento_Tunel!$H$2:$H$158,A2831)</f>
        <v>0</v>
      </c>
    </row>
    <row r="2832" spans="1:2" x14ac:dyDescent="0.3">
      <c r="A2832" s="31"/>
      <c r="B2832">
        <f>COUNTIF(Equipamento_Tunel!$H$2:$H$158,A2832)</f>
        <v>0</v>
      </c>
    </row>
    <row r="2833" spans="1:2" x14ac:dyDescent="0.3">
      <c r="A2833" s="16"/>
      <c r="B2833">
        <f>COUNTIF(Equipamento_Tunel!$H$2:$H$158,A2833)</f>
        <v>0</v>
      </c>
    </row>
    <row r="2834" spans="1:2" x14ac:dyDescent="0.3">
      <c r="A2834" s="31"/>
      <c r="B2834">
        <f>COUNTIF(Equipamento_Tunel!$H$2:$H$158,A2834)</f>
        <v>0</v>
      </c>
    </row>
    <row r="2835" spans="1:2" x14ac:dyDescent="0.3">
      <c r="A2835" s="16"/>
      <c r="B2835">
        <f>COUNTIF(Equipamento_Tunel!$H$2:$H$158,A2835)</f>
        <v>0</v>
      </c>
    </row>
    <row r="2836" spans="1:2" x14ac:dyDescent="0.3">
      <c r="A2836" s="31"/>
      <c r="B2836">
        <f>COUNTIF(Equipamento_Tunel!$H$2:$H$158,A2836)</f>
        <v>0</v>
      </c>
    </row>
    <row r="2837" spans="1:2" x14ac:dyDescent="0.3">
      <c r="A2837" s="16"/>
      <c r="B2837">
        <f>COUNTIF(Equipamento_Tunel!$H$2:$H$158,A2837)</f>
        <v>0</v>
      </c>
    </row>
    <row r="2838" spans="1:2" x14ac:dyDescent="0.3">
      <c r="A2838" s="31"/>
      <c r="B2838">
        <f>COUNTIF(Equipamento_Tunel!$H$2:$H$158,A2838)</f>
        <v>0</v>
      </c>
    </row>
    <row r="2839" spans="1:2" x14ac:dyDescent="0.3">
      <c r="A2839" s="16"/>
      <c r="B2839">
        <f>COUNTIF(Equipamento_Tunel!$H$2:$H$158,A2839)</f>
        <v>0</v>
      </c>
    </row>
    <row r="2840" spans="1:2" x14ac:dyDescent="0.3">
      <c r="A2840" s="31"/>
      <c r="B2840">
        <f>COUNTIF(Equipamento_Tunel!$H$2:$H$158,A2840)</f>
        <v>0</v>
      </c>
    </row>
    <row r="2841" spans="1:2" x14ac:dyDescent="0.3">
      <c r="A2841" s="16"/>
      <c r="B2841">
        <f>COUNTIF(Equipamento_Tunel!$H$2:$H$158,A2841)</f>
        <v>0</v>
      </c>
    </row>
    <row r="2842" spans="1:2" x14ac:dyDescent="0.3">
      <c r="A2842" s="31"/>
      <c r="B2842">
        <f>COUNTIF(Equipamento_Tunel!$H$2:$H$158,A2842)</f>
        <v>0</v>
      </c>
    </row>
    <row r="2843" spans="1:2" x14ac:dyDescent="0.3">
      <c r="A2843" s="16"/>
      <c r="B2843">
        <f>COUNTIF(Equipamento_Tunel!$H$2:$H$158,A2843)</f>
        <v>0</v>
      </c>
    </row>
    <row r="2844" spans="1:2" x14ac:dyDescent="0.3">
      <c r="A2844" s="31"/>
      <c r="B2844">
        <f>COUNTIF(Equipamento_Tunel!$H$2:$H$158,A2844)</f>
        <v>0</v>
      </c>
    </row>
    <row r="2845" spans="1:2" x14ac:dyDescent="0.3">
      <c r="A2845" s="16"/>
      <c r="B2845">
        <f>COUNTIF(Equipamento_Tunel!$H$2:$H$158,A2845)</f>
        <v>0</v>
      </c>
    </row>
    <row r="2846" spans="1:2" x14ac:dyDescent="0.3">
      <c r="A2846" s="31"/>
      <c r="B2846">
        <f>COUNTIF(Equipamento_Tunel!$H$2:$H$158,A2846)</f>
        <v>0</v>
      </c>
    </row>
    <row r="2847" spans="1:2" x14ac:dyDescent="0.3">
      <c r="A2847" s="16"/>
      <c r="B2847">
        <f>COUNTIF(Equipamento_Tunel!$H$2:$H$158,A2847)</f>
        <v>0</v>
      </c>
    </row>
    <row r="2848" spans="1:2" x14ac:dyDescent="0.3">
      <c r="A2848" s="31"/>
      <c r="B2848">
        <f>COUNTIF(Equipamento_Tunel!$H$2:$H$158,A2848)</f>
        <v>0</v>
      </c>
    </row>
    <row r="2849" spans="1:2" x14ac:dyDescent="0.3">
      <c r="A2849" s="16"/>
      <c r="B2849">
        <f>COUNTIF(Equipamento_Tunel!$H$2:$H$158,A2849)</f>
        <v>0</v>
      </c>
    </row>
    <row r="2850" spans="1:2" x14ac:dyDescent="0.3">
      <c r="A2850" s="31"/>
      <c r="B2850">
        <f>COUNTIF(Equipamento_Tunel!$H$2:$H$158,A2850)</f>
        <v>0</v>
      </c>
    </row>
    <row r="2851" spans="1:2" x14ac:dyDescent="0.3">
      <c r="A2851" s="16"/>
      <c r="B2851">
        <f>COUNTIF(Equipamento_Tunel!$H$2:$H$158,A2851)</f>
        <v>0</v>
      </c>
    </row>
    <row r="2852" spans="1:2" x14ac:dyDescent="0.3">
      <c r="A2852" s="31"/>
      <c r="B2852">
        <f>COUNTIF(Equipamento_Tunel!$H$2:$H$158,A2852)</f>
        <v>0</v>
      </c>
    </row>
    <row r="2853" spans="1:2" x14ac:dyDescent="0.3">
      <c r="A2853" s="16"/>
      <c r="B2853">
        <f>COUNTIF(Equipamento_Tunel!$H$2:$H$158,A2853)</f>
        <v>0</v>
      </c>
    </row>
    <row r="2854" spans="1:2" x14ac:dyDescent="0.3">
      <c r="A2854" s="31"/>
      <c r="B2854">
        <f>COUNTIF(Equipamento_Tunel!$H$2:$H$158,A2854)</f>
        <v>0</v>
      </c>
    </row>
    <row r="2855" spans="1:2" x14ac:dyDescent="0.3">
      <c r="A2855" s="16"/>
      <c r="B2855">
        <f>COUNTIF(Equipamento_Tunel!$H$2:$H$158,A2855)</f>
        <v>0</v>
      </c>
    </row>
    <row r="2856" spans="1:2" x14ac:dyDescent="0.3">
      <c r="A2856" s="31"/>
      <c r="B2856">
        <f>COUNTIF(Equipamento_Tunel!$H$2:$H$158,A2856)</f>
        <v>0</v>
      </c>
    </row>
    <row r="2857" spans="1:2" x14ac:dyDescent="0.3">
      <c r="A2857" s="16"/>
      <c r="B2857">
        <f>COUNTIF(Equipamento_Tunel!$H$2:$H$158,A2857)</f>
        <v>0</v>
      </c>
    </row>
    <row r="2858" spans="1:2" x14ac:dyDescent="0.3">
      <c r="A2858" s="31"/>
      <c r="B2858">
        <f>COUNTIF(Equipamento_Tunel!$H$2:$H$158,A2858)</f>
        <v>0</v>
      </c>
    </row>
    <row r="2859" spans="1:2" x14ac:dyDescent="0.3">
      <c r="A2859" s="16"/>
      <c r="B2859">
        <f>COUNTIF(Equipamento_Tunel!$H$2:$H$158,A2859)</f>
        <v>0</v>
      </c>
    </row>
    <row r="2860" spans="1:2" x14ac:dyDescent="0.3">
      <c r="A2860" s="31"/>
      <c r="B2860">
        <f>COUNTIF(Equipamento_Tunel!$H$2:$H$158,A2860)</f>
        <v>0</v>
      </c>
    </row>
    <row r="2861" spans="1:2" x14ac:dyDescent="0.3">
      <c r="A2861" s="16"/>
      <c r="B2861">
        <f>COUNTIF(Equipamento_Tunel!$H$2:$H$158,A2861)</f>
        <v>0</v>
      </c>
    </row>
    <row r="2862" spans="1:2" x14ac:dyDescent="0.3">
      <c r="A2862" s="31"/>
      <c r="B2862">
        <f>COUNTIF(Equipamento_Tunel!$H$2:$H$158,A2862)</f>
        <v>0</v>
      </c>
    </row>
    <row r="2863" spans="1:2" x14ac:dyDescent="0.3">
      <c r="A2863" s="16"/>
      <c r="B2863">
        <f>COUNTIF(Equipamento_Tunel!$H$2:$H$158,A2863)</f>
        <v>0</v>
      </c>
    </row>
    <row r="2864" spans="1:2" x14ac:dyDescent="0.3">
      <c r="A2864" s="31"/>
      <c r="B2864">
        <f>COUNTIF(Equipamento_Tunel!$H$2:$H$158,A2864)</f>
        <v>0</v>
      </c>
    </row>
    <row r="2865" spans="1:2" x14ac:dyDescent="0.3">
      <c r="A2865" s="16"/>
      <c r="B2865">
        <f>COUNTIF(Equipamento_Tunel!$H$2:$H$158,A2865)</f>
        <v>0</v>
      </c>
    </row>
    <row r="2866" spans="1:2" x14ac:dyDescent="0.3">
      <c r="A2866" s="31"/>
      <c r="B2866">
        <f>COUNTIF(Equipamento_Tunel!$H$2:$H$158,A2866)</f>
        <v>0</v>
      </c>
    </row>
    <row r="2867" spans="1:2" x14ac:dyDescent="0.3">
      <c r="A2867" s="16"/>
      <c r="B2867">
        <f>COUNTIF(Equipamento_Tunel!$H$2:$H$158,A2867)</f>
        <v>0</v>
      </c>
    </row>
    <row r="2868" spans="1:2" x14ac:dyDescent="0.3">
      <c r="A2868" s="31"/>
      <c r="B2868">
        <f>COUNTIF(Equipamento_Tunel!$H$2:$H$158,A2868)</f>
        <v>0</v>
      </c>
    </row>
    <row r="2869" spans="1:2" x14ac:dyDescent="0.3">
      <c r="A2869" s="16"/>
      <c r="B2869">
        <f>COUNTIF(Equipamento_Tunel!$H$2:$H$158,A2869)</f>
        <v>0</v>
      </c>
    </row>
    <row r="2870" spans="1:2" x14ac:dyDescent="0.3">
      <c r="A2870" s="31"/>
      <c r="B2870">
        <f>COUNTIF(Equipamento_Tunel!$H$2:$H$158,A2870)</f>
        <v>0</v>
      </c>
    </row>
    <row r="2871" spans="1:2" x14ac:dyDescent="0.3">
      <c r="A2871" s="16"/>
      <c r="B2871">
        <f>COUNTIF(Equipamento_Tunel!$H$2:$H$158,A2871)</f>
        <v>0</v>
      </c>
    </row>
    <row r="2872" spans="1:2" x14ac:dyDescent="0.3">
      <c r="A2872" s="31"/>
      <c r="B2872">
        <f>COUNTIF(Equipamento_Tunel!$H$2:$H$158,A2872)</f>
        <v>0</v>
      </c>
    </row>
    <row r="2873" spans="1:2" x14ac:dyDescent="0.3">
      <c r="A2873" s="16"/>
      <c r="B2873">
        <f>COUNTIF(Equipamento_Tunel!$H$2:$H$158,A2873)</f>
        <v>0</v>
      </c>
    </row>
    <row r="2874" spans="1:2" x14ac:dyDescent="0.3">
      <c r="A2874" s="31"/>
      <c r="B2874">
        <f>COUNTIF(Equipamento_Tunel!$H$2:$H$158,A2874)</f>
        <v>0</v>
      </c>
    </row>
    <row r="2875" spans="1:2" x14ac:dyDescent="0.3">
      <c r="A2875" s="16"/>
      <c r="B2875">
        <f>COUNTIF(Equipamento_Tunel!$H$2:$H$158,A2875)</f>
        <v>0</v>
      </c>
    </row>
    <row r="2876" spans="1:2" x14ac:dyDescent="0.3">
      <c r="A2876" s="31"/>
      <c r="B2876">
        <f>COUNTIF(Equipamento_Tunel!$H$2:$H$158,A2876)</f>
        <v>0</v>
      </c>
    </row>
    <row r="2877" spans="1:2" x14ac:dyDescent="0.3">
      <c r="A2877" s="16"/>
      <c r="B2877">
        <f>COUNTIF(Equipamento_Tunel!$H$2:$H$158,A2877)</f>
        <v>0</v>
      </c>
    </row>
    <row r="2878" spans="1:2" x14ac:dyDescent="0.3">
      <c r="A2878" s="31"/>
      <c r="B2878">
        <f>COUNTIF(Equipamento_Tunel!$H$2:$H$158,A2878)</f>
        <v>0</v>
      </c>
    </row>
    <row r="2879" spans="1:2" x14ac:dyDescent="0.3">
      <c r="A2879" s="16"/>
      <c r="B2879">
        <f>COUNTIF(Equipamento_Tunel!$H$2:$H$158,A2879)</f>
        <v>0</v>
      </c>
    </row>
    <row r="2880" spans="1:2" x14ac:dyDescent="0.3">
      <c r="A2880" s="31"/>
      <c r="B2880">
        <f>COUNTIF(Equipamento_Tunel!$H$2:$H$158,A2880)</f>
        <v>0</v>
      </c>
    </row>
    <row r="2881" spans="1:2" x14ac:dyDescent="0.3">
      <c r="A2881" s="16"/>
      <c r="B2881">
        <f>COUNTIF(Equipamento_Tunel!$H$2:$H$158,A2881)</f>
        <v>0</v>
      </c>
    </row>
    <row r="2882" spans="1:2" x14ac:dyDescent="0.3">
      <c r="A2882" s="31"/>
      <c r="B2882">
        <f>COUNTIF(Equipamento_Tunel!$H$2:$H$158,A2882)</f>
        <v>0</v>
      </c>
    </row>
    <row r="2883" spans="1:2" x14ac:dyDescent="0.3">
      <c r="A2883" s="16"/>
      <c r="B2883">
        <f>COUNTIF(Equipamento_Tunel!$H$2:$H$158,A2883)</f>
        <v>0</v>
      </c>
    </row>
    <row r="2884" spans="1:2" x14ac:dyDescent="0.3">
      <c r="A2884" s="31"/>
      <c r="B2884">
        <f>COUNTIF(Equipamento_Tunel!$H$2:$H$158,A2884)</f>
        <v>0</v>
      </c>
    </row>
    <row r="2885" spans="1:2" x14ac:dyDescent="0.3">
      <c r="A2885" s="16"/>
      <c r="B2885">
        <f>COUNTIF(Equipamento_Tunel!$H$2:$H$158,A2885)</f>
        <v>0</v>
      </c>
    </row>
    <row r="2886" spans="1:2" x14ac:dyDescent="0.3">
      <c r="A2886" s="31"/>
      <c r="B2886">
        <f>COUNTIF(Equipamento_Tunel!$H$2:$H$158,A2886)</f>
        <v>0</v>
      </c>
    </row>
    <row r="2887" spans="1:2" x14ac:dyDescent="0.3">
      <c r="A2887" s="16"/>
      <c r="B2887">
        <f>COUNTIF(Equipamento_Tunel!$H$2:$H$158,A2887)</f>
        <v>0</v>
      </c>
    </row>
    <row r="2888" spans="1:2" x14ac:dyDescent="0.3">
      <c r="A2888" s="31"/>
      <c r="B2888">
        <f>COUNTIF(Equipamento_Tunel!$H$2:$H$158,A2888)</f>
        <v>0</v>
      </c>
    </row>
    <row r="2889" spans="1:2" x14ac:dyDescent="0.3">
      <c r="A2889" s="16"/>
      <c r="B2889">
        <f>COUNTIF(Equipamento_Tunel!$H$2:$H$158,A2889)</f>
        <v>0</v>
      </c>
    </row>
    <row r="2890" spans="1:2" x14ac:dyDescent="0.3">
      <c r="A2890" s="31"/>
      <c r="B2890">
        <f>COUNTIF(Equipamento_Tunel!$H$2:$H$158,A2890)</f>
        <v>0</v>
      </c>
    </row>
    <row r="2891" spans="1:2" x14ac:dyDescent="0.3">
      <c r="A2891" s="16"/>
      <c r="B2891">
        <f>COUNTIF(Equipamento_Tunel!$H$2:$H$158,A2891)</f>
        <v>0</v>
      </c>
    </row>
    <row r="2892" spans="1:2" x14ac:dyDescent="0.3">
      <c r="A2892" s="31"/>
      <c r="B2892">
        <f>COUNTIF(Equipamento_Tunel!$H$2:$H$158,A2892)</f>
        <v>0</v>
      </c>
    </row>
    <row r="2893" spans="1:2" x14ac:dyDescent="0.3">
      <c r="A2893" s="16"/>
      <c r="B2893">
        <f>COUNTIF(Equipamento_Tunel!$H$2:$H$158,A2893)</f>
        <v>0</v>
      </c>
    </row>
    <row r="2894" spans="1:2" x14ac:dyDescent="0.3">
      <c r="A2894" s="31"/>
      <c r="B2894">
        <f>COUNTIF(Equipamento_Tunel!$H$2:$H$158,A2894)</f>
        <v>0</v>
      </c>
    </row>
    <row r="2895" spans="1:2" x14ac:dyDescent="0.3">
      <c r="A2895" s="16"/>
      <c r="B2895">
        <f>COUNTIF(Equipamento_Tunel!$H$2:$H$158,A2895)</f>
        <v>0</v>
      </c>
    </row>
    <row r="2896" spans="1:2" x14ac:dyDescent="0.3">
      <c r="A2896" s="31"/>
      <c r="B2896">
        <f>COUNTIF(Equipamento_Tunel!$H$2:$H$158,A2896)</f>
        <v>0</v>
      </c>
    </row>
    <row r="2897" spans="1:2" x14ac:dyDescent="0.3">
      <c r="A2897" s="16"/>
      <c r="B2897">
        <f>COUNTIF(Equipamento_Tunel!$H$2:$H$158,A2897)</f>
        <v>0</v>
      </c>
    </row>
    <row r="2898" spans="1:2" x14ac:dyDescent="0.3">
      <c r="A2898" s="31"/>
      <c r="B2898">
        <f>COUNTIF(Equipamento_Tunel!$H$2:$H$158,A2898)</f>
        <v>0</v>
      </c>
    </row>
    <row r="2899" spans="1:2" x14ac:dyDescent="0.3">
      <c r="A2899" s="16"/>
      <c r="B2899">
        <f>COUNTIF(Equipamento_Tunel!$H$2:$H$158,A2899)</f>
        <v>0</v>
      </c>
    </row>
    <row r="2900" spans="1:2" x14ac:dyDescent="0.3">
      <c r="A2900" s="31"/>
      <c r="B2900">
        <f>COUNTIF(Equipamento_Tunel!$H$2:$H$158,A2900)</f>
        <v>0</v>
      </c>
    </row>
    <row r="2901" spans="1:2" x14ac:dyDescent="0.3">
      <c r="A2901" s="16"/>
      <c r="B2901">
        <f>COUNTIF(Equipamento_Tunel!$H$2:$H$158,A2901)</f>
        <v>0</v>
      </c>
    </row>
    <row r="2902" spans="1:2" x14ac:dyDescent="0.3">
      <c r="A2902" s="31"/>
      <c r="B2902">
        <f>COUNTIF(Equipamento_Tunel!$H$2:$H$158,A2902)</f>
        <v>0</v>
      </c>
    </row>
    <row r="2903" spans="1:2" x14ac:dyDescent="0.3">
      <c r="A2903" s="16"/>
      <c r="B2903">
        <f>COUNTIF(Equipamento_Tunel!$H$2:$H$158,A2903)</f>
        <v>0</v>
      </c>
    </row>
    <row r="2904" spans="1:2" x14ac:dyDescent="0.3">
      <c r="A2904" s="31"/>
      <c r="B2904">
        <f>COUNTIF(Equipamento_Tunel!$H$2:$H$158,A2904)</f>
        <v>0</v>
      </c>
    </row>
    <row r="2905" spans="1:2" x14ac:dyDescent="0.3">
      <c r="A2905" s="16"/>
      <c r="B2905">
        <f>COUNTIF(Equipamento_Tunel!$H$2:$H$158,A2905)</f>
        <v>0</v>
      </c>
    </row>
    <row r="2906" spans="1:2" x14ac:dyDescent="0.3">
      <c r="A2906" s="31"/>
      <c r="B2906">
        <f>COUNTIF(Equipamento_Tunel!$H$2:$H$158,A2906)</f>
        <v>0</v>
      </c>
    </row>
    <row r="2907" spans="1:2" x14ac:dyDescent="0.3">
      <c r="A2907" s="16"/>
      <c r="B2907">
        <f>COUNTIF(Equipamento_Tunel!$H$2:$H$158,A2907)</f>
        <v>0</v>
      </c>
    </row>
    <row r="2908" spans="1:2" x14ac:dyDescent="0.3">
      <c r="A2908" s="31"/>
      <c r="B2908">
        <f>COUNTIF(Equipamento_Tunel!$H$2:$H$158,A2908)</f>
        <v>0</v>
      </c>
    </row>
    <row r="2909" spans="1:2" x14ac:dyDescent="0.3">
      <c r="A2909" s="16"/>
      <c r="B2909">
        <f>COUNTIF(Equipamento_Tunel!$H$2:$H$158,A2909)</f>
        <v>0</v>
      </c>
    </row>
    <row r="2910" spans="1:2" x14ac:dyDescent="0.3">
      <c r="A2910" s="31"/>
      <c r="B2910">
        <f>COUNTIF(Equipamento_Tunel!$H$2:$H$158,A2910)</f>
        <v>0</v>
      </c>
    </row>
    <row r="2911" spans="1:2" x14ac:dyDescent="0.3">
      <c r="A2911" s="16"/>
      <c r="B2911">
        <f>COUNTIF(Equipamento_Tunel!$H$2:$H$158,A2911)</f>
        <v>0</v>
      </c>
    </row>
    <row r="2912" spans="1:2" x14ac:dyDescent="0.3">
      <c r="A2912" s="31"/>
      <c r="B2912">
        <f>COUNTIF(Equipamento_Tunel!$H$2:$H$158,A2912)</f>
        <v>0</v>
      </c>
    </row>
    <row r="2913" spans="1:2" x14ac:dyDescent="0.3">
      <c r="A2913" s="16"/>
      <c r="B2913">
        <f>COUNTIF(Equipamento_Tunel!$H$2:$H$158,A2913)</f>
        <v>0</v>
      </c>
    </row>
    <row r="2914" spans="1:2" x14ac:dyDescent="0.3">
      <c r="A2914" s="31"/>
      <c r="B2914">
        <f>COUNTIF(Equipamento_Tunel!$H$2:$H$158,A2914)</f>
        <v>0</v>
      </c>
    </row>
    <row r="2915" spans="1:2" x14ac:dyDescent="0.3">
      <c r="A2915" s="16"/>
      <c r="B2915">
        <f>COUNTIF(Equipamento_Tunel!$H$2:$H$158,A2915)</f>
        <v>0</v>
      </c>
    </row>
    <row r="2916" spans="1:2" x14ac:dyDescent="0.3">
      <c r="A2916" s="31"/>
      <c r="B2916">
        <f>COUNTIF(Equipamento_Tunel!$H$2:$H$158,A2916)</f>
        <v>0</v>
      </c>
    </row>
    <row r="2917" spans="1:2" x14ac:dyDescent="0.3">
      <c r="A2917" s="16"/>
      <c r="B2917">
        <f>COUNTIF(Equipamento_Tunel!$H$2:$H$158,A2917)</f>
        <v>0</v>
      </c>
    </row>
    <row r="2918" spans="1:2" x14ac:dyDescent="0.3">
      <c r="A2918" s="31"/>
      <c r="B2918">
        <f>COUNTIF(Equipamento_Tunel!$H$2:$H$158,A2918)</f>
        <v>0</v>
      </c>
    </row>
    <row r="2919" spans="1:2" x14ac:dyDescent="0.3">
      <c r="A2919" s="16"/>
      <c r="B2919">
        <f>COUNTIF(Equipamento_Tunel!$H$2:$H$158,A2919)</f>
        <v>0</v>
      </c>
    </row>
    <row r="2920" spans="1:2" x14ac:dyDescent="0.3">
      <c r="A2920" s="31"/>
      <c r="B2920">
        <f>COUNTIF(Equipamento_Tunel!$H$2:$H$158,A2920)</f>
        <v>0</v>
      </c>
    </row>
    <row r="2921" spans="1:2" x14ac:dyDescent="0.3">
      <c r="A2921" s="16"/>
      <c r="B2921">
        <f>COUNTIF(Equipamento_Tunel!$H$2:$H$158,A2921)</f>
        <v>0</v>
      </c>
    </row>
    <row r="2922" spans="1:2" x14ac:dyDescent="0.3">
      <c r="A2922" s="31"/>
      <c r="B2922">
        <f>COUNTIF(Equipamento_Tunel!$H$2:$H$158,A2922)</f>
        <v>0</v>
      </c>
    </row>
    <row r="2923" spans="1:2" x14ac:dyDescent="0.3">
      <c r="A2923" s="16"/>
      <c r="B2923">
        <f>COUNTIF(Equipamento_Tunel!$H$2:$H$158,A2923)</f>
        <v>0</v>
      </c>
    </row>
    <row r="2924" spans="1:2" x14ac:dyDescent="0.3">
      <c r="A2924" s="31"/>
      <c r="B2924">
        <f>COUNTIF(Equipamento_Tunel!$H$2:$H$158,A2924)</f>
        <v>0</v>
      </c>
    </row>
    <row r="2925" spans="1:2" x14ac:dyDescent="0.3">
      <c r="A2925" s="16"/>
      <c r="B2925">
        <f>COUNTIF(Equipamento_Tunel!$H$2:$H$158,A2925)</f>
        <v>0</v>
      </c>
    </row>
    <row r="2926" spans="1:2" x14ac:dyDescent="0.3">
      <c r="A2926" s="31"/>
      <c r="B2926">
        <f>COUNTIF(Equipamento_Tunel!$H$2:$H$158,A2926)</f>
        <v>0</v>
      </c>
    </row>
    <row r="2927" spans="1:2" x14ac:dyDescent="0.3">
      <c r="A2927" s="16"/>
      <c r="B2927">
        <f>COUNTIF(Equipamento_Tunel!$H$2:$H$158,A2927)</f>
        <v>0</v>
      </c>
    </row>
    <row r="2928" spans="1:2" x14ac:dyDescent="0.3">
      <c r="A2928" s="31"/>
      <c r="B2928">
        <f>COUNTIF(Equipamento_Tunel!$H$2:$H$158,A2928)</f>
        <v>0</v>
      </c>
    </row>
    <row r="2929" spans="1:2" x14ac:dyDescent="0.3">
      <c r="A2929" s="16"/>
      <c r="B2929">
        <f>COUNTIF(Equipamento_Tunel!$H$2:$H$158,A2929)</f>
        <v>0</v>
      </c>
    </row>
    <row r="2930" spans="1:2" x14ac:dyDescent="0.3">
      <c r="A2930" s="31"/>
      <c r="B2930">
        <f>COUNTIF(Equipamento_Tunel!$H$2:$H$158,A2930)</f>
        <v>0</v>
      </c>
    </row>
    <row r="2931" spans="1:2" x14ac:dyDescent="0.3">
      <c r="A2931" s="16"/>
      <c r="B2931">
        <f>COUNTIF(Equipamento_Tunel!$H$2:$H$158,A2931)</f>
        <v>0</v>
      </c>
    </row>
    <row r="2932" spans="1:2" x14ac:dyDescent="0.3">
      <c r="A2932" s="31"/>
      <c r="B2932">
        <f>COUNTIF(Equipamento_Tunel!$H$2:$H$158,A2932)</f>
        <v>0</v>
      </c>
    </row>
    <row r="2933" spans="1:2" x14ac:dyDescent="0.3">
      <c r="A2933" s="16"/>
      <c r="B2933">
        <f>COUNTIF(Equipamento_Tunel!$H$2:$H$158,A2933)</f>
        <v>0</v>
      </c>
    </row>
    <row r="2934" spans="1:2" x14ac:dyDescent="0.3">
      <c r="A2934" s="31"/>
      <c r="B2934">
        <f>COUNTIF(Equipamento_Tunel!$H$2:$H$158,A2934)</f>
        <v>0</v>
      </c>
    </row>
    <row r="2935" spans="1:2" x14ac:dyDescent="0.3">
      <c r="A2935" s="16"/>
      <c r="B2935">
        <f>COUNTIF(Equipamento_Tunel!$H$2:$H$158,A2935)</f>
        <v>0</v>
      </c>
    </row>
    <row r="2936" spans="1:2" x14ac:dyDescent="0.3">
      <c r="A2936" s="31"/>
      <c r="B2936">
        <f>COUNTIF(Equipamento_Tunel!$H$2:$H$158,A2936)</f>
        <v>0</v>
      </c>
    </row>
    <row r="2937" spans="1:2" x14ac:dyDescent="0.3">
      <c r="A2937" s="16"/>
      <c r="B2937">
        <f>COUNTIF(Equipamento_Tunel!$H$2:$H$158,A2937)</f>
        <v>0</v>
      </c>
    </row>
    <row r="2938" spans="1:2" x14ac:dyDescent="0.3">
      <c r="A2938" s="31"/>
      <c r="B2938">
        <f>COUNTIF(Equipamento_Tunel!$H$2:$H$158,A2938)</f>
        <v>0</v>
      </c>
    </row>
    <row r="2939" spans="1:2" x14ac:dyDescent="0.3">
      <c r="A2939" s="16"/>
      <c r="B2939">
        <f>COUNTIF(Equipamento_Tunel!$H$2:$H$158,A2939)</f>
        <v>0</v>
      </c>
    </row>
    <row r="2940" spans="1:2" x14ac:dyDescent="0.3">
      <c r="A2940" s="31"/>
      <c r="B2940">
        <f>COUNTIF(Equipamento_Tunel!$H$2:$H$158,A2940)</f>
        <v>0</v>
      </c>
    </row>
    <row r="2941" spans="1:2" x14ac:dyDescent="0.3">
      <c r="A2941" s="16"/>
      <c r="B2941">
        <f>COUNTIF(Equipamento_Tunel!$H$2:$H$158,A2941)</f>
        <v>0</v>
      </c>
    </row>
    <row r="2942" spans="1:2" x14ac:dyDescent="0.3">
      <c r="A2942" s="31"/>
      <c r="B2942">
        <f>COUNTIF(Equipamento_Tunel!$H$2:$H$158,A2942)</f>
        <v>0</v>
      </c>
    </row>
    <row r="2943" spans="1:2" x14ac:dyDescent="0.3">
      <c r="A2943" s="16"/>
      <c r="B2943">
        <f>COUNTIF(Equipamento_Tunel!$H$2:$H$158,A2943)</f>
        <v>0</v>
      </c>
    </row>
    <row r="2944" spans="1:2" x14ac:dyDescent="0.3">
      <c r="A2944" s="31"/>
      <c r="B2944">
        <f>COUNTIF(Equipamento_Tunel!$H$2:$H$158,A2944)</f>
        <v>0</v>
      </c>
    </row>
    <row r="2945" spans="1:2" x14ac:dyDescent="0.3">
      <c r="A2945" s="16"/>
      <c r="B2945">
        <f>COUNTIF(Equipamento_Tunel!$H$2:$H$158,A2945)</f>
        <v>0</v>
      </c>
    </row>
    <row r="2946" spans="1:2" x14ac:dyDescent="0.3">
      <c r="A2946" s="31"/>
      <c r="B2946">
        <f>COUNTIF(Equipamento_Tunel!$H$2:$H$158,A2946)</f>
        <v>0</v>
      </c>
    </row>
    <row r="2947" spans="1:2" x14ac:dyDescent="0.3">
      <c r="A2947" s="16"/>
      <c r="B2947">
        <f>COUNTIF(Equipamento_Tunel!$H$2:$H$158,A2947)</f>
        <v>0</v>
      </c>
    </row>
    <row r="2948" spans="1:2" x14ac:dyDescent="0.3">
      <c r="A2948" s="31"/>
      <c r="B2948">
        <f>COUNTIF(Equipamento_Tunel!$H$2:$H$158,A2948)</f>
        <v>0</v>
      </c>
    </row>
    <row r="2949" spans="1:2" x14ac:dyDescent="0.3">
      <c r="A2949" s="16"/>
      <c r="B2949">
        <f>COUNTIF(Equipamento_Tunel!$H$2:$H$158,A2949)</f>
        <v>0</v>
      </c>
    </row>
    <row r="2950" spans="1:2" x14ac:dyDescent="0.3">
      <c r="A2950" s="31"/>
      <c r="B2950">
        <f>COUNTIF(Equipamento_Tunel!$H$2:$H$158,A2950)</f>
        <v>0</v>
      </c>
    </row>
    <row r="2951" spans="1:2" x14ac:dyDescent="0.3">
      <c r="A2951" s="16"/>
      <c r="B2951">
        <f>COUNTIF(Equipamento_Tunel!$H$2:$H$158,A2951)</f>
        <v>0</v>
      </c>
    </row>
    <row r="2952" spans="1:2" x14ac:dyDescent="0.3">
      <c r="A2952" s="31"/>
      <c r="B2952">
        <f>COUNTIF(Equipamento_Tunel!$H$2:$H$158,A2952)</f>
        <v>0</v>
      </c>
    </row>
    <row r="2953" spans="1:2" x14ac:dyDescent="0.3">
      <c r="A2953" s="16"/>
      <c r="B2953">
        <f>COUNTIF(Equipamento_Tunel!$H$2:$H$158,A2953)</f>
        <v>0</v>
      </c>
    </row>
    <row r="2954" spans="1:2" x14ac:dyDescent="0.3">
      <c r="A2954" s="31"/>
      <c r="B2954">
        <f>COUNTIF(Equipamento_Tunel!$H$2:$H$158,A2954)</f>
        <v>0</v>
      </c>
    </row>
    <row r="2955" spans="1:2" x14ac:dyDescent="0.3">
      <c r="A2955" s="16"/>
      <c r="B2955">
        <f>COUNTIF(Equipamento_Tunel!$H$2:$H$158,A2955)</f>
        <v>0</v>
      </c>
    </row>
    <row r="2956" spans="1:2" x14ac:dyDescent="0.3">
      <c r="A2956" s="31"/>
      <c r="B2956">
        <f>COUNTIF(Equipamento_Tunel!$H$2:$H$158,A2956)</f>
        <v>0</v>
      </c>
    </row>
    <row r="2957" spans="1:2" x14ac:dyDescent="0.3">
      <c r="A2957" s="16"/>
      <c r="B2957">
        <f>COUNTIF(Equipamento_Tunel!$H$2:$H$158,A2957)</f>
        <v>0</v>
      </c>
    </row>
    <row r="2958" spans="1:2" x14ac:dyDescent="0.3">
      <c r="A2958" s="31"/>
      <c r="B2958">
        <f>COUNTIF(Equipamento_Tunel!$H$2:$H$158,A2958)</f>
        <v>0</v>
      </c>
    </row>
    <row r="2959" spans="1:2" x14ac:dyDescent="0.3">
      <c r="A2959" s="16"/>
      <c r="B2959">
        <f>COUNTIF(Equipamento_Tunel!$H$2:$H$158,A2959)</f>
        <v>0</v>
      </c>
    </row>
    <row r="2960" spans="1:2" x14ac:dyDescent="0.3">
      <c r="A2960" s="31"/>
      <c r="B2960">
        <f>COUNTIF(Equipamento_Tunel!$H$2:$H$158,A2960)</f>
        <v>0</v>
      </c>
    </row>
    <row r="2961" spans="1:2" x14ac:dyDescent="0.3">
      <c r="A2961" s="16"/>
      <c r="B2961">
        <f>COUNTIF(Equipamento_Tunel!$H$2:$H$158,A2961)</f>
        <v>0</v>
      </c>
    </row>
    <row r="2962" spans="1:2" x14ac:dyDescent="0.3">
      <c r="A2962" s="31"/>
      <c r="B2962">
        <f>COUNTIF(Equipamento_Tunel!$H$2:$H$158,A2962)</f>
        <v>0</v>
      </c>
    </row>
    <row r="2963" spans="1:2" x14ac:dyDescent="0.3">
      <c r="A2963" s="16"/>
      <c r="B2963">
        <f>COUNTIF(Equipamento_Tunel!$H$2:$H$158,A2963)</f>
        <v>0</v>
      </c>
    </row>
    <row r="2964" spans="1:2" x14ac:dyDescent="0.3">
      <c r="A2964" s="31"/>
      <c r="B2964">
        <f>COUNTIF(Equipamento_Tunel!$H$2:$H$158,A2964)</f>
        <v>0</v>
      </c>
    </row>
    <row r="2965" spans="1:2" x14ac:dyDescent="0.3">
      <c r="A2965" s="16"/>
      <c r="B2965">
        <f>COUNTIF(Equipamento_Tunel!$H$2:$H$158,A2965)</f>
        <v>0</v>
      </c>
    </row>
    <row r="2966" spans="1:2" x14ac:dyDescent="0.3">
      <c r="A2966" s="31"/>
      <c r="B2966">
        <f>COUNTIF(Equipamento_Tunel!$H$2:$H$158,A2966)</f>
        <v>0</v>
      </c>
    </row>
    <row r="2967" spans="1:2" x14ac:dyDescent="0.3">
      <c r="A2967" s="16"/>
      <c r="B2967">
        <f>COUNTIF(Equipamento_Tunel!$H$2:$H$158,A2967)</f>
        <v>0</v>
      </c>
    </row>
    <row r="2968" spans="1:2" x14ac:dyDescent="0.3">
      <c r="A2968" s="31"/>
      <c r="B2968">
        <f>COUNTIF(Equipamento_Tunel!$H$2:$H$158,A2968)</f>
        <v>0</v>
      </c>
    </row>
    <row r="2969" spans="1:2" x14ac:dyDescent="0.3">
      <c r="A2969" s="16"/>
      <c r="B2969">
        <f>COUNTIF(Equipamento_Tunel!$H$2:$H$158,A2969)</f>
        <v>0</v>
      </c>
    </row>
    <row r="2970" spans="1:2" x14ac:dyDescent="0.3">
      <c r="A2970" s="31"/>
      <c r="B2970">
        <f>COUNTIF(Equipamento_Tunel!$H$2:$H$158,A2970)</f>
        <v>0</v>
      </c>
    </row>
    <row r="2971" spans="1:2" x14ac:dyDescent="0.3">
      <c r="A2971" s="16"/>
      <c r="B2971">
        <f>COUNTIF(Equipamento_Tunel!$H$2:$H$158,A2971)</f>
        <v>0</v>
      </c>
    </row>
    <row r="2972" spans="1:2" x14ac:dyDescent="0.3">
      <c r="A2972" s="31"/>
      <c r="B2972">
        <f>COUNTIF(Equipamento_Tunel!$H$2:$H$158,A2972)</f>
        <v>0</v>
      </c>
    </row>
    <row r="2973" spans="1:2" x14ac:dyDescent="0.3">
      <c r="A2973" s="16"/>
      <c r="B2973">
        <f>COUNTIF(Equipamento_Tunel!$H$2:$H$158,A2973)</f>
        <v>0</v>
      </c>
    </row>
    <row r="2974" spans="1:2" x14ac:dyDescent="0.3">
      <c r="A2974" s="31"/>
      <c r="B2974">
        <f>COUNTIF(Equipamento_Tunel!$H$2:$H$158,A2974)</f>
        <v>0</v>
      </c>
    </row>
    <row r="2975" spans="1:2" x14ac:dyDescent="0.3">
      <c r="A2975" s="16"/>
      <c r="B2975">
        <f>COUNTIF(Equipamento_Tunel!$H$2:$H$158,A2975)</f>
        <v>0</v>
      </c>
    </row>
    <row r="2976" spans="1:2" x14ac:dyDescent="0.3">
      <c r="A2976" s="31"/>
      <c r="B2976">
        <f>COUNTIF(Equipamento_Tunel!$H$2:$H$158,A2976)</f>
        <v>0</v>
      </c>
    </row>
    <row r="2977" spans="1:2" x14ac:dyDescent="0.3">
      <c r="A2977" s="16"/>
      <c r="B2977">
        <f>COUNTIF(Equipamento_Tunel!$H$2:$H$158,A2977)</f>
        <v>0</v>
      </c>
    </row>
    <row r="2978" spans="1:2" x14ac:dyDescent="0.3">
      <c r="A2978" s="31"/>
      <c r="B2978">
        <f>COUNTIF(Equipamento_Tunel!$H$2:$H$158,A2978)</f>
        <v>0</v>
      </c>
    </row>
    <row r="2979" spans="1:2" x14ac:dyDescent="0.3">
      <c r="A2979" s="16"/>
      <c r="B2979">
        <f>COUNTIF(Equipamento_Tunel!$H$2:$H$158,A2979)</f>
        <v>0</v>
      </c>
    </row>
    <row r="2980" spans="1:2" x14ac:dyDescent="0.3">
      <c r="A2980" s="31"/>
      <c r="B2980">
        <f>COUNTIF(Equipamento_Tunel!$H$2:$H$158,A2980)</f>
        <v>0</v>
      </c>
    </row>
    <row r="2981" spans="1:2" x14ac:dyDescent="0.3">
      <c r="A2981" s="16"/>
      <c r="B2981">
        <f>COUNTIF(Equipamento_Tunel!$H$2:$H$158,A2981)</f>
        <v>0</v>
      </c>
    </row>
    <row r="2982" spans="1:2" x14ac:dyDescent="0.3">
      <c r="A2982" s="31"/>
      <c r="B2982">
        <f>COUNTIF(Equipamento_Tunel!$H$2:$H$158,A2982)</f>
        <v>0</v>
      </c>
    </row>
    <row r="2983" spans="1:2" x14ac:dyDescent="0.3">
      <c r="A2983" s="16"/>
      <c r="B2983">
        <f>COUNTIF(Equipamento_Tunel!$H$2:$H$158,A2983)</f>
        <v>0</v>
      </c>
    </row>
    <row r="2984" spans="1:2" x14ac:dyDescent="0.3">
      <c r="A2984" s="31"/>
      <c r="B2984">
        <f>COUNTIF(Equipamento_Tunel!$H$2:$H$158,A2984)</f>
        <v>0</v>
      </c>
    </row>
    <row r="2985" spans="1:2" x14ac:dyDescent="0.3">
      <c r="A2985" s="16"/>
      <c r="B2985">
        <f>COUNTIF(Equipamento_Tunel!$H$2:$H$158,A2985)</f>
        <v>0</v>
      </c>
    </row>
    <row r="2986" spans="1:2" x14ac:dyDescent="0.3">
      <c r="A2986" s="31"/>
      <c r="B2986">
        <f>COUNTIF(Equipamento_Tunel!$H$2:$H$158,A2986)</f>
        <v>0</v>
      </c>
    </row>
    <row r="2987" spans="1:2" x14ac:dyDescent="0.3">
      <c r="A2987" s="16"/>
      <c r="B2987">
        <f>COUNTIF(Equipamento_Tunel!$H$2:$H$158,A2987)</f>
        <v>0</v>
      </c>
    </row>
    <row r="2988" spans="1:2" x14ac:dyDescent="0.3">
      <c r="A2988" s="31"/>
      <c r="B2988">
        <f>COUNTIF(Equipamento_Tunel!$H$2:$H$158,A2988)</f>
        <v>0</v>
      </c>
    </row>
    <row r="2989" spans="1:2" x14ac:dyDescent="0.3">
      <c r="A2989" s="16"/>
      <c r="B2989">
        <f>COUNTIF(Equipamento_Tunel!$H$2:$H$158,A2989)</f>
        <v>0</v>
      </c>
    </row>
    <row r="2990" spans="1:2" x14ac:dyDescent="0.3">
      <c r="A2990" s="31"/>
      <c r="B2990">
        <f>COUNTIF(Equipamento_Tunel!$H$2:$H$158,A2990)</f>
        <v>0</v>
      </c>
    </row>
    <row r="2991" spans="1:2" x14ac:dyDescent="0.3">
      <c r="A2991" s="16"/>
      <c r="B2991">
        <f>COUNTIF(Equipamento_Tunel!$H$2:$H$158,A2991)</f>
        <v>0</v>
      </c>
    </row>
    <row r="2992" spans="1:2" x14ac:dyDescent="0.3">
      <c r="A2992" s="31"/>
      <c r="B2992">
        <f>COUNTIF(Equipamento_Tunel!$H$2:$H$158,A2992)</f>
        <v>0</v>
      </c>
    </row>
    <row r="2993" spans="1:2" x14ac:dyDescent="0.3">
      <c r="A2993" s="16"/>
      <c r="B2993">
        <f>COUNTIF(Equipamento_Tunel!$H$2:$H$158,A2993)</f>
        <v>0</v>
      </c>
    </row>
    <row r="2994" spans="1:2" x14ac:dyDescent="0.3">
      <c r="A2994" s="31"/>
      <c r="B2994">
        <f>COUNTIF(Equipamento_Tunel!$H$2:$H$158,A2994)</f>
        <v>0</v>
      </c>
    </row>
    <row r="2995" spans="1:2" x14ac:dyDescent="0.3">
      <c r="A2995" s="16"/>
      <c r="B2995">
        <f>COUNTIF(Equipamento_Tunel!$H$2:$H$158,A2995)</f>
        <v>0</v>
      </c>
    </row>
    <row r="2996" spans="1:2" x14ac:dyDescent="0.3">
      <c r="A2996" s="31"/>
      <c r="B2996">
        <f>COUNTIF(Equipamento_Tunel!$H$2:$H$158,A2996)</f>
        <v>0</v>
      </c>
    </row>
    <row r="2997" spans="1:2" x14ac:dyDescent="0.3">
      <c r="A2997" s="16"/>
      <c r="B2997">
        <f>COUNTIF(Equipamento_Tunel!$H$2:$H$158,A2997)</f>
        <v>0</v>
      </c>
    </row>
    <row r="2998" spans="1:2" x14ac:dyDescent="0.3">
      <c r="A2998" s="31"/>
      <c r="B2998">
        <f>COUNTIF(Equipamento_Tunel!$H$2:$H$158,A2998)</f>
        <v>0</v>
      </c>
    </row>
    <row r="2999" spans="1:2" x14ac:dyDescent="0.3">
      <c r="A2999" s="16"/>
      <c r="B2999">
        <f>COUNTIF(Equipamento_Tunel!$H$2:$H$158,A2999)</f>
        <v>0</v>
      </c>
    </row>
    <row r="3000" spans="1:2" x14ac:dyDescent="0.3">
      <c r="A3000" s="31"/>
      <c r="B3000">
        <f>COUNTIF(Equipamento_Tunel!$H$2:$H$158,A3000)</f>
        <v>0</v>
      </c>
    </row>
    <row r="3001" spans="1:2" x14ac:dyDescent="0.3">
      <c r="A3001" s="16"/>
      <c r="B3001">
        <f>COUNTIF(Equipamento_Tunel!$H$2:$H$158,A3001)</f>
        <v>0</v>
      </c>
    </row>
    <row r="3002" spans="1:2" x14ac:dyDescent="0.3">
      <c r="A3002" s="31"/>
      <c r="B3002">
        <f>COUNTIF(Equipamento_Tunel!$H$2:$H$158,A3002)</f>
        <v>0</v>
      </c>
    </row>
    <row r="3003" spans="1:2" x14ac:dyDescent="0.3">
      <c r="A3003" s="16"/>
      <c r="B3003">
        <f>COUNTIF(Equipamento_Tunel!$H$2:$H$158,A3003)</f>
        <v>0</v>
      </c>
    </row>
    <row r="3004" spans="1:2" x14ac:dyDescent="0.3">
      <c r="A3004" s="31"/>
      <c r="B3004">
        <f>COUNTIF(Equipamento_Tunel!$H$2:$H$158,A3004)</f>
        <v>0</v>
      </c>
    </row>
    <row r="3005" spans="1:2" x14ac:dyDescent="0.3">
      <c r="A3005" s="16"/>
      <c r="B3005">
        <f>COUNTIF(Equipamento_Tunel!$H$2:$H$158,A3005)</f>
        <v>0</v>
      </c>
    </row>
    <row r="3006" spans="1:2" x14ac:dyDescent="0.3">
      <c r="A3006" s="31"/>
      <c r="B3006">
        <f>COUNTIF(Equipamento_Tunel!$H$2:$H$158,A3006)</f>
        <v>0</v>
      </c>
    </row>
    <row r="3007" spans="1:2" x14ac:dyDescent="0.3">
      <c r="A3007" s="16"/>
      <c r="B3007">
        <f>COUNTIF(Equipamento_Tunel!$H$2:$H$158,A3007)</f>
        <v>0</v>
      </c>
    </row>
    <row r="3008" spans="1:2" x14ac:dyDescent="0.3">
      <c r="A3008" s="31"/>
      <c r="B3008">
        <f>COUNTIF(Equipamento_Tunel!$H$2:$H$158,A3008)</f>
        <v>0</v>
      </c>
    </row>
    <row r="3009" spans="1:2" x14ac:dyDescent="0.3">
      <c r="A3009" s="16"/>
      <c r="B3009">
        <f>COUNTIF(Equipamento_Tunel!$H$2:$H$158,A3009)</f>
        <v>0</v>
      </c>
    </row>
    <row r="3010" spans="1:2" x14ac:dyDescent="0.3">
      <c r="A3010" s="31"/>
      <c r="B3010">
        <f>COUNTIF(Equipamento_Tunel!$H$2:$H$158,A3010)</f>
        <v>0</v>
      </c>
    </row>
    <row r="3011" spans="1:2" x14ac:dyDescent="0.3">
      <c r="A3011" s="16"/>
      <c r="B3011">
        <f>COUNTIF(Equipamento_Tunel!$H$2:$H$158,A3011)</f>
        <v>0</v>
      </c>
    </row>
    <row r="3012" spans="1:2" x14ac:dyDescent="0.3">
      <c r="A3012" s="31"/>
      <c r="B3012">
        <f>COUNTIF(Equipamento_Tunel!$H$2:$H$158,A3012)</f>
        <v>0</v>
      </c>
    </row>
    <row r="3013" spans="1:2" x14ac:dyDescent="0.3">
      <c r="A3013" s="16"/>
      <c r="B3013">
        <f>COUNTIF(Equipamento_Tunel!$H$2:$H$158,A3013)</f>
        <v>0</v>
      </c>
    </row>
    <row r="3014" spans="1:2" x14ac:dyDescent="0.3">
      <c r="A3014" s="31"/>
      <c r="B3014">
        <f>COUNTIF(Equipamento_Tunel!$H$2:$H$158,A3014)</f>
        <v>0</v>
      </c>
    </row>
    <row r="3015" spans="1:2" x14ac:dyDescent="0.3">
      <c r="A3015" s="16"/>
      <c r="B3015">
        <f>COUNTIF(Equipamento_Tunel!$H$2:$H$158,A3015)</f>
        <v>0</v>
      </c>
    </row>
    <row r="3016" spans="1:2" x14ac:dyDescent="0.3">
      <c r="A3016" s="31"/>
      <c r="B3016">
        <f>COUNTIF(Equipamento_Tunel!$H$2:$H$158,A3016)</f>
        <v>0</v>
      </c>
    </row>
    <row r="3017" spans="1:2" x14ac:dyDescent="0.3">
      <c r="A3017" s="16"/>
      <c r="B3017">
        <f>COUNTIF(Equipamento_Tunel!$H$2:$H$158,A3017)</f>
        <v>0</v>
      </c>
    </row>
    <row r="3018" spans="1:2" x14ac:dyDescent="0.3">
      <c r="A3018" s="31"/>
      <c r="B3018">
        <f>COUNTIF(Equipamento_Tunel!$H$2:$H$158,A3018)</f>
        <v>0</v>
      </c>
    </row>
    <row r="3019" spans="1:2" x14ac:dyDescent="0.3">
      <c r="A3019" s="16"/>
      <c r="B3019">
        <f>COUNTIF(Equipamento_Tunel!$H$2:$H$158,A3019)</f>
        <v>0</v>
      </c>
    </row>
    <row r="3020" spans="1:2" x14ac:dyDescent="0.3">
      <c r="A3020" s="31"/>
      <c r="B3020">
        <f>COUNTIF(Equipamento_Tunel!$H$2:$H$158,A3020)</f>
        <v>0</v>
      </c>
    </row>
    <row r="3021" spans="1:2" x14ac:dyDescent="0.3">
      <c r="A3021" s="16"/>
      <c r="B3021">
        <f>COUNTIF(Equipamento_Tunel!$H$2:$H$158,A3021)</f>
        <v>0</v>
      </c>
    </row>
    <row r="3022" spans="1:2" x14ac:dyDescent="0.3">
      <c r="A3022" s="31"/>
      <c r="B3022">
        <f>COUNTIF(Equipamento_Tunel!$H$2:$H$158,A3022)</f>
        <v>0</v>
      </c>
    </row>
    <row r="3023" spans="1:2" x14ac:dyDescent="0.3">
      <c r="A3023" s="16"/>
      <c r="B3023">
        <f>COUNTIF(Equipamento_Tunel!$H$2:$H$158,A3023)</f>
        <v>0</v>
      </c>
    </row>
    <row r="3024" spans="1:2" x14ac:dyDescent="0.3">
      <c r="A3024" s="31"/>
      <c r="B3024">
        <f>COUNTIF(Equipamento_Tunel!$H$2:$H$158,A3024)</f>
        <v>0</v>
      </c>
    </row>
    <row r="3025" spans="1:2" x14ac:dyDescent="0.3">
      <c r="A3025" s="16"/>
      <c r="B3025">
        <f>COUNTIF(Equipamento_Tunel!$H$2:$H$158,A3025)</f>
        <v>0</v>
      </c>
    </row>
    <row r="3026" spans="1:2" x14ac:dyDescent="0.3">
      <c r="A3026" s="31"/>
      <c r="B3026">
        <f>COUNTIF(Equipamento_Tunel!$H$2:$H$158,A3026)</f>
        <v>0</v>
      </c>
    </row>
    <row r="3027" spans="1:2" x14ac:dyDescent="0.3">
      <c r="A3027" s="16"/>
      <c r="B3027">
        <f>COUNTIF(Equipamento_Tunel!$H$2:$H$158,A3027)</f>
        <v>0</v>
      </c>
    </row>
    <row r="3028" spans="1:2" x14ac:dyDescent="0.3">
      <c r="A3028" s="31"/>
      <c r="B3028">
        <f>COUNTIF(Equipamento_Tunel!$H$2:$H$158,A3028)</f>
        <v>0</v>
      </c>
    </row>
    <row r="3029" spans="1:2" x14ac:dyDescent="0.3">
      <c r="A3029" s="16"/>
      <c r="B3029">
        <f>COUNTIF(Equipamento_Tunel!$H$2:$H$158,A3029)</f>
        <v>0</v>
      </c>
    </row>
    <row r="3030" spans="1:2" x14ac:dyDescent="0.3">
      <c r="A3030" s="31"/>
      <c r="B3030">
        <f>COUNTIF(Equipamento_Tunel!$H$2:$H$158,A3030)</f>
        <v>0</v>
      </c>
    </row>
    <row r="3031" spans="1:2" x14ac:dyDescent="0.3">
      <c r="A3031" s="16"/>
      <c r="B3031">
        <f>COUNTIF(Equipamento_Tunel!$H$2:$H$158,A3031)</f>
        <v>0</v>
      </c>
    </row>
    <row r="3032" spans="1:2" x14ac:dyDescent="0.3">
      <c r="A3032" s="31"/>
      <c r="B3032">
        <f>COUNTIF(Equipamento_Tunel!$H$2:$H$158,A3032)</f>
        <v>0</v>
      </c>
    </row>
    <row r="3033" spans="1:2" x14ac:dyDescent="0.3">
      <c r="A3033" s="16"/>
      <c r="B3033">
        <f>COUNTIF(Equipamento_Tunel!$H$2:$H$158,A3033)</f>
        <v>0</v>
      </c>
    </row>
    <row r="3034" spans="1:2" x14ac:dyDescent="0.3">
      <c r="A3034" s="31"/>
      <c r="B3034">
        <f>COUNTIF(Equipamento_Tunel!$H$2:$H$158,A3034)</f>
        <v>0</v>
      </c>
    </row>
    <row r="3035" spans="1:2" x14ac:dyDescent="0.3">
      <c r="A3035" s="16"/>
      <c r="B3035">
        <f>COUNTIF(Equipamento_Tunel!$H$2:$H$158,A3035)</f>
        <v>0</v>
      </c>
    </row>
    <row r="3036" spans="1:2" x14ac:dyDescent="0.3">
      <c r="A3036" s="31"/>
      <c r="B3036">
        <f>COUNTIF(Equipamento_Tunel!$H$2:$H$158,A3036)</f>
        <v>0</v>
      </c>
    </row>
    <row r="3037" spans="1:2" x14ac:dyDescent="0.3">
      <c r="A3037" s="16"/>
      <c r="B3037">
        <f>COUNTIF(Equipamento_Tunel!$H$2:$H$158,A3037)</f>
        <v>0</v>
      </c>
    </row>
    <row r="3038" spans="1:2" x14ac:dyDescent="0.3">
      <c r="A3038" s="31"/>
      <c r="B3038">
        <f>COUNTIF(Equipamento_Tunel!$H$2:$H$158,A3038)</f>
        <v>0</v>
      </c>
    </row>
    <row r="3039" spans="1:2" x14ac:dyDescent="0.3">
      <c r="A3039" s="16"/>
      <c r="B3039">
        <f>COUNTIF(Equipamento_Tunel!$H$2:$H$158,A3039)</f>
        <v>0</v>
      </c>
    </row>
    <row r="3040" spans="1:2" x14ac:dyDescent="0.3">
      <c r="A3040" s="31"/>
      <c r="B3040">
        <f>COUNTIF(Equipamento_Tunel!$H$2:$H$158,A3040)</f>
        <v>0</v>
      </c>
    </row>
    <row r="3041" spans="1:2" x14ac:dyDescent="0.3">
      <c r="A3041" s="16"/>
      <c r="B3041">
        <f>COUNTIF(Equipamento_Tunel!$H$2:$H$158,A3041)</f>
        <v>0</v>
      </c>
    </row>
    <row r="3042" spans="1:2" x14ac:dyDescent="0.3">
      <c r="A3042" s="31"/>
      <c r="B3042">
        <f>COUNTIF(Equipamento_Tunel!$H$2:$H$158,A3042)</f>
        <v>0</v>
      </c>
    </row>
    <row r="3043" spans="1:2" x14ac:dyDescent="0.3">
      <c r="A3043" s="16"/>
      <c r="B3043">
        <f>COUNTIF(Equipamento_Tunel!$H$2:$H$158,A3043)</f>
        <v>0</v>
      </c>
    </row>
    <row r="3044" spans="1:2" x14ac:dyDescent="0.3">
      <c r="A3044" s="31"/>
      <c r="B3044">
        <f>COUNTIF(Equipamento_Tunel!$H$2:$H$158,A3044)</f>
        <v>0</v>
      </c>
    </row>
    <row r="3045" spans="1:2" x14ac:dyDescent="0.3">
      <c r="A3045" s="16"/>
      <c r="B3045">
        <f>COUNTIF(Equipamento_Tunel!$H$2:$H$158,A3045)</f>
        <v>0</v>
      </c>
    </row>
    <row r="3046" spans="1:2" x14ac:dyDescent="0.3">
      <c r="A3046" s="31"/>
      <c r="B3046">
        <f>COUNTIF(Equipamento_Tunel!$H$2:$H$158,A3046)</f>
        <v>0</v>
      </c>
    </row>
    <row r="3047" spans="1:2" x14ac:dyDescent="0.3">
      <c r="A3047" s="16"/>
      <c r="B3047">
        <f>COUNTIF(Equipamento_Tunel!$H$2:$H$158,A3047)</f>
        <v>0</v>
      </c>
    </row>
    <row r="3048" spans="1:2" x14ac:dyDescent="0.3">
      <c r="A3048" s="31"/>
      <c r="B3048">
        <f>COUNTIF(Equipamento_Tunel!$H$2:$H$158,A3048)</f>
        <v>0</v>
      </c>
    </row>
    <row r="3049" spans="1:2" x14ac:dyDescent="0.3">
      <c r="A3049" s="16"/>
      <c r="B3049">
        <f>COUNTIF(Equipamento_Tunel!$H$2:$H$158,A3049)</f>
        <v>0</v>
      </c>
    </row>
    <row r="3050" spans="1:2" x14ac:dyDescent="0.3">
      <c r="A3050" s="31"/>
      <c r="B3050">
        <f>COUNTIF(Equipamento_Tunel!$H$2:$H$158,A3050)</f>
        <v>0</v>
      </c>
    </row>
    <row r="3051" spans="1:2" x14ac:dyDescent="0.3">
      <c r="A3051" s="16"/>
      <c r="B3051">
        <f>COUNTIF(Equipamento_Tunel!$H$2:$H$158,A3051)</f>
        <v>0</v>
      </c>
    </row>
    <row r="3052" spans="1:2" x14ac:dyDescent="0.3">
      <c r="A3052" s="31"/>
      <c r="B3052">
        <f>COUNTIF(Equipamento_Tunel!$H$2:$H$158,A3052)</f>
        <v>0</v>
      </c>
    </row>
    <row r="3053" spans="1:2" x14ac:dyDescent="0.3">
      <c r="A3053" s="16"/>
      <c r="B3053">
        <f>COUNTIF(Equipamento_Tunel!$H$2:$H$158,A3053)</f>
        <v>0</v>
      </c>
    </row>
    <row r="3054" spans="1:2" x14ac:dyDescent="0.3">
      <c r="A3054" s="31"/>
      <c r="B3054">
        <f>COUNTIF(Equipamento_Tunel!$H$2:$H$158,A3054)</f>
        <v>0</v>
      </c>
    </row>
    <row r="3055" spans="1:2" x14ac:dyDescent="0.3">
      <c r="A3055" s="16"/>
      <c r="B3055">
        <f>COUNTIF(Equipamento_Tunel!$H$2:$H$158,A3055)</f>
        <v>0</v>
      </c>
    </row>
    <row r="3056" spans="1:2" x14ac:dyDescent="0.3">
      <c r="A3056" s="31"/>
      <c r="B3056">
        <f>COUNTIF(Equipamento_Tunel!$H$2:$H$158,A3056)</f>
        <v>0</v>
      </c>
    </row>
    <row r="3057" spans="1:2" x14ac:dyDescent="0.3">
      <c r="A3057" s="16"/>
      <c r="B3057">
        <f>COUNTIF(Equipamento_Tunel!$H$2:$H$158,A3057)</f>
        <v>0</v>
      </c>
    </row>
    <row r="3058" spans="1:2" x14ac:dyDescent="0.3">
      <c r="A3058" s="31"/>
      <c r="B3058">
        <f>COUNTIF(Equipamento_Tunel!$H$2:$H$158,A3058)</f>
        <v>0</v>
      </c>
    </row>
    <row r="3059" spans="1:2" x14ac:dyDescent="0.3">
      <c r="A3059" s="16"/>
      <c r="B3059">
        <f>COUNTIF(Equipamento_Tunel!$H$2:$H$158,A3059)</f>
        <v>0</v>
      </c>
    </row>
    <row r="3060" spans="1:2" x14ac:dyDescent="0.3">
      <c r="A3060" s="31"/>
      <c r="B3060">
        <f>COUNTIF(Equipamento_Tunel!$H$2:$H$158,A3060)</f>
        <v>0</v>
      </c>
    </row>
    <row r="3061" spans="1:2" x14ac:dyDescent="0.3">
      <c r="A3061" s="16"/>
      <c r="B3061">
        <f>COUNTIF(Equipamento_Tunel!$H$2:$H$158,A3061)</f>
        <v>0</v>
      </c>
    </row>
    <row r="3062" spans="1:2" x14ac:dyDescent="0.3">
      <c r="A3062" s="31"/>
      <c r="B3062">
        <f>COUNTIF(Equipamento_Tunel!$H$2:$H$158,A3062)</f>
        <v>0</v>
      </c>
    </row>
    <row r="3063" spans="1:2" x14ac:dyDescent="0.3">
      <c r="A3063" s="16"/>
      <c r="B3063">
        <f>COUNTIF(Equipamento_Tunel!$H$2:$H$158,A3063)</f>
        <v>0</v>
      </c>
    </row>
    <row r="3064" spans="1:2" x14ac:dyDescent="0.3">
      <c r="A3064" s="31"/>
      <c r="B3064">
        <f>COUNTIF(Equipamento_Tunel!$H$2:$H$158,A3064)</f>
        <v>0</v>
      </c>
    </row>
    <row r="3065" spans="1:2" x14ac:dyDescent="0.3">
      <c r="A3065" s="16"/>
      <c r="B3065">
        <f>COUNTIF(Equipamento_Tunel!$H$2:$H$158,A3065)</f>
        <v>0</v>
      </c>
    </row>
    <row r="3066" spans="1:2" x14ac:dyDescent="0.3">
      <c r="A3066" s="31"/>
      <c r="B3066">
        <f>COUNTIF(Equipamento_Tunel!$H$2:$H$158,A3066)</f>
        <v>0</v>
      </c>
    </row>
    <row r="3067" spans="1:2" x14ac:dyDescent="0.3">
      <c r="A3067" s="16"/>
      <c r="B3067">
        <f>COUNTIF(Equipamento_Tunel!$H$2:$H$158,A3067)</f>
        <v>0</v>
      </c>
    </row>
    <row r="3068" spans="1:2" x14ac:dyDescent="0.3">
      <c r="A3068" s="31"/>
      <c r="B3068">
        <f>COUNTIF(Equipamento_Tunel!$H$2:$H$158,A3068)</f>
        <v>0</v>
      </c>
    </row>
    <row r="3069" spans="1:2" x14ac:dyDescent="0.3">
      <c r="A3069" s="16"/>
      <c r="B3069">
        <f>COUNTIF(Equipamento_Tunel!$H$2:$H$158,A3069)</f>
        <v>0</v>
      </c>
    </row>
    <row r="3070" spans="1:2" x14ac:dyDescent="0.3">
      <c r="A3070" s="31"/>
      <c r="B3070">
        <f>COUNTIF(Equipamento_Tunel!$H$2:$H$158,A3070)</f>
        <v>0</v>
      </c>
    </row>
    <row r="3071" spans="1:2" x14ac:dyDescent="0.3">
      <c r="A3071" s="16"/>
      <c r="B3071">
        <f>COUNTIF(Equipamento_Tunel!$H$2:$H$158,A3071)</f>
        <v>0</v>
      </c>
    </row>
    <row r="3072" spans="1:2" x14ac:dyDescent="0.3">
      <c r="A3072" s="31"/>
      <c r="B3072">
        <f>COUNTIF(Equipamento_Tunel!$H$2:$H$158,A3072)</f>
        <v>0</v>
      </c>
    </row>
    <row r="3073" spans="1:2" x14ac:dyDescent="0.3">
      <c r="A3073" s="16"/>
      <c r="B3073">
        <f>COUNTIF(Equipamento_Tunel!$H$2:$H$158,A3073)</f>
        <v>0</v>
      </c>
    </row>
    <row r="3074" spans="1:2" x14ac:dyDescent="0.3">
      <c r="A3074" s="31"/>
      <c r="B3074">
        <f>COUNTIF(Equipamento_Tunel!$H$2:$H$158,A3074)</f>
        <v>0</v>
      </c>
    </row>
    <row r="3075" spans="1:2" x14ac:dyDescent="0.3">
      <c r="A3075" s="16"/>
      <c r="B3075">
        <f>COUNTIF(Equipamento_Tunel!$H$2:$H$158,A3075)</f>
        <v>0</v>
      </c>
    </row>
    <row r="3076" spans="1:2" x14ac:dyDescent="0.3">
      <c r="A3076" s="31"/>
      <c r="B3076">
        <f>COUNTIF(Equipamento_Tunel!$H$2:$H$158,A3076)</f>
        <v>0</v>
      </c>
    </row>
    <row r="3077" spans="1:2" x14ac:dyDescent="0.3">
      <c r="A3077" s="16"/>
      <c r="B3077">
        <f>COUNTIF(Equipamento_Tunel!$H$2:$H$158,A3077)</f>
        <v>0</v>
      </c>
    </row>
    <row r="3078" spans="1:2" x14ac:dyDescent="0.3">
      <c r="A3078" s="31"/>
      <c r="B3078">
        <f>COUNTIF(Equipamento_Tunel!$H$2:$H$158,A3078)</f>
        <v>0</v>
      </c>
    </row>
    <row r="3079" spans="1:2" x14ac:dyDescent="0.3">
      <c r="A3079" s="16"/>
      <c r="B3079">
        <f>COUNTIF(Equipamento_Tunel!$H$2:$H$158,A3079)</f>
        <v>0</v>
      </c>
    </row>
    <row r="3080" spans="1:2" x14ac:dyDescent="0.3">
      <c r="A3080" s="31"/>
      <c r="B3080">
        <f>COUNTIF(Equipamento_Tunel!$H$2:$H$158,A3080)</f>
        <v>0</v>
      </c>
    </row>
    <row r="3081" spans="1:2" x14ac:dyDescent="0.3">
      <c r="A3081" s="16"/>
      <c r="B3081">
        <f>COUNTIF(Equipamento_Tunel!$H$2:$H$158,A3081)</f>
        <v>0</v>
      </c>
    </row>
    <row r="3082" spans="1:2" x14ac:dyDescent="0.3">
      <c r="A3082" s="31"/>
      <c r="B3082">
        <f>COUNTIF(Equipamento_Tunel!$H$2:$H$158,A3082)</f>
        <v>0</v>
      </c>
    </row>
    <row r="3083" spans="1:2" x14ac:dyDescent="0.3">
      <c r="A3083" s="16"/>
      <c r="B3083">
        <f>COUNTIF(Equipamento_Tunel!$H$2:$H$158,A3083)</f>
        <v>0</v>
      </c>
    </row>
    <row r="3084" spans="1:2" x14ac:dyDescent="0.3">
      <c r="A3084" s="31"/>
      <c r="B3084">
        <f>COUNTIF(Equipamento_Tunel!$H$2:$H$158,A3084)</f>
        <v>0</v>
      </c>
    </row>
    <row r="3085" spans="1:2" x14ac:dyDescent="0.3">
      <c r="A3085" s="16"/>
      <c r="B3085">
        <f>COUNTIF(Equipamento_Tunel!$H$2:$H$158,A3085)</f>
        <v>0</v>
      </c>
    </row>
    <row r="3086" spans="1:2" x14ac:dyDescent="0.3">
      <c r="A3086" s="31"/>
      <c r="B3086">
        <f>COUNTIF(Equipamento_Tunel!$H$2:$H$158,A3086)</f>
        <v>0</v>
      </c>
    </row>
    <row r="3087" spans="1:2" x14ac:dyDescent="0.3">
      <c r="A3087" s="16"/>
      <c r="B3087">
        <f>COUNTIF(Equipamento_Tunel!$H$2:$H$158,A3087)</f>
        <v>0</v>
      </c>
    </row>
    <row r="3088" spans="1:2" x14ac:dyDescent="0.3">
      <c r="A3088" s="31"/>
      <c r="B3088">
        <f>COUNTIF(Equipamento_Tunel!$H$2:$H$158,A3088)</f>
        <v>0</v>
      </c>
    </row>
    <row r="3089" spans="1:2" x14ac:dyDescent="0.3">
      <c r="A3089" s="16"/>
      <c r="B3089">
        <f>COUNTIF(Equipamento_Tunel!$H$2:$H$158,A3089)</f>
        <v>0</v>
      </c>
    </row>
    <row r="3090" spans="1:2" x14ac:dyDescent="0.3">
      <c r="A3090" s="31"/>
      <c r="B3090">
        <f>COUNTIF(Equipamento_Tunel!$H$2:$H$158,A3090)</f>
        <v>0</v>
      </c>
    </row>
    <row r="3091" spans="1:2" x14ac:dyDescent="0.3">
      <c r="A3091" s="16"/>
      <c r="B3091">
        <f>COUNTIF(Equipamento_Tunel!$H$2:$H$158,A3091)</f>
        <v>0</v>
      </c>
    </row>
    <row r="3092" spans="1:2" x14ac:dyDescent="0.3">
      <c r="A3092" s="31"/>
      <c r="B3092">
        <f>COUNTIF(Equipamento_Tunel!$H$2:$H$158,A3092)</f>
        <v>0</v>
      </c>
    </row>
    <row r="3093" spans="1:2" x14ac:dyDescent="0.3">
      <c r="A3093" s="16"/>
      <c r="B3093">
        <f>COUNTIF(Equipamento_Tunel!$H$2:$H$158,A3093)</f>
        <v>0</v>
      </c>
    </row>
    <row r="3094" spans="1:2" x14ac:dyDescent="0.3">
      <c r="A3094" s="31"/>
      <c r="B3094">
        <f>COUNTIF(Equipamento_Tunel!$H$2:$H$158,A3094)</f>
        <v>0</v>
      </c>
    </row>
    <row r="3095" spans="1:2" x14ac:dyDescent="0.3">
      <c r="A3095" s="16"/>
      <c r="B3095">
        <f>COUNTIF(Equipamento_Tunel!$H$2:$H$158,A3095)</f>
        <v>0</v>
      </c>
    </row>
    <row r="3096" spans="1:2" x14ac:dyDescent="0.3">
      <c r="A3096" s="31"/>
      <c r="B3096">
        <f>COUNTIF(Equipamento_Tunel!$H$2:$H$158,A3096)</f>
        <v>0</v>
      </c>
    </row>
    <row r="3097" spans="1:2" x14ac:dyDescent="0.3">
      <c r="A3097" s="16"/>
      <c r="B3097">
        <f>COUNTIF(Equipamento_Tunel!$H$2:$H$158,A3097)</f>
        <v>0</v>
      </c>
    </row>
    <row r="3098" spans="1:2" x14ac:dyDescent="0.3">
      <c r="A3098" s="31"/>
      <c r="B3098">
        <f>COUNTIF(Equipamento_Tunel!$H$2:$H$158,A3098)</f>
        <v>0</v>
      </c>
    </row>
    <row r="3099" spans="1:2" x14ac:dyDescent="0.3">
      <c r="A3099" s="16"/>
      <c r="B3099">
        <f>COUNTIF(Equipamento_Tunel!$H$2:$H$158,A3099)</f>
        <v>0</v>
      </c>
    </row>
    <row r="3100" spans="1:2" x14ac:dyDescent="0.3">
      <c r="A3100" s="31"/>
      <c r="B3100">
        <f>COUNTIF(Equipamento_Tunel!$H$2:$H$158,A3100)</f>
        <v>0</v>
      </c>
    </row>
    <row r="3101" spans="1:2" x14ac:dyDescent="0.3">
      <c r="A3101" s="16"/>
      <c r="B3101">
        <f>COUNTIF(Equipamento_Tunel!$H$2:$H$158,A3101)</f>
        <v>0</v>
      </c>
    </row>
    <row r="3102" spans="1:2" x14ac:dyDescent="0.3">
      <c r="A3102" s="31"/>
      <c r="B3102">
        <f>COUNTIF(Equipamento_Tunel!$H$2:$H$158,A3102)</f>
        <v>0</v>
      </c>
    </row>
    <row r="3103" spans="1:2" x14ac:dyDescent="0.3">
      <c r="A3103" s="16"/>
      <c r="B3103">
        <f>COUNTIF(Equipamento_Tunel!$H$2:$H$158,A3103)</f>
        <v>0</v>
      </c>
    </row>
    <row r="3104" spans="1:2" x14ac:dyDescent="0.3">
      <c r="A3104" s="31"/>
      <c r="B3104">
        <f>COUNTIF(Equipamento_Tunel!$H$2:$H$158,A3104)</f>
        <v>0</v>
      </c>
    </row>
    <row r="3105" spans="1:2" x14ac:dyDescent="0.3">
      <c r="A3105" s="16"/>
      <c r="B3105">
        <f>COUNTIF(Equipamento_Tunel!$H$2:$H$158,A3105)</f>
        <v>0</v>
      </c>
    </row>
    <row r="3106" spans="1:2" x14ac:dyDescent="0.3">
      <c r="A3106" s="31"/>
      <c r="B3106">
        <f>COUNTIF(Equipamento_Tunel!$H$2:$H$158,A3106)</f>
        <v>0</v>
      </c>
    </row>
    <row r="3107" spans="1:2" x14ac:dyDescent="0.3">
      <c r="A3107" s="16"/>
      <c r="B3107">
        <f>COUNTIF(Equipamento_Tunel!$H$2:$H$158,A3107)</f>
        <v>0</v>
      </c>
    </row>
    <row r="3108" spans="1:2" x14ac:dyDescent="0.3">
      <c r="A3108" s="31"/>
      <c r="B3108">
        <f>COUNTIF(Equipamento_Tunel!$H$2:$H$158,A3108)</f>
        <v>0</v>
      </c>
    </row>
    <row r="3109" spans="1:2" x14ac:dyDescent="0.3">
      <c r="A3109" s="16"/>
      <c r="B3109">
        <f>COUNTIF(Equipamento_Tunel!$H$2:$H$158,A3109)</f>
        <v>0</v>
      </c>
    </row>
    <row r="3110" spans="1:2" x14ac:dyDescent="0.3">
      <c r="A3110" s="31"/>
      <c r="B3110">
        <f>COUNTIF(Equipamento_Tunel!$H$2:$H$158,A3110)</f>
        <v>0</v>
      </c>
    </row>
    <row r="3111" spans="1:2" x14ac:dyDescent="0.3">
      <c r="A3111" s="16"/>
      <c r="B3111">
        <f>COUNTIF(Equipamento_Tunel!$H$2:$H$158,A3111)</f>
        <v>0</v>
      </c>
    </row>
    <row r="3112" spans="1:2" x14ac:dyDescent="0.3">
      <c r="A3112" s="31"/>
      <c r="B3112">
        <f>COUNTIF(Equipamento_Tunel!$H$2:$H$158,A3112)</f>
        <v>0</v>
      </c>
    </row>
    <row r="3113" spans="1:2" x14ac:dyDescent="0.3">
      <c r="A3113" s="16"/>
      <c r="B3113">
        <f>COUNTIF(Equipamento_Tunel!$H$2:$H$158,A3113)</f>
        <v>0</v>
      </c>
    </row>
    <row r="3114" spans="1:2" x14ac:dyDescent="0.3">
      <c r="A3114" s="31"/>
      <c r="B3114">
        <f>COUNTIF(Equipamento_Tunel!$H$2:$H$158,A3114)</f>
        <v>0</v>
      </c>
    </row>
    <row r="3115" spans="1:2" x14ac:dyDescent="0.3">
      <c r="A3115" s="16"/>
      <c r="B3115">
        <f>COUNTIF(Equipamento_Tunel!$H$2:$H$158,A3115)</f>
        <v>0</v>
      </c>
    </row>
    <row r="3116" spans="1:2" x14ac:dyDescent="0.3">
      <c r="A3116" s="31"/>
      <c r="B3116">
        <f>COUNTIF(Equipamento_Tunel!$H$2:$H$158,A3116)</f>
        <v>0</v>
      </c>
    </row>
    <row r="3117" spans="1:2" x14ac:dyDescent="0.3">
      <c r="A3117" s="16"/>
      <c r="B3117">
        <f>COUNTIF(Equipamento_Tunel!$H$2:$H$158,A3117)</f>
        <v>0</v>
      </c>
    </row>
    <row r="3118" spans="1:2" x14ac:dyDescent="0.3">
      <c r="A3118" s="31"/>
      <c r="B3118">
        <f>COUNTIF(Equipamento_Tunel!$H$2:$H$158,A3118)</f>
        <v>0</v>
      </c>
    </row>
    <row r="3119" spans="1:2" x14ac:dyDescent="0.3">
      <c r="A3119" s="16"/>
      <c r="B3119">
        <f>COUNTIF(Equipamento_Tunel!$H$2:$H$158,A3119)</f>
        <v>0</v>
      </c>
    </row>
    <row r="3120" spans="1:2" x14ac:dyDescent="0.3">
      <c r="A3120" s="31"/>
      <c r="B3120">
        <f>COUNTIF(Equipamento_Tunel!$H$2:$H$158,A3120)</f>
        <v>0</v>
      </c>
    </row>
    <row r="3121" spans="1:2" x14ac:dyDescent="0.3">
      <c r="A3121" s="16"/>
      <c r="B3121">
        <f>COUNTIF(Equipamento_Tunel!$H$2:$H$158,A3121)</f>
        <v>0</v>
      </c>
    </row>
    <row r="3122" spans="1:2" x14ac:dyDescent="0.3">
      <c r="A3122" s="31"/>
      <c r="B3122">
        <f>COUNTIF(Equipamento_Tunel!$H$2:$H$158,A3122)</f>
        <v>0</v>
      </c>
    </row>
    <row r="3123" spans="1:2" x14ac:dyDescent="0.3">
      <c r="A3123" s="16"/>
      <c r="B3123">
        <f>COUNTIF(Equipamento_Tunel!$H$2:$H$158,A3123)</f>
        <v>0</v>
      </c>
    </row>
    <row r="3124" spans="1:2" x14ac:dyDescent="0.3">
      <c r="A3124" s="31"/>
      <c r="B3124">
        <f>COUNTIF(Equipamento_Tunel!$H$2:$H$158,A3124)</f>
        <v>0</v>
      </c>
    </row>
    <row r="3125" spans="1:2" x14ac:dyDescent="0.3">
      <c r="A3125" s="16"/>
      <c r="B3125">
        <f>COUNTIF(Equipamento_Tunel!$H$2:$H$158,A3125)</f>
        <v>0</v>
      </c>
    </row>
    <row r="3126" spans="1:2" x14ac:dyDescent="0.3">
      <c r="A3126" s="31"/>
      <c r="B3126">
        <f>COUNTIF(Equipamento_Tunel!$H$2:$H$158,A3126)</f>
        <v>0</v>
      </c>
    </row>
    <row r="3127" spans="1:2" x14ac:dyDescent="0.3">
      <c r="A3127" s="16"/>
      <c r="B3127">
        <f>COUNTIF(Equipamento_Tunel!$H$2:$H$158,A3127)</f>
        <v>0</v>
      </c>
    </row>
    <row r="3128" spans="1:2" x14ac:dyDescent="0.3">
      <c r="A3128" s="31"/>
      <c r="B3128">
        <f>COUNTIF(Equipamento_Tunel!$H$2:$H$158,A3128)</f>
        <v>0</v>
      </c>
    </row>
    <row r="3129" spans="1:2" x14ac:dyDescent="0.3">
      <c r="A3129" s="16"/>
      <c r="B3129">
        <f>COUNTIF(Equipamento_Tunel!$H$2:$H$158,A3129)</f>
        <v>0</v>
      </c>
    </row>
    <row r="3130" spans="1:2" x14ac:dyDescent="0.3">
      <c r="A3130" s="31"/>
      <c r="B3130">
        <f>COUNTIF(Equipamento_Tunel!$H$2:$H$158,A3130)</f>
        <v>0</v>
      </c>
    </row>
    <row r="3131" spans="1:2" x14ac:dyDescent="0.3">
      <c r="A3131" s="16"/>
      <c r="B3131">
        <f>COUNTIF(Equipamento_Tunel!$H$2:$H$158,A3131)</f>
        <v>0</v>
      </c>
    </row>
    <row r="3132" spans="1:2" x14ac:dyDescent="0.3">
      <c r="A3132" s="31"/>
      <c r="B3132">
        <f>COUNTIF(Equipamento_Tunel!$H$2:$H$158,A3132)</f>
        <v>0</v>
      </c>
    </row>
    <row r="3133" spans="1:2" x14ac:dyDescent="0.3">
      <c r="A3133" s="16"/>
      <c r="B3133">
        <f>COUNTIF(Equipamento_Tunel!$H$2:$H$158,A3133)</f>
        <v>0</v>
      </c>
    </row>
    <row r="3134" spans="1:2" x14ac:dyDescent="0.3">
      <c r="A3134" s="31"/>
      <c r="B3134">
        <f>COUNTIF(Equipamento_Tunel!$H$2:$H$158,A3134)</f>
        <v>0</v>
      </c>
    </row>
    <row r="3135" spans="1:2" x14ac:dyDescent="0.3">
      <c r="A3135" s="16"/>
      <c r="B3135">
        <f>COUNTIF(Equipamento_Tunel!$H$2:$H$158,A3135)</f>
        <v>0</v>
      </c>
    </row>
    <row r="3136" spans="1:2" x14ac:dyDescent="0.3">
      <c r="A3136" s="31"/>
      <c r="B3136">
        <f>COUNTIF(Equipamento_Tunel!$H$2:$H$158,A3136)</f>
        <v>0</v>
      </c>
    </row>
    <row r="3137" spans="1:2" x14ac:dyDescent="0.3">
      <c r="A3137" s="16"/>
      <c r="B3137">
        <f>COUNTIF(Equipamento_Tunel!$H$2:$H$158,A3137)</f>
        <v>0</v>
      </c>
    </row>
    <row r="3138" spans="1:2" x14ac:dyDescent="0.3">
      <c r="A3138" s="31"/>
      <c r="B3138">
        <f>COUNTIF(Equipamento_Tunel!$H$2:$H$158,A3138)</f>
        <v>0</v>
      </c>
    </row>
    <row r="3139" spans="1:2" x14ac:dyDescent="0.3">
      <c r="A3139" s="16"/>
      <c r="B3139">
        <f>COUNTIF(Equipamento_Tunel!$H$2:$H$158,A3139)</f>
        <v>0</v>
      </c>
    </row>
    <row r="3140" spans="1:2" x14ac:dyDescent="0.3">
      <c r="A3140" s="31"/>
      <c r="B3140">
        <f>COUNTIF(Equipamento_Tunel!$H$2:$H$158,A3140)</f>
        <v>0</v>
      </c>
    </row>
    <row r="3141" spans="1:2" x14ac:dyDescent="0.3">
      <c r="A3141" s="16"/>
      <c r="B3141">
        <f>COUNTIF(Equipamento_Tunel!$H$2:$H$158,A3141)</f>
        <v>0</v>
      </c>
    </row>
    <row r="3142" spans="1:2" x14ac:dyDescent="0.3">
      <c r="A3142" s="31"/>
      <c r="B3142">
        <f>COUNTIF(Equipamento_Tunel!$H$2:$H$158,A3142)</f>
        <v>0</v>
      </c>
    </row>
    <row r="3143" spans="1:2" x14ac:dyDescent="0.3">
      <c r="A3143" s="16"/>
      <c r="B3143">
        <f>COUNTIF(Equipamento_Tunel!$H$2:$H$158,A3143)</f>
        <v>0</v>
      </c>
    </row>
    <row r="3144" spans="1:2" x14ac:dyDescent="0.3">
      <c r="A3144" s="31"/>
      <c r="B3144">
        <f>COUNTIF(Equipamento_Tunel!$H$2:$H$158,A3144)</f>
        <v>0</v>
      </c>
    </row>
    <row r="3145" spans="1:2" x14ac:dyDescent="0.3">
      <c r="A3145" s="16"/>
      <c r="B3145">
        <f>COUNTIF(Equipamento_Tunel!$H$2:$H$158,A3145)</f>
        <v>0</v>
      </c>
    </row>
    <row r="3146" spans="1:2" x14ac:dyDescent="0.3">
      <c r="A3146" s="31"/>
      <c r="B3146">
        <f>COUNTIF(Equipamento_Tunel!$H$2:$H$158,A3146)</f>
        <v>0</v>
      </c>
    </row>
    <row r="3147" spans="1:2" x14ac:dyDescent="0.3">
      <c r="A3147" s="16"/>
      <c r="B3147">
        <f>COUNTIF(Equipamento_Tunel!$H$2:$H$158,A3147)</f>
        <v>0</v>
      </c>
    </row>
    <row r="3148" spans="1:2" x14ac:dyDescent="0.3">
      <c r="A3148" s="31"/>
      <c r="B3148">
        <f>COUNTIF(Equipamento_Tunel!$H$2:$H$158,A3148)</f>
        <v>0</v>
      </c>
    </row>
    <row r="3149" spans="1:2" x14ac:dyDescent="0.3">
      <c r="A3149" s="16"/>
      <c r="B3149">
        <f>COUNTIF(Equipamento_Tunel!$H$2:$H$158,A3149)</f>
        <v>0</v>
      </c>
    </row>
    <row r="3150" spans="1:2" x14ac:dyDescent="0.3">
      <c r="A3150" s="31"/>
      <c r="B3150">
        <f>COUNTIF(Equipamento_Tunel!$H$2:$H$158,A3150)</f>
        <v>0</v>
      </c>
    </row>
    <row r="3151" spans="1:2" x14ac:dyDescent="0.3">
      <c r="A3151" s="16"/>
      <c r="B3151">
        <f>COUNTIF(Equipamento_Tunel!$H$2:$H$158,A3151)</f>
        <v>0</v>
      </c>
    </row>
    <row r="3152" spans="1:2" x14ac:dyDescent="0.3">
      <c r="A3152" s="31"/>
      <c r="B3152">
        <f>COUNTIF(Equipamento_Tunel!$H$2:$H$158,A3152)</f>
        <v>0</v>
      </c>
    </row>
    <row r="3153" spans="1:2" x14ac:dyDescent="0.3">
      <c r="A3153" s="16"/>
      <c r="B3153">
        <f>COUNTIF(Equipamento_Tunel!$H$2:$H$158,A3153)</f>
        <v>0</v>
      </c>
    </row>
    <row r="3154" spans="1:2" x14ac:dyDescent="0.3">
      <c r="A3154" s="31"/>
      <c r="B3154">
        <f>COUNTIF(Equipamento_Tunel!$H$2:$H$158,A3154)</f>
        <v>0</v>
      </c>
    </row>
    <row r="3155" spans="1:2" x14ac:dyDescent="0.3">
      <c r="A3155" s="16"/>
      <c r="B3155">
        <f>COUNTIF(Equipamento_Tunel!$H$2:$H$158,A3155)</f>
        <v>0</v>
      </c>
    </row>
    <row r="3156" spans="1:2" x14ac:dyDescent="0.3">
      <c r="A3156" s="31"/>
      <c r="B3156">
        <f>COUNTIF(Equipamento_Tunel!$H$2:$H$158,A3156)</f>
        <v>0</v>
      </c>
    </row>
    <row r="3157" spans="1:2" x14ac:dyDescent="0.3">
      <c r="A3157" s="16"/>
      <c r="B3157">
        <f>COUNTIF(Equipamento_Tunel!$H$2:$H$158,A3157)</f>
        <v>0</v>
      </c>
    </row>
    <row r="3158" spans="1:2" x14ac:dyDescent="0.3">
      <c r="A3158" s="31"/>
      <c r="B3158">
        <f>COUNTIF(Equipamento_Tunel!$H$2:$H$158,A3158)</f>
        <v>0</v>
      </c>
    </row>
    <row r="3159" spans="1:2" x14ac:dyDescent="0.3">
      <c r="A3159" s="16"/>
      <c r="B3159">
        <f>COUNTIF(Equipamento_Tunel!$H$2:$H$158,A3159)</f>
        <v>0</v>
      </c>
    </row>
    <row r="3160" spans="1:2" x14ac:dyDescent="0.3">
      <c r="A3160" s="31"/>
      <c r="B3160">
        <f>COUNTIF(Equipamento_Tunel!$H$2:$H$158,A3160)</f>
        <v>0</v>
      </c>
    </row>
    <row r="3161" spans="1:2" x14ac:dyDescent="0.3">
      <c r="A3161" s="16"/>
      <c r="B3161">
        <f>COUNTIF(Equipamento_Tunel!$H$2:$H$158,A3161)</f>
        <v>0</v>
      </c>
    </row>
    <row r="3162" spans="1:2" x14ac:dyDescent="0.3">
      <c r="A3162" s="31"/>
      <c r="B3162">
        <f>COUNTIF(Equipamento_Tunel!$H$2:$H$158,A3162)</f>
        <v>0</v>
      </c>
    </row>
    <row r="3163" spans="1:2" x14ac:dyDescent="0.3">
      <c r="A3163" s="16"/>
      <c r="B3163">
        <f>COUNTIF(Equipamento_Tunel!$H$2:$H$158,A3163)</f>
        <v>0</v>
      </c>
    </row>
    <row r="3164" spans="1:2" x14ac:dyDescent="0.3">
      <c r="A3164" s="31"/>
      <c r="B3164">
        <f>COUNTIF(Equipamento_Tunel!$H$2:$H$158,A3164)</f>
        <v>0</v>
      </c>
    </row>
    <row r="3165" spans="1:2" x14ac:dyDescent="0.3">
      <c r="A3165" s="16"/>
      <c r="B3165">
        <f>COUNTIF(Equipamento_Tunel!$H$2:$H$158,A3165)</f>
        <v>0</v>
      </c>
    </row>
    <row r="3166" spans="1:2" x14ac:dyDescent="0.3">
      <c r="A3166" s="31"/>
      <c r="B3166">
        <f>COUNTIF(Equipamento_Tunel!$H$2:$H$158,A3166)</f>
        <v>0</v>
      </c>
    </row>
    <row r="3167" spans="1:2" x14ac:dyDescent="0.3">
      <c r="A3167" s="16"/>
      <c r="B3167">
        <f>COUNTIF(Equipamento_Tunel!$H$2:$H$158,A3167)</f>
        <v>0</v>
      </c>
    </row>
    <row r="3168" spans="1:2" x14ac:dyDescent="0.3">
      <c r="A3168" s="31"/>
      <c r="B3168">
        <f>COUNTIF(Equipamento_Tunel!$H$2:$H$158,A3168)</f>
        <v>0</v>
      </c>
    </row>
    <row r="3169" spans="1:2" x14ac:dyDescent="0.3">
      <c r="A3169" s="16"/>
      <c r="B3169">
        <f>COUNTIF(Equipamento_Tunel!$H$2:$H$158,A3169)</f>
        <v>0</v>
      </c>
    </row>
    <row r="3170" spans="1:2" x14ac:dyDescent="0.3">
      <c r="A3170" s="31"/>
      <c r="B3170">
        <f>COUNTIF(Equipamento_Tunel!$H$2:$H$158,A3170)</f>
        <v>0</v>
      </c>
    </row>
    <row r="3171" spans="1:2" x14ac:dyDescent="0.3">
      <c r="A3171" s="16"/>
      <c r="B3171">
        <f>COUNTIF(Equipamento_Tunel!$H$2:$H$158,A3171)</f>
        <v>0</v>
      </c>
    </row>
    <row r="3172" spans="1:2" x14ac:dyDescent="0.3">
      <c r="A3172" s="31"/>
      <c r="B3172">
        <f>COUNTIF(Equipamento_Tunel!$H$2:$H$158,A3172)</f>
        <v>0</v>
      </c>
    </row>
    <row r="3173" spans="1:2" x14ac:dyDescent="0.3">
      <c r="A3173" s="16"/>
      <c r="B3173">
        <f>COUNTIF(Equipamento_Tunel!$H$2:$H$158,A3173)</f>
        <v>0</v>
      </c>
    </row>
    <row r="3174" spans="1:2" x14ac:dyDescent="0.3">
      <c r="A3174" s="31"/>
      <c r="B3174">
        <f>COUNTIF(Equipamento_Tunel!$H$2:$H$158,A3174)</f>
        <v>0</v>
      </c>
    </row>
    <row r="3175" spans="1:2" x14ac:dyDescent="0.3">
      <c r="A3175" s="16"/>
      <c r="B3175">
        <f>COUNTIF(Equipamento_Tunel!$H$2:$H$158,A3175)</f>
        <v>0</v>
      </c>
    </row>
    <row r="3176" spans="1:2" x14ac:dyDescent="0.3">
      <c r="A3176" s="31"/>
      <c r="B3176">
        <f>COUNTIF(Equipamento_Tunel!$H$2:$H$158,A3176)</f>
        <v>0</v>
      </c>
    </row>
    <row r="3177" spans="1:2" x14ac:dyDescent="0.3">
      <c r="A3177" s="16"/>
      <c r="B3177">
        <f>COUNTIF(Equipamento_Tunel!$H$2:$H$158,A3177)</f>
        <v>0</v>
      </c>
    </row>
    <row r="3178" spans="1:2" x14ac:dyDescent="0.3">
      <c r="A3178" s="31"/>
      <c r="B3178">
        <f>COUNTIF(Equipamento_Tunel!$H$2:$H$158,A3178)</f>
        <v>0</v>
      </c>
    </row>
    <row r="3179" spans="1:2" x14ac:dyDescent="0.3">
      <c r="A3179" s="16"/>
      <c r="B3179">
        <f>COUNTIF(Equipamento_Tunel!$H$2:$H$158,A3179)</f>
        <v>0</v>
      </c>
    </row>
    <row r="3180" spans="1:2" x14ac:dyDescent="0.3">
      <c r="A3180" s="31"/>
      <c r="B3180">
        <f>COUNTIF(Equipamento_Tunel!$H$2:$H$158,A3180)</f>
        <v>0</v>
      </c>
    </row>
    <row r="3181" spans="1:2" x14ac:dyDescent="0.3">
      <c r="A3181" s="16"/>
      <c r="B3181">
        <f>COUNTIF(Equipamento_Tunel!$H$2:$H$158,A3181)</f>
        <v>0</v>
      </c>
    </row>
    <row r="3182" spans="1:2" x14ac:dyDescent="0.3">
      <c r="A3182" s="31"/>
      <c r="B3182">
        <f>COUNTIF(Equipamento_Tunel!$H$2:$H$158,A3182)</f>
        <v>0</v>
      </c>
    </row>
    <row r="3183" spans="1:2" x14ac:dyDescent="0.3">
      <c r="A3183" s="16"/>
      <c r="B3183">
        <f>COUNTIF(Equipamento_Tunel!$H$2:$H$158,A3183)</f>
        <v>0</v>
      </c>
    </row>
    <row r="3184" spans="1:2" x14ac:dyDescent="0.3">
      <c r="A3184" s="31"/>
      <c r="B3184">
        <f>COUNTIF(Equipamento_Tunel!$H$2:$H$158,A3184)</f>
        <v>0</v>
      </c>
    </row>
    <row r="3185" spans="1:2" x14ac:dyDescent="0.3">
      <c r="A3185" s="16"/>
      <c r="B3185">
        <f>COUNTIF(Equipamento_Tunel!$H$2:$H$158,A3185)</f>
        <v>0</v>
      </c>
    </row>
    <row r="3186" spans="1:2" x14ac:dyDescent="0.3">
      <c r="A3186" s="31"/>
      <c r="B3186">
        <f>COUNTIF(Equipamento_Tunel!$H$2:$H$158,A3186)</f>
        <v>0</v>
      </c>
    </row>
    <row r="3187" spans="1:2" x14ac:dyDescent="0.3">
      <c r="A3187" s="16"/>
      <c r="B3187">
        <f>COUNTIF(Equipamento_Tunel!$H$2:$H$158,A3187)</f>
        <v>0</v>
      </c>
    </row>
    <row r="3188" spans="1:2" x14ac:dyDescent="0.3">
      <c r="A3188" s="31"/>
      <c r="B3188">
        <f>COUNTIF(Equipamento_Tunel!$H$2:$H$158,A3188)</f>
        <v>0</v>
      </c>
    </row>
    <row r="3189" spans="1:2" x14ac:dyDescent="0.3">
      <c r="A3189" s="16"/>
      <c r="B3189">
        <f>COUNTIF(Equipamento_Tunel!$H$2:$H$158,A3189)</f>
        <v>0</v>
      </c>
    </row>
    <row r="3190" spans="1:2" x14ac:dyDescent="0.3">
      <c r="A3190" s="31"/>
      <c r="B3190">
        <f>COUNTIF(Equipamento_Tunel!$H$2:$H$158,A3190)</f>
        <v>0</v>
      </c>
    </row>
    <row r="3191" spans="1:2" x14ac:dyDescent="0.3">
      <c r="A3191" s="16"/>
      <c r="B3191">
        <f>COUNTIF(Equipamento_Tunel!$H$2:$H$158,A3191)</f>
        <v>0</v>
      </c>
    </row>
    <row r="3192" spans="1:2" x14ac:dyDescent="0.3">
      <c r="A3192" s="31"/>
      <c r="B3192">
        <f>COUNTIF(Equipamento_Tunel!$H$2:$H$158,A3192)</f>
        <v>0</v>
      </c>
    </row>
    <row r="3193" spans="1:2" x14ac:dyDescent="0.3">
      <c r="A3193" s="16"/>
      <c r="B3193">
        <f>COUNTIF(Equipamento_Tunel!$H$2:$H$158,A3193)</f>
        <v>0</v>
      </c>
    </row>
    <row r="3194" spans="1:2" x14ac:dyDescent="0.3">
      <c r="A3194" s="31"/>
      <c r="B3194">
        <f>COUNTIF(Equipamento_Tunel!$H$2:$H$158,A3194)</f>
        <v>0</v>
      </c>
    </row>
    <row r="3195" spans="1:2" x14ac:dyDescent="0.3">
      <c r="A3195" s="16"/>
      <c r="B3195">
        <f>COUNTIF(Equipamento_Tunel!$H$2:$H$158,A3195)</f>
        <v>0</v>
      </c>
    </row>
    <row r="3196" spans="1:2" x14ac:dyDescent="0.3">
      <c r="A3196" s="31"/>
      <c r="B3196">
        <f>COUNTIF(Equipamento_Tunel!$H$2:$H$158,A3196)</f>
        <v>0</v>
      </c>
    </row>
    <row r="3197" spans="1:2" x14ac:dyDescent="0.3">
      <c r="A3197" s="16"/>
      <c r="B3197">
        <f>COUNTIF(Equipamento_Tunel!$H$2:$H$158,A3197)</f>
        <v>0</v>
      </c>
    </row>
    <row r="3198" spans="1:2" x14ac:dyDescent="0.3">
      <c r="A3198" s="31"/>
      <c r="B3198">
        <f>COUNTIF(Equipamento_Tunel!$H$2:$H$158,A3198)</f>
        <v>0</v>
      </c>
    </row>
    <row r="3199" spans="1:2" x14ac:dyDescent="0.3">
      <c r="A3199" s="16" t="s">
        <v>1501</v>
      </c>
      <c r="B3199">
        <f>COUNTIF(Equipamento_Tunel!$H$2:$H$158,A3199)</f>
        <v>0</v>
      </c>
    </row>
    <row r="3200" spans="1:2" x14ac:dyDescent="0.3">
      <c r="A3200" s="31" t="s">
        <v>1502</v>
      </c>
      <c r="B3200">
        <f>COUNTIF(Equipamento_Tunel!$H$2:$H$158,A3200)</f>
        <v>0</v>
      </c>
    </row>
    <row r="3201" spans="1:2" x14ac:dyDescent="0.3">
      <c r="A3201" s="16" t="s">
        <v>1503</v>
      </c>
      <c r="B3201">
        <f>COUNTIF(Equipamento_Tunel!$H$2:$H$158,A3201)</f>
        <v>0</v>
      </c>
    </row>
  </sheetData>
  <autoFilter ref="A1:B3201" xr:uid="{00000000-0009-0000-0000-000001000000}"/>
  <pageMargins left="0.511811024" right="0.511811024" top="0.78740157499999996" bottom="0.78740157499999996" header="0.31496062000000002" footer="0.31496062000000002"/>
  <pageSetup paperSize="9" orientation="portrait" verticalDpi="0" r:id="rId1"/>
  <headerFooter>
    <oddHeader>&amp;L&amp;"Calibri"&amp;10&amp;K000000Interno&amp;1#</oddHeader>
    <oddFooter>&amp;L&amp;1#&amp;"Calibri"&amp;10&amp;K000000Interno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M3201"/>
  <sheetViews>
    <sheetView workbookViewId="0">
      <selection activeCell="G16" sqref="G16"/>
    </sheetView>
  </sheetViews>
  <sheetFormatPr defaultRowHeight="14.4" x14ac:dyDescent="0.3"/>
  <cols>
    <col min="1" max="1" width="7" bestFit="1" customWidth="1"/>
    <col min="3" max="3" width="11.44140625" bestFit="1" customWidth="1"/>
    <col min="4" max="5" width="11.44140625" style="3" customWidth="1"/>
    <col min="6" max="6" width="11.44140625" bestFit="1" customWidth="1"/>
    <col min="7" max="7" width="20" bestFit="1" customWidth="1"/>
    <col min="8" max="8" width="21.88671875" customWidth="1"/>
    <col min="9" max="9" width="15.6640625" bestFit="1" customWidth="1"/>
    <col min="10" max="11" width="12.5546875" customWidth="1"/>
    <col min="12" max="12" width="39.6640625" bestFit="1" customWidth="1"/>
  </cols>
  <sheetData>
    <row r="1" spans="1:13" ht="28.8" x14ac:dyDescent="0.3">
      <c r="A1" s="1" t="s">
        <v>1504</v>
      </c>
      <c r="B1" s="1" t="s">
        <v>1505</v>
      </c>
      <c r="C1" s="1" t="s">
        <v>1506</v>
      </c>
      <c r="D1" s="8" t="s">
        <v>1507</v>
      </c>
      <c r="E1" s="8" t="s">
        <v>1508</v>
      </c>
      <c r="F1" s="1" t="s">
        <v>1509</v>
      </c>
      <c r="G1" s="1" t="s">
        <v>11</v>
      </c>
      <c r="H1" s="1" t="s">
        <v>10</v>
      </c>
      <c r="I1" s="1" t="s">
        <v>1510</v>
      </c>
      <c r="J1" s="2" t="s">
        <v>1511</v>
      </c>
      <c r="K1" s="2" t="s">
        <v>25</v>
      </c>
      <c r="L1" s="2" t="s">
        <v>26</v>
      </c>
      <c r="M1" s="1" t="s">
        <v>1512</v>
      </c>
    </row>
    <row r="2" spans="1:13" x14ac:dyDescent="0.3">
      <c r="A2" s="3">
        <v>1</v>
      </c>
      <c r="B2" s="3">
        <v>1</v>
      </c>
      <c r="C2" s="4">
        <v>332.7285</v>
      </c>
      <c r="D2" s="4">
        <v>331.90100000000001</v>
      </c>
      <c r="E2" s="4">
        <v>333.55700000000002</v>
      </c>
      <c r="F2" s="4">
        <v>1657.0000000000391</v>
      </c>
      <c r="G2" s="4" t="s">
        <v>890</v>
      </c>
      <c r="H2" s="4" t="s">
        <v>889</v>
      </c>
      <c r="I2" s="5"/>
      <c r="J2" s="6">
        <v>0</v>
      </c>
      <c r="K2" s="10" t="s">
        <v>892</v>
      </c>
      <c r="L2" s="4" t="s">
        <v>1513</v>
      </c>
      <c r="M2" s="3">
        <v>1</v>
      </c>
    </row>
    <row r="3" spans="1:13" x14ac:dyDescent="0.3">
      <c r="A3" s="3">
        <v>1</v>
      </c>
      <c r="B3" s="3">
        <v>1</v>
      </c>
      <c r="C3" s="4">
        <v>334.93450000000001</v>
      </c>
      <c r="D3" s="4">
        <v>334.62700000000001</v>
      </c>
      <c r="E3" s="4">
        <v>335.24200000000002</v>
      </c>
      <c r="F3" s="4">
        <v>615.00000000000909</v>
      </c>
      <c r="G3" s="4" t="s">
        <v>907</v>
      </c>
      <c r="H3" s="4" t="s">
        <v>906</v>
      </c>
      <c r="I3" s="5"/>
      <c r="J3" s="6">
        <v>0</v>
      </c>
      <c r="K3" s="10" t="s">
        <v>892</v>
      </c>
      <c r="L3" s="4" t="s">
        <v>1514</v>
      </c>
      <c r="M3" s="3">
        <v>2</v>
      </c>
    </row>
    <row r="4" spans="1:13" x14ac:dyDescent="0.3">
      <c r="A4" s="3">
        <v>7</v>
      </c>
      <c r="B4" s="3">
        <v>7</v>
      </c>
      <c r="C4" s="4">
        <v>416.07150000000001</v>
      </c>
      <c r="D4" s="4">
        <v>415.92899999999997</v>
      </c>
      <c r="E4" s="4">
        <v>416.214</v>
      </c>
      <c r="F4" s="4">
        <v>285.00000000002501</v>
      </c>
      <c r="G4" s="4" t="s">
        <v>1257</v>
      </c>
      <c r="H4" s="4" t="s">
        <v>1256</v>
      </c>
      <c r="I4" s="5"/>
      <c r="J4" s="6">
        <v>0</v>
      </c>
      <c r="K4" s="12" t="s">
        <v>1259</v>
      </c>
      <c r="L4" s="4" t="s">
        <v>1515</v>
      </c>
      <c r="M4" s="3">
        <v>3</v>
      </c>
    </row>
    <row r="5" spans="1:13" x14ac:dyDescent="0.3">
      <c r="A5" s="3">
        <v>7</v>
      </c>
      <c r="B5" s="3">
        <v>7</v>
      </c>
      <c r="C5" s="4">
        <v>425.10249999999996</v>
      </c>
      <c r="D5" s="4">
        <v>425.04599999999999</v>
      </c>
      <c r="E5" s="4">
        <v>425.15899999999999</v>
      </c>
      <c r="F5" s="4">
        <v>112.99999999999955</v>
      </c>
      <c r="G5" s="4" t="s">
        <v>1241</v>
      </c>
      <c r="H5" s="4" t="s">
        <v>1516</v>
      </c>
      <c r="I5" s="5"/>
      <c r="J5" s="6">
        <v>0</v>
      </c>
      <c r="K5" s="13" t="s">
        <v>670</v>
      </c>
      <c r="L5" s="4" t="s">
        <v>1517</v>
      </c>
      <c r="M5" s="3">
        <v>4</v>
      </c>
    </row>
    <row r="6" spans="1:13" x14ac:dyDescent="0.3">
      <c r="A6" s="3">
        <v>7</v>
      </c>
      <c r="B6" s="3">
        <v>7</v>
      </c>
      <c r="C6" s="4">
        <v>425.64449999999999</v>
      </c>
      <c r="D6" s="4">
        <v>425.57900000000001</v>
      </c>
      <c r="E6" s="4">
        <v>425.71100000000001</v>
      </c>
      <c r="F6" s="4">
        <v>130.99999999997181</v>
      </c>
      <c r="G6" s="4" t="s">
        <v>1223</v>
      </c>
      <c r="H6" s="4" t="s">
        <v>1222</v>
      </c>
      <c r="I6" s="5"/>
      <c r="J6" s="6">
        <v>0</v>
      </c>
      <c r="K6" s="13" t="s">
        <v>670</v>
      </c>
      <c r="L6" s="4" t="s">
        <v>1518</v>
      </c>
      <c r="M6" s="3">
        <v>5</v>
      </c>
    </row>
    <row r="7" spans="1:13" x14ac:dyDescent="0.3">
      <c r="A7" s="3">
        <v>7</v>
      </c>
      <c r="B7" s="3">
        <v>7</v>
      </c>
      <c r="C7" s="4">
        <v>426.35899999999998</v>
      </c>
      <c r="D7" s="4">
        <v>426.21499999999997</v>
      </c>
      <c r="E7" s="4">
        <v>426.50299999999999</v>
      </c>
      <c r="F7" s="4">
        <v>288.00000000001091</v>
      </c>
      <c r="G7" s="4" t="s">
        <v>943</v>
      </c>
      <c r="H7" s="4" t="s">
        <v>1519</v>
      </c>
      <c r="I7" s="5"/>
      <c r="J7" s="6">
        <v>0</v>
      </c>
      <c r="K7" s="13" t="s">
        <v>670</v>
      </c>
      <c r="L7" s="4" t="s">
        <v>1520</v>
      </c>
      <c r="M7" s="3">
        <v>6</v>
      </c>
    </row>
    <row r="8" spans="1:13" x14ac:dyDescent="0.3">
      <c r="A8" s="3">
        <v>7</v>
      </c>
      <c r="B8" s="3">
        <v>7</v>
      </c>
      <c r="C8" s="4">
        <v>427.57499999999999</v>
      </c>
      <c r="D8" s="4">
        <v>427.274</v>
      </c>
      <c r="E8" s="4">
        <v>427.87599999999998</v>
      </c>
      <c r="F8" s="4">
        <v>601.99999999997544</v>
      </c>
      <c r="G8" s="4" t="s">
        <v>886</v>
      </c>
      <c r="H8" s="4" t="s">
        <v>885</v>
      </c>
      <c r="I8" s="5"/>
      <c r="J8" s="6">
        <v>0</v>
      </c>
      <c r="K8" s="13" t="s">
        <v>670</v>
      </c>
      <c r="L8" s="4" t="s">
        <v>1521</v>
      </c>
      <c r="M8" s="3">
        <v>7</v>
      </c>
    </row>
    <row r="9" spans="1:13" x14ac:dyDescent="0.3">
      <c r="A9" s="3">
        <v>7</v>
      </c>
      <c r="B9" s="3">
        <v>7</v>
      </c>
      <c r="C9" s="4">
        <v>439.41699999999997</v>
      </c>
      <c r="D9" s="4">
        <v>439.31599999999997</v>
      </c>
      <c r="E9" s="4">
        <v>439.51799999999997</v>
      </c>
      <c r="F9" s="4">
        <v>201.99999999999818</v>
      </c>
      <c r="G9" s="4" t="s">
        <v>1000</v>
      </c>
      <c r="H9" s="4" t="s">
        <v>999</v>
      </c>
      <c r="I9" s="5"/>
      <c r="J9" s="6">
        <v>0</v>
      </c>
      <c r="K9" s="13" t="s">
        <v>670</v>
      </c>
      <c r="L9" s="4" t="s">
        <v>1522</v>
      </c>
      <c r="M9" s="3">
        <v>8</v>
      </c>
    </row>
    <row r="10" spans="1:13" x14ac:dyDescent="0.3">
      <c r="A10" s="3">
        <v>7</v>
      </c>
      <c r="B10" s="3">
        <v>7</v>
      </c>
      <c r="C10" s="4">
        <v>480.03949999999998</v>
      </c>
      <c r="D10" s="4">
        <v>479.90600000000001</v>
      </c>
      <c r="E10" s="4">
        <v>480.173</v>
      </c>
      <c r="F10" s="4">
        <v>266.99999999999591</v>
      </c>
      <c r="G10" s="4" t="s">
        <v>875</v>
      </c>
      <c r="H10" s="4" t="s">
        <v>874</v>
      </c>
      <c r="I10" s="5"/>
      <c r="J10" s="6">
        <v>0</v>
      </c>
      <c r="K10" s="13" t="s">
        <v>670</v>
      </c>
      <c r="L10" s="4" t="s">
        <v>1523</v>
      </c>
      <c r="M10" s="3">
        <v>9</v>
      </c>
    </row>
    <row r="11" spans="1:13" x14ac:dyDescent="0.3">
      <c r="A11" s="3">
        <v>7</v>
      </c>
      <c r="B11" s="3">
        <v>7</v>
      </c>
      <c r="C11" s="4">
        <v>480.58299999999997</v>
      </c>
      <c r="D11" s="4">
        <v>480.44099999999997</v>
      </c>
      <c r="E11" s="4">
        <v>480.726</v>
      </c>
      <c r="F11" s="4">
        <v>286.00000000000136</v>
      </c>
      <c r="G11" s="4" t="s">
        <v>1435</v>
      </c>
      <c r="H11" s="4" t="s">
        <v>1524</v>
      </c>
      <c r="I11" s="5"/>
      <c r="J11" s="6">
        <v>0</v>
      </c>
      <c r="K11" s="13" t="s">
        <v>670</v>
      </c>
      <c r="L11" s="4" t="s">
        <v>1525</v>
      </c>
      <c r="M11" s="3">
        <v>10</v>
      </c>
    </row>
    <row r="12" spans="1:13" x14ac:dyDescent="0.3">
      <c r="A12" s="3">
        <v>7</v>
      </c>
      <c r="B12" s="3">
        <v>7</v>
      </c>
      <c r="C12" s="4">
        <v>484.54600000000005</v>
      </c>
      <c r="D12" s="4">
        <v>484.32100000000003</v>
      </c>
      <c r="E12" s="4">
        <v>484.77100000000002</v>
      </c>
      <c r="F12" s="4">
        <v>449.99999999998863</v>
      </c>
      <c r="G12" s="4" t="s">
        <v>666</v>
      </c>
      <c r="H12" s="4" t="s">
        <v>665</v>
      </c>
      <c r="I12" s="5"/>
      <c r="J12" s="6">
        <v>0</v>
      </c>
      <c r="K12" s="13" t="s">
        <v>670</v>
      </c>
      <c r="L12" s="4" t="s">
        <v>1526</v>
      </c>
      <c r="M12" s="3">
        <v>11</v>
      </c>
    </row>
    <row r="13" spans="1:13" x14ac:dyDescent="0.3">
      <c r="A13" s="3">
        <v>7</v>
      </c>
      <c r="B13" s="3">
        <v>7</v>
      </c>
      <c r="C13" s="4">
        <v>495.60699999999997</v>
      </c>
      <c r="D13" s="4">
        <v>495.43900000000002</v>
      </c>
      <c r="E13" s="4">
        <v>495.77499999999998</v>
      </c>
      <c r="F13" s="4">
        <v>335.99999999995589</v>
      </c>
      <c r="G13" s="4" t="s">
        <v>1380</v>
      </c>
      <c r="H13" s="4" t="s">
        <v>1527</v>
      </c>
      <c r="I13" s="5"/>
      <c r="J13" s="6">
        <v>0</v>
      </c>
      <c r="K13" s="13" t="s">
        <v>670</v>
      </c>
      <c r="L13" s="4" t="s">
        <v>1528</v>
      </c>
      <c r="M13" s="3">
        <v>12</v>
      </c>
    </row>
    <row r="14" spans="1:13" x14ac:dyDescent="0.3">
      <c r="A14" s="3">
        <v>7</v>
      </c>
      <c r="B14" s="3">
        <v>7</v>
      </c>
      <c r="C14" s="4">
        <v>499.59050000000002</v>
      </c>
      <c r="D14" s="4">
        <v>499.47899999999998</v>
      </c>
      <c r="E14" s="4">
        <v>499.702</v>
      </c>
      <c r="F14" s="4">
        <v>223.00000000001319</v>
      </c>
      <c r="G14" s="4" t="s">
        <v>1297</v>
      </c>
      <c r="H14" s="4" t="s">
        <v>1296</v>
      </c>
      <c r="I14" s="5"/>
      <c r="J14" s="6">
        <v>0</v>
      </c>
      <c r="K14" s="13" t="s">
        <v>670</v>
      </c>
      <c r="L14" s="4" t="s">
        <v>1529</v>
      </c>
      <c r="M14" s="3">
        <v>13</v>
      </c>
    </row>
    <row r="15" spans="1:13" x14ac:dyDescent="0.3">
      <c r="A15" s="3">
        <v>7</v>
      </c>
      <c r="B15" s="3">
        <v>7</v>
      </c>
      <c r="C15" s="4">
        <v>500.51749999999998</v>
      </c>
      <c r="D15" s="4">
        <v>500.21499999999997</v>
      </c>
      <c r="E15" s="4">
        <v>500.61799999999999</v>
      </c>
      <c r="F15" s="4">
        <v>403.00000000002001</v>
      </c>
      <c r="G15" s="4" t="s">
        <v>660</v>
      </c>
      <c r="H15" s="4" t="s">
        <v>659</v>
      </c>
      <c r="I15" s="5"/>
      <c r="J15" s="6">
        <v>0</v>
      </c>
      <c r="K15" s="13" t="s">
        <v>662</v>
      </c>
      <c r="L15" s="4" t="s">
        <v>1530</v>
      </c>
      <c r="M15" s="3">
        <v>14</v>
      </c>
    </row>
    <row r="16" spans="1:13" x14ac:dyDescent="0.3">
      <c r="A16" s="3">
        <v>7</v>
      </c>
      <c r="B16" s="3">
        <v>7</v>
      </c>
      <c r="C16" s="4">
        <v>501.13400000000001</v>
      </c>
      <c r="D16" s="4">
        <v>500.959</v>
      </c>
      <c r="E16" s="4">
        <v>501.30900000000003</v>
      </c>
      <c r="F16" s="4">
        <v>350.00000000002274</v>
      </c>
      <c r="G16" s="4" t="s">
        <v>1321</v>
      </c>
      <c r="H16" s="4" t="s">
        <v>1320</v>
      </c>
      <c r="I16" s="5"/>
      <c r="J16" s="6">
        <v>0</v>
      </c>
      <c r="K16" s="14" t="s">
        <v>662</v>
      </c>
      <c r="L16" s="4" t="s">
        <v>1531</v>
      </c>
      <c r="M16" s="3">
        <v>15</v>
      </c>
    </row>
    <row r="17" spans="1:13" x14ac:dyDescent="0.3">
      <c r="A17" s="3">
        <v>7</v>
      </c>
      <c r="B17" s="3">
        <v>7</v>
      </c>
      <c r="C17" s="4">
        <v>503.32050000000004</v>
      </c>
      <c r="D17" s="4">
        <v>502.85300000000001</v>
      </c>
      <c r="E17" s="4">
        <v>503.78800000000001</v>
      </c>
      <c r="F17" s="4">
        <v>935.00000000000227</v>
      </c>
      <c r="G17" s="4" t="s">
        <v>879</v>
      </c>
      <c r="H17" s="4" t="s">
        <v>878</v>
      </c>
      <c r="I17" s="5"/>
      <c r="J17" s="6">
        <v>0</v>
      </c>
      <c r="K17" s="14" t="s">
        <v>662</v>
      </c>
      <c r="L17" s="4" t="s">
        <v>1532</v>
      </c>
      <c r="M17" s="3">
        <v>16</v>
      </c>
    </row>
    <row r="18" spans="1:13" x14ac:dyDescent="0.3">
      <c r="A18" s="3">
        <v>7</v>
      </c>
      <c r="B18" s="3">
        <v>7</v>
      </c>
      <c r="C18" s="4">
        <v>504.24549999999999</v>
      </c>
      <c r="D18" s="4">
        <v>503.84199999999998</v>
      </c>
      <c r="E18" s="4">
        <v>504.649</v>
      </c>
      <c r="F18" s="4">
        <v>807.00000000001637</v>
      </c>
      <c r="G18" s="4" t="s">
        <v>1353</v>
      </c>
      <c r="H18" s="4" t="s">
        <v>1533</v>
      </c>
      <c r="I18" s="5"/>
      <c r="J18" s="6">
        <v>0</v>
      </c>
      <c r="K18" s="14" t="s">
        <v>662</v>
      </c>
      <c r="L18" s="4" t="s">
        <v>1534</v>
      </c>
      <c r="M18" s="3">
        <v>17</v>
      </c>
    </row>
    <row r="19" spans="1:13" x14ac:dyDescent="0.3">
      <c r="A19" s="3">
        <v>7</v>
      </c>
      <c r="B19" s="3">
        <v>7</v>
      </c>
      <c r="C19" s="4">
        <v>505.75750000000005</v>
      </c>
      <c r="D19" s="4">
        <v>505.33800000000002</v>
      </c>
      <c r="E19" s="4">
        <v>506.17700000000002</v>
      </c>
      <c r="F19" s="4">
        <v>838.99999999999864</v>
      </c>
      <c r="G19" s="4" t="s">
        <v>962</v>
      </c>
      <c r="H19" s="4" t="s">
        <v>1535</v>
      </c>
      <c r="I19" s="5"/>
      <c r="J19" s="6">
        <v>0</v>
      </c>
      <c r="K19" s="14" t="s">
        <v>662</v>
      </c>
      <c r="L19" s="4" t="s">
        <v>1536</v>
      </c>
      <c r="M19" s="3">
        <v>18</v>
      </c>
    </row>
    <row r="20" spans="1:13" x14ac:dyDescent="0.3">
      <c r="A20" s="3">
        <v>7</v>
      </c>
      <c r="B20" s="3">
        <v>7</v>
      </c>
      <c r="C20" s="4">
        <v>530.05399999999997</v>
      </c>
      <c r="D20" s="4">
        <v>529.56399999999996</v>
      </c>
      <c r="E20" s="4">
        <v>530.54399999999998</v>
      </c>
      <c r="F20" s="4">
        <v>980.00000000001819</v>
      </c>
      <c r="G20" s="4" t="s">
        <v>911</v>
      </c>
      <c r="H20" s="4" t="s">
        <v>910</v>
      </c>
      <c r="I20" s="5"/>
      <c r="J20" s="6">
        <v>0</v>
      </c>
      <c r="K20" s="14" t="s">
        <v>662</v>
      </c>
      <c r="L20" s="4" t="s">
        <v>1537</v>
      </c>
      <c r="M20" s="3">
        <v>19</v>
      </c>
    </row>
    <row r="21" spans="1:13" x14ac:dyDescent="0.3">
      <c r="A21" s="3">
        <v>9</v>
      </c>
      <c r="B21" s="3">
        <v>9</v>
      </c>
      <c r="C21" s="4">
        <v>190.4085</v>
      </c>
      <c r="D21" s="4">
        <v>190.279</v>
      </c>
      <c r="E21" s="4">
        <v>190.53800000000001</v>
      </c>
      <c r="F21" s="4">
        <v>259.00000000001455</v>
      </c>
      <c r="G21" s="4" t="s">
        <v>946</v>
      </c>
      <c r="H21" s="4" t="s">
        <v>945</v>
      </c>
      <c r="I21" s="5"/>
      <c r="J21" s="6">
        <v>0</v>
      </c>
      <c r="K21" s="10" t="s">
        <v>948</v>
      </c>
      <c r="L21" s="4" t="s">
        <v>1538</v>
      </c>
      <c r="M21" s="3">
        <v>20</v>
      </c>
    </row>
    <row r="22" spans="1:13" x14ac:dyDescent="0.3">
      <c r="A22" s="3">
        <v>10</v>
      </c>
      <c r="B22" s="3">
        <v>10</v>
      </c>
      <c r="C22" s="4">
        <v>52.57</v>
      </c>
      <c r="D22" s="4">
        <v>52.518999999999998</v>
      </c>
      <c r="E22" s="4">
        <v>52.621000000000002</v>
      </c>
      <c r="F22" s="4">
        <v>102.00000000000387</v>
      </c>
      <c r="G22" s="4" t="s">
        <v>1177</v>
      </c>
      <c r="H22" s="4" t="s">
        <v>1539</v>
      </c>
      <c r="I22" s="5"/>
      <c r="J22" s="6">
        <v>2</v>
      </c>
      <c r="K22" s="10" t="s">
        <v>687</v>
      </c>
      <c r="L22" s="4" t="s">
        <v>1540</v>
      </c>
      <c r="M22" s="3">
        <v>21</v>
      </c>
    </row>
    <row r="23" spans="1:13" x14ac:dyDescent="0.3">
      <c r="A23" s="3">
        <v>10</v>
      </c>
      <c r="B23" s="3">
        <v>10</v>
      </c>
      <c r="C23" s="4">
        <v>53.576000000000001</v>
      </c>
      <c r="D23" s="4">
        <v>53.551000000000002</v>
      </c>
      <c r="E23" s="4">
        <v>53.697000000000003</v>
      </c>
      <c r="F23" s="4">
        <v>146.0000000000008</v>
      </c>
      <c r="G23" s="4" t="s">
        <v>1169</v>
      </c>
      <c r="H23" s="4" t="s">
        <v>1541</v>
      </c>
      <c r="I23" s="5"/>
      <c r="J23" s="6">
        <v>2</v>
      </c>
      <c r="K23" s="10" t="s">
        <v>687</v>
      </c>
      <c r="L23" s="4" t="s">
        <v>1542</v>
      </c>
      <c r="M23" s="3">
        <v>22</v>
      </c>
    </row>
    <row r="24" spans="1:13" x14ac:dyDescent="0.3">
      <c r="A24" s="3">
        <v>10</v>
      </c>
      <c r="B24" s="3">
        <v>10</v>
      </c>
      <c r="C24" s="4">
        <v>58.153999999999996</v>
      </c>
      <c r="D24" s="4">
        <v>58.088000000000001</v>
      </c>
      <c r="E24" s="4">
        <v>58.220999999999997</v>
      </c>
      <c r="F24" s="4">
        <v>131.9999999999979</v>
      </c>
      <c r="G24" s="4" t="s">
        <v>685</v>
      </c>
      <c r="H24" s="4" t="s">
        <v>684</v>
      </c>
      <c r="I24" s="5"/>
      <c r="J24" s="6">
        <v>2</v>
      </c>
      <c r="K24" s="10" t="s">
        <v>687</v>
      </c>
      <c r="L24" s="4" t="s">
        <v>1543</v>
      </c>
      <c r="M24" s="3">
        <v>23</v>
      </c>
    </row>
    <row r="25" spans="1:13" x14ac:dyDescent="0.3">
      <c r="A25" s="3">
        <v>10</v>
      </c>
      <c r="B25" s="3">
        <v>10</v>
      </c>
      <c r="C25" s="4">
        <v>60.369</v>
      </c>
      <c r="D25" s="4">
        <v>60.347999999999999</v>
      </c>
      <c r="E25" s="4">
        <v>60.390999999999998</v>
      </c>
      <c r="F25" s="4">
        <v>42.000000000001592</v>
      </c>
      <c r="G25" s="4" t="s">
        <v>1436</v>
      </c>
      <c r="H25" s="4" t="s">
        <v>1544</v>
      </c>
      <c r="I25" s="5"/>
      <c r="J25" s="6">
        <v>2</v>
      </c>
      <c r="K25" s="10" t="s">
        <v>687</v>
      </c>
      <c r="L25" s="4" t="s">
        <v>1545</v>
      </c>
      <c r="M25" s="3">
        <v>24</v>
      </c>
    </row>
    <row r="26" spans="1:13" x14ac:dyDescent="0.3">
      <c r="A26" s="3">
        <v>10</v>
      </c>
      <c r="B26" s="3">
        <v>10</v>
      </c>
      <c r="C26" s="4">
        <v>60.643999999999998</v>
      </c>
      <c r="D26" s="4">
        <v>60.558</v>
      </c>
      <c r="E26" s="4">
        <v>60.731000000000002</v>
      </c>
      <c r="F26" s="4">
        <v>171.99999999999704</v>
      </c>
      <c r="G26" s="4" t="s">
        <v>983</v>
      </c>
      <c r="H26" s="4" t="s">
        <v>982</v>
      </c>
      <c r="I26" s="5"/>
      <c r="J26" s="6">
        <v>2</v>
      </c>
      <c r="K26" s="10" t="s">
        <v>687</v>
      </c>
      <c r="L26" s="4" t="s">
        <v>1546</v>
      </c>
      <c r="M26" s="3">
        <v>25</v>
      </c>
    </row>
    <row r="27" spans="1:13" x14ac:dyDescent="0.3">
      <c r="A27" s="3">
        <v>10</v>
      </c>
      <c r="B27" s="3">
        <v>10</v>
      </c>
      <c r="C27" s="4">
        <v>62.697500000000005</v>
      </c>
      <c r="D27" s="4">
        <v>62.682000000000002</v>
      </c>
      <c r="E27" s="4">
        <v>62.713000000000001</v>
      </c>
      <c r="F27" s="4">
        <v>30.999999999998806</v>
      </c>
      <c r="G27" s="4" t="s">
        <v>979</v>
      </c>
      <c r="H27" s="4" t="s">
        <v>978</v>
      </c>
      <c r="I27" s="5"/>
      <c r="J27" s="6">
        <v>2</v>
      </c>
      <c r="K27" s="10" t="s">
        <v>687</v>
      </c>
      <c r="L27" s="4" t="s">
        <v>1547</v>
      </c>
      <c r="M27" s="3">
        <v>26</v>
      </c>
    </row>
    <row r="28" spans="1:13" x14ac:dyDescent="0.3">
      <c r="A28" s="3">
        <v>10</v>
      </c>
      <c r="B28" s="3">
        <v>10</v>
      </c>
      <c r="C28" s="4">
        <v>63.551000000000002</v>
      </c>
      <c r="D28" s="4">
        <v>63.390999999999998</v>
      </c>
      <c r="E28" s="4">
        <v>63.710999999999999</v>
      </c>
      <c r="F28" s="4">
        <v>320.00000000000028</v>
      </c>
      <c r="G28" s="4" t="s">
        <v>1163</v>
      </c>
      <c r="H28" s="4" t="s">
        <v>1548</v>
      </c>
      <c r="I28" s="5"/>
      <c r="J28" s="6">
        <v>2</v>
      </c>
      <c r="K28" s="10" t="s">
        <v>687</v>
      </c>
      <c r="L28" s="4" t="s">
        <v>1549</v>
      </c>
      <c r="M28" s="3">
        <v>27</v>
      </c>
    </row>
    <row r="29" spans="1:13" x14ac:dyDescent="0.3">
      <c r="A29" s="3">
        <v>10</v>
      </c>
      <c r="B29" s="3">
        <v>10</v>
      </c>
      <c r="C29" s="4">
        <v>64.081000000000003</v>
      </c>
      <c r="D29" s="4">
        <v>64.051000000000002</v>
      </c>
      <c r="E29" s="4">
        <v>64.111000000000004</v>
      </c>
      <c r="F29" s="4">
        <v>60.000000000002274</v>
      </c>
      <c r="G29" s="4" t="s">
        <v>1159</v>
      </c>
      <c r="H29" s="4" t="s">
        <v>1550</v>
      </c>
      <c r="I29" s="5"/>
      <c r="J29" s="6">
        <v>2</v>
      </c>
      <c r="K29" s="10" t="s">
        <v>687</v>
      </c>
      <c r="L29" s="4" t="s">
        <v>1551</v>
      </c>
      <c r="M29" s="3">
        <v>28</v>
      </c>
    </row>
    <row r="30" spans="1:13" x14ac:dyDescent="0.3">
      <c r="A30" s="3">
        <v>10</v>
      </c>
      <c r="B30" s="3">
        <v>10</v>
      </c>
      <c r="C30" s="4">
        <v>64.923000000000002</v>
      </c>
      <c r="D30" s="4">
        <v>64.856999999999999</v>
      </c>
      <c r="E30" s="4">
        <v>64.989000000000004</v>
      </c>
      <c r="F30" s="4">
        <v>132.000000000005</v>
      </c>
      <c r="G30" s="4" t="s">
        <v>1156</v>
      </c>
      <c r="H30" s="4" t="s">
        <v>1552</v>
      </c>
      <c r="I30" s="5"/>
      <c r="J30" s="6">
        <v>2</v>
      </c>
      <c r="K30" s="10" t="s">
        <v>687</v>
      </c>
      <c r="L30" s="4" t="s">
        <v>1553</v>
      </c>
      <c r="M30" s="3">
        <v>29</v>
      </c>
    </row>
    <row r="31" spans="1:13" x14ac:dyDescent="0.3">
      <c r="A31" s="3">
        <v>10</v>
      </c>
      <c r="B31" s="3">
        <v>10</v>
      </c>
      <c r="C31" s="4">
        <v>65.159500000000008</v>
      </c>
      <c r="D31" s="4">
        <v>65.028999999999996</v>
      </c>
      <c r="E31" s="4">
        <v>65.290999999999997</v>
      </c>
      <c r="F31" s="4">
        <v>261.00000000000989</v>
      </c>
      <c r="G31" s="4" t="s">
        <v>974</v>
      </c>
      <c r="H31" s="4" t="s">
        <v>973</v>
      </c>
      <c r="I31" s="5"/>
      <c r="J31" s="6">
        <v>2</v>
      </c>
      <c r="K31" s="10" t="s">
        <v>687</v>
      </c>
      <c r="L31" s="4" t="s">
        <v>1554</v>
      </c>
      <c r="M31" s="3">
        <v>30</v>
      </c>
    </row>
    <row r="32" spans="1:13" x14ac:dyDescent="0.3">
      <c r="A32" s="3">
        <v>10</v>
      </c>
      <c r="B32" s="3">
        <v>10</v>
      </c>
      <c r="C32" s="4">
        <v>65.485500000000002</v>
      </c>
      <c r="D32" s="4">
        <v>65.441999999999993</v>
      </c>
      <c r="E32" s="4">
        <v>65.528999999999996</v>
      </c>
      <c r="F32" s="4">
        <v>87.000000000003297</v>
      </c>
      <c r="G32" s="4" t="s">
        <v>1153</v>
      </c>
      <c r="H32" s="4" t="s">
        <v>1555</v>
      </c>
      <c r="I32" s="5"/>
      <c r="J32" s="6">
        <v>2</v>
      </c>
      <c r="K32" s="10" t="s">
        <v>687</v>
      </c>
      <c r="L32" s="4" t="s">
        <v>1556</v>
      </c>
      <c r="M32" s="3">
        <v>31</v>
      </c>
    </row>
    <row r="33" spans="1:13" x14ac:dyDescent="0.3">
      <c r="A33" s="3">
        <v>10</v>
      </c>
      <c r="B33" s="3">
        <v>10</v>
      </c>
      <c r="C33" s="4">
        <v>79.922499999999999</v>
      </c>
      <c r="D33" s="4">
        <v>79.680999999999997</v>
      </c>
      <c r="E33" s="4">
        <v>80.164000000000001</v>
      </c>
      <c r="F33" s="4">
        <v>483.00000000000409</v>
      </c>
      <c r="G33" s="4" t="s">
        <v>918</v>
      </c>
      <c r="H33" s="4" t="s">
        <v>917</v>
      </c>
      <c r="I33" s="5"/>
      <c r="J33" s="6">
        <v>2</v>
      </c>
      <c r="K33" s="10" t="s">
        <v>687</v>
      </c>
      <c r="L33" s="4" t="s">
        <v>1557</v>
      </c>
      <c r="M33" s="3">
        <v>32</v>
      </c>
    </row>
    <row r="34" spans="1:13" x14ac:dyDescent="0.3">
      <c r="A34" s="3">
        <v>13</v>
      </c>
      <c r="B34" s="3">
        <v>13</v>
      </c>
      <c r="C34" s="4">
        <v>23.320999999999998</v>
      </c>
      <c r="D34" s="4">
        <v>23.221</v>
      </c>
      <c r="E34" s="4">
        <v>23.420999999999999</v>
      </c>
      <c r="F34" s="4">
        <v>199.99999999999929</v>
      </c>
      <c r="G34" s="4" t="s">
        <v>680</v>
      </c>
      <c r="H34" s="4" t="s">
        <v>679</v>
      </c>
      <c r="I34" s="5"/>
      <c r="J34" s="6">
        <v>0</v>
      </c>
      <c r="K34" s="10" t="s">
        <v>675</v>
      </c>
      <c r="L34" s="4" t="s">
        <v>1558</v>
      </c>
      <c r="M34" s="3">
        <v>33</v>
      </c>
    </row>
    <row r="35" spans="1:13" x14ac:dyDescent="0.3">
      <c r="A35" s="3">
        <v>13</v>
      </c>
      <c r="B35" s="3">
        <v>13</v>
      </c>
      <c r="C35" s="4">
        <v>51.643000000000001</v>
      </c>
      <c r="D35" s="4">
        <v>51.496000000000002</v>
      </c>
      <c r="E35" s="4">
        <v>51.790999999999997</v>
      </c>
      <c r="F35" s="4">
        <v>293.99999999999693</v>
      </c>
      <c r="G35" s="4" t="s">
        <v>673</v>
      </c>
      <c r="H35" s="4" t="s">
        <v>672</v>
      </c>
      <c r="I35" s="5"/>
      <c r="J35" s="6">
        <v>0</v>
      </c>
      <c r="K35" s="10" t="s">
        <v>675</v>
      </c>
      <c r="L35" s="4" t="s">
        <v>1559</v>
      </c>
      <c r="M35" s="3">
        <v>34</v>
      </c>
    </row>
    <row r="36" spans="1:13" x14ac:dyDescent="0.3">
      <c r="A36" s="3">
        <v>14</v>
      </c>
      <c r="B36" s="3">
        <v>14</v>
      </c>
      <c r="C36" s="4">
        <v>107.76900000000001</v>
      </c>
      <c r="D36" s="4">
        <v>107.685</v>
      </c>
      <c r="E36" s="4">
        <v>107.85299999999999</v>
      </c>
      <c r="F36" s="4">
        <v>167.99999999999216</v>
      </c>
      <c r="G36" s="4" t="s">
        <v>539</v>
      </c>
      <c r="H36" s="4" t="s">
        <v>538</v>
      </c>
      <c r="I36" s="5"/>
      <c r="J36" s="6">
        <v>0</v>
      </c>
      <c r="K36" s="10" t="s">
        <v>1287</v>
      </c>
      <c r="L36" s="4" t="s">
        <v>1560</v>
      </c>
      <c r="M36" s="3">
        <v>35</v>
      </c>
    </row>
    <row r="37" spans="1:13" x14ac:dyDescent="0.3">
      <c r="A37" s="3">
        <v>14</v>
      </c>
      <c r="B37" s="3">
        <v>14</v>
      </c>
      <c r="C37" s="4">
        <v>118.899</v>
      </c>
      <c r="D37" s="4">
        <v>118.881</v>
      </c>
      <c r="E37" s="4">
        <v>118.91800000000001</v>
      </c>
      <c r="F37" s="4">
        <v>38.000000000010914</v>
      </c>
      <c r="G37" s="4" t="s">
        <v>523</v>
      </c>
      <c r="H37" s="4" t="s">
        <v>522</v>
      </c>
      <c r="I37" s="5"/>
      <c r="J37" s="6">
        <v>0</v>
      </c>
      <c r="K37" s="10" t="s">
        <v>1287</v>
      </c>
      <c r="L37" s="4" t="s">
        <v>1561</v>
      </c>
      <c r="M37" s="3">
        <v>36</v>
      </c>
    </row>
    <row r="38" spans="1:13" x14ac:dyDescent="0.3">
      <c r="A38" s="3">
        <v>14</v>
      </c>
      <c r="B38" s="3">
        <v>14</v>
      </c>
      <c r="C38" s="4">
        <v>120.95949999999999</v>
      </c>
      <c r="D38" s="4">
        <v>120.925</v>
      </c>
      <c r="E38" s="4">
        <v>120.994</v>
      </c>
      <c r="F38" s="4">
        <v>69.000000000002615</v>
      </c>
      <c r="G38" s="4" t="s">
        <v>528</v>
      </c>
      <c r="H38" s="4" t="s">
        <v>527</v>
      </c>
      <c r="I38" s="5"/>
      <c r="J38" s="6">
        <v>0</v>
      </c>
      <c r="K38" s="10" t="s">
        <v>1287</v>
      </c>
      <c r="L38" s="4" t="s">
        <v>1562</v>
      </c>
      <c r="M38" s="3">
        <v>37</v>
      </c>
    </row>
    <row r="39" spans="1:13" x14ac:dyDescent="0.3">
      <c r="A39" s="3">
        <v>14</v>
      </c>
      <c r="B39" s="3">
        <v>14</v>
      </c>
      <c r="C39" s="4">
        <v>122.334</v>
      </c>
      <c r="D39" s="4">
        <v>122.27500000000001</v>
      </c>
      <c r="E39" s="4">
        <v>122.393</v>
      </c>
      <c r="F39" s="4">
        <v>117.999999999995</v>
      </c>
      <c r="G39" s="4" t="s">
        <v>532</v>
      </c>
      <c r="H39" s="4" t="s">
        <v>531</v>
      </c>
      <c r="I39" s="5"/>
      <c r="J39" s="6">
        <v>0</v>
      </c>
      <c r="K39" s="10" t="s">
        <v>1287</v>
      </c>
      <c r="L39" s="4" t="s">
        <v>1563</v>
      </c>
      <c r="M39" s="3">
        <v>38</v>
      </c>
    </row>
    <row r="40" spans="1:13" x14ac:dyDescent="0.3">
      <c r="A40" s="3">
        <v>14</v>
      </c>
      <c r="B40" s="3">
        <v>14</v>
      </c>
      <c r="C40" s="4">
        <v>125.8235</v>
      </c>
      <c r="D40" s="4">
        <v>125.79900000000001</v>
      </c>
      <c r="E40" s="4">
        <v>125.848</v>
      </c>
      <c r="F40" s="4">
        <v>48.999999999992383</v>
      </c>
      <c r="G40" s="4" t="s">
        <v>517</v>
      </c>
      <c r="H40" s="4" t="s">
        <v>516</v>
      </c>
      <c r="I40" s="5"/>
      <c r="J40" s="6">
        <v>0</v>
      </c>
      <c r="K40" s="10" t="s">
        <v>1287</v>
      </c>
      <c r="L40" s="4" t="s">
        <v>1564</v>
      </c>
      <c r="M40" s="3">
        <v>39</v>
      </c>
    </row>
    <row r="41" spans="1:13" x14ac:dyDescent="0.3">
      <c r="A41" s="3">
        <v>16</v>
      </c>
      <c r="B41" s="3">
        <v>16</v>
      </c>
      <c r="C41" s="4">
        <v>38.4375</v>
      </c>
      <c r="D41" s="4">
        <v>38.283999999999999</v>
      </c>
      <c r="E41" s="4">
        <v>38.591000000000001</v>
      </c>
      <c r="F41" s="4">
        <v>307.00000000000216</v>
      </c>
      <c r="G41" s="4" t="s">
        <v>1008</v>
      </c>
      <c r="H41" s="4" t="s">
        <v>1007</v>
      </c>
      <c r="I41" s="5"/>
      <c r="J41" s="6">
        <v>0</v>
      </c>
      <c r="K41" s="10" t="s">
        <v>1009</v>
      </c>
      <c r="L41" s="4" t="s">
        <v>1565</v>
      </c>
      <c r="M41" s="3">
        <v>40</v>
      </c>
    </row>
    <row r="42" spans="1:13" x14ac:dyDescent="0.3">
      <c r="A42" s="3">
        <v>16</v>
      </c>
      <c r="B42" s="3">
        <v>16</v>
      </c>
      <c r="C42" s="4">
        <v>113.76</v>
      </c>
      <c r="D42" s="4">
        <v>113.64100000000001</v>
      </c>
      <c r="E42" s="4">
        <v>113.879</v>
      </c>
      <c r="F42" s="4">
        <v>237.99999999999955</v>
      </c>
      <c r="G42" s="4" t="s">
        <v>1012</v>
      </c>
      <c r="H42" s="4" t="s">
        <v>1011</v>
      </c>
      <c r="I42" s="5"/>
      <c r="J42" s="6">
        <v>0</v>
      </c>
      <c r="K42" s="10" t="s">
        <v>116</v>
      </c>
      <c r="L42" s="4" t="s">
        <v>1566</v>
      </c>
      <c r="M42" s="3">
        <v>41</v>
      </c>
    </row>
    <row r="43" spans="1:13" x14ac:dyDescent="0.3">
      <c r="A43" s="3">
        <v>16</v>
      </c>
      <c r="B43" s="3">
        <v>16</v>
      </c>
      <c r="C43" s="4">
        <v>114.23050000000001</v>
      </c>
      <c r="D43" s="4">
        <v>114.134</v>
      </c>
      <c r="E43" s="4">
        <v>114.327</v>
      </c>
      <c r="F43" s="4">
        <v>192.99999999999784</v>
      </c>
      <c r="G43" s="4" t="s">
        <v>1068</v>
      </c>
      <c r="H43" s="4" t="s">
        <v>1067</v>
      </c>
      <c r="I43" s="5"/>
      <c r="J43" s="6">
        <v>0</v>
      </c>
      <c r="K43" s="10" t="s">
        <v>116</v>
      </c>
      <c r="L43" s="4" t="s">
        <v>1567</v>
      </c>
      <c r="M43" s="3">
        <v>42</v>
      </c>
    </row>
    <row r="44" spans="1:13" x14ac:dyDescent="0.3">
      <c r="A44" s="3">
        <v>16</v>
      </c>
      <c r="B44" s="3">
        <v>16</v>
      </c>
      <c r="C44" s="4">
        <v>115.2885</v>
      </c>
      <c r="D44" s="4">
        <v>115.169</v>
      </c>
      <c r="E44" s="4">
        <v>115.408</v>
      </c>
      <c r="F44" s="4">
        <v>239.00000000000432</v>
      </c>
      <c r="G44" s="4" t="s">
        <v>1065</v>
      </c>
      <c r="H44" s="4" t="s">
        <v>1064</v>
      </c>
      <c r="I44" s="5"/>
      <c r="J44" s="6">
        <v>0</v>
      </c>
      <c r="K44" s="10" t="s">
        <v>116</v>
      </c>
      <c r="L44" s="4" t="s">
        <v>1568</v>
      </c>
      <c r="M44" s="3">
        <v>43</v>
      </c>
    </row>
    <row r="45" spans="1:13" x14ac:dyDescent="0.3">
      <c r="A45" s="3">
        <v>16</v>
      </c>
      <c r="B45" s="3">
        <v>16</v>
      </c>
      <c r="C45" s="4">
        <v>115.8045</v>
      </c>
      <c r="D45" s="4">
        <v>115.703</v>
      </c>
      <c r="E45" s="4">
        <v>115.90600000000001</v>
      </c>
      <c r="F45" s="4">
        <v>203.00000000000296</v>
      </c>
      <c r="G45" s="4" t="s">
        <v>601</v>
      </c>
      <c r="H45" s="4" t="s">
        <v>600</v>
      </c>
      <c r="I45" s="5"/>
      <c r="J45" s="6">
        <v>0</v>
      </c>
      <c r="K45" s="10" t="s">
        <v>116</v>
      </c>
      <c r="L45" s="4" t="s">
        <v>1569</v>
      </c>
      <c r="M45" s="3">
        <v>44</v>
      </c>
    </row>
    <row r="46" spans="1:13" x14ac:dyDescent="0.3">
      <c r="A46" s="3">
        <v>16</v>
      </c>
      <c r="B46" s="3">
        <v>16</v>
      </c>
      <c r="C46" s="4">
        <v>116.16050000000001</v>
      </c>
      <c r="D46" s="4">
        <v>116.02800000000001</v>
      </c>
      <c r="E46" s="4">
        <v>116.29300000000001</v>
      </c>
      <c r="F46" s="4">
        <v>265.00000000000057</v>
      </c>
      <c r="G46" s="4" t="s">
        <v>1015</v>
      </c>
      <c r="H46" s="4" t="s">
        <v>1014</v>
      </c>
      <c r="I46" s="5"/>
      <c r="J46" s="6">
        <v>0</v>
      </c>
      <c r="K46" s="10" t="s">
        <v>116</v>
      </c>
      <c r="L46" s="4" t="s">
        <v>1570</v>
      </c>
      <c r="M46" s="3">
        <v>45</v>
      </c>
    </row>
    <row r="47" spans="1:13" x14ac:dyDescent="0.3">
      <c r="A47" s="3">
        <v>16</v>
      </c>
      <c r="B47" s="3">
        <v>16</v>
      </c>
      <c r="C47" s="4">
        <v>116.398</v>
      </c>
      <c r="D47" s="4">
        <v>116.33799999999999</v>
      </c>
      <c r="E47" s="4">
        <v>116.458</v>
      </c>
      <c r="F47" s="4">
        <v>120.00000000000455</v>
      </c>
      <c r="G47" s="4" t="s">
        <v>1018</v>
      </c>
      <c r="H47" s="4" t="s">
        <v>1017</v>
      </c>
      <c r="I47" s="5"/>
      <c r="J47" s="6">
        <v>0</v>
      </c>
      <c r="K47" s="10" t="s">
        <v>116</v>
      </c>
      <c r="L47" s="4" t="s">
        <v>1571</v>
      </c>
      <c r="M47" s="3">
        <v>46</v>
      </c>
    </row>
    <row r="48" spans="1:13" x14ac:dyDescent="0.3">
      <c r="A48" s="3">
        <v>16</v>
      </c>
      <c r="B48" s="3">
        <v>16</v>
      </c>
      <c r="C48" s="4">
        <v>116.828</v>
      </c>
      <c r="D48" s="4">
        <v>116.63800000000001</v>
      </c>
      <c r="E48" s="4">
        <v>117.018</v>
      </c>
      <c r="F48" s="4">
        <v>379.99999999999545</v>
      </c>
      <c r="G48" s="4" t="s">
        <v>1055</v>
      </c>
      <c r="H48" s="4" t="s">
        <v>1054</v>
      </c>
      <c r="I48" s="5"/>
      <c r="J48" s="6">
        <v>0</v>
      </c>
      <c r="K48" s="10" t="s">
        <v>116</v>
      </c>
      <c r="L48" s="4" t="s">
        <v>1572</v>
      </c>
      <c r="M48" s="3">
        <v>47</v>
      </c>
    </row>
    <row r="49" spans="1:13" x14ac:dyDescent="0.3">
      <c r="A49" s="3">
        <v>16</v>
      </c>
      <c r="B49" s="3">
        <v>16</v>
      </c>
      <c r="C49" s="4">
        <v>118.158</v>
      </c>
      <c r="D49" s="4">
        <v>118.081</v>
      </c>
      <c r="E49" s="4">
        <v>118.236</v>
      </c>
      <c r="F49" s="4">
        <v>156.00000000000591</v>
      </c>
      <c r="G49" s="4" t="s">
        <v>1027</v>
      </c>
      <c r="H49" s="4" t="s">
        <v>1026</v>
      </c>
      <c r="I49" s="5"/>
      <c r="J49" s="6">
        <v>0</v>
      </c>
      <c r="K49" s="10" t="s">
        <v>116</v>
      </c>
      <c r="L49" s="4" t="s">
        <v>1573</v>
      </c>
      <c r="M49" s="3">
        <v>48</v>
      </c>
    </row>
    <row r="50" spans="1:13" x14ac:dyDescent="0.3">
      <c r="A50" s="3">
        <v>16</v>
      </c>
      <c r="B50" s="3">
        <v>16</v>
      </c>
      <c r="C50" s="4">
        <v>120.1</v>
      </c>
      <c r="D50" s="4">
        <v>120.017</v>
      </c>
      <c r="E50" s="4">
        <v>120.18300000000001</v>
      </c>
      <c r="F50" s="4">
        <v>166.00000000001103</v>
      </c>
      <c r="G50" s="4" t="s">
        <v>1033</v>
      </c>
      <c r="H50" s="4" t="s">
        <v>1032</v>
      </c>
      <c r="I50" s="5"/>
      <c r="J50" s="6">
        <v>0</v>
      </c>
      <c r="K50" s="10" t="s">
        <v>116</v>
      </c>
      <c r="L50" s="4" t="s">
        <v>1574</v>
      </c>
      <c r="M50" s="3">
        <v>49</v>
      </c>
    </row>
    <row r="51" spans="1:13" x14ac:dyDescent="0.3">
      <c r="A51" s="3">
        <v>16</v>
      </c>
      <c r="B51" s="3">
        <v>16</v>
      </c>
      <c r="C51" s="4">
        <v>121.59649999999999</v>
      </c>
      <c r="D51" s="4">
        <v>120.828</v>
      </c>
      <c r="E51" s="4">
        <v>122.36499999999999</v>
      </c>
      <c r="F51" s="4">
        <v>1536.9999999999918</v>
      </c>
      <c r="G51" s="4" t="s">
        <v>1023</v>
      </c>
      <c r="H51" s="4" t="s">
        <v>1022</v>
      </c>
      <c r="I51" s="5"/>
      <c r="J51" s="6">
        <v>0</v>
      </c>
      <c r="K51" s="10" t="s">
        <v>116</v>
      </c>
      <c r="L51" s="4" t="s">
        <v>1575</v>
      </c>
      <c r="M51" s="3">
        <v>50</v>
      </c>
    </row>
    <row r="52" spans="1:13" x14ac:dyDescent="0.3">
      <c r="A52" s="3">
        <v>16</v>
      </c>
      <c r="B52" s="3">
        <v>16</v>
      </c>
      <c r="C52" s="4">
        <v>124.4695</v>
      </c>
      <c r="D52" s="4">
        <v>124.199</v>
      </c>
      <c r="E52" s="4">
        <v>124.741</v>
      </c>
      <c r="F52" s="4">
        <v>540.99999999999682</v>
      </c>
      <c r="G52" s="4" t="s">
        <v>1040</v>
      </c>
      <c r="H52" s="4" t="s">
        <v>1039</v>
      </c>
      <c r="I52" s="5"/>
      <c r="J52" s="6">
        <v>0</v>
      </c>
      <c r="K52" s="10" t="s">
        <v>116</v>
      </c>
      <c r="L52" s="4" t="s">
        <v>1576</v>
      </c>
      <c r="M52" s="3">
        <v>51</v>
      </c>
    </row>
    <row r="53" spans="1:13" x14ac:dyDescent="0.3">
      <c r="A53" s="3">
        <v>16</v>
      </c>
      <c r="B53" s="3">
        <v>16</v>
      </c>
      <c r="C53" s="4">
        <v>126.18</v>
      </c>
      <c r="D53" s="4">
        <v>125.676</v>
      </c>
      <c r="E53" s="4">
        <v>126.684</v>
      </c>
      <c r="F53" s="4">
        <v>1007.9999999999956</v>
      </c>
      <c r="G53" s="4" t="s">
        <v>606</v>
      </c>
      <c r="H53" s="4" t="s">
        <v>605</v>
      </c>
      <c r="I53" s="5"/>
      <c r="J53" s="6">
        <v>0</v>
      </c>
      <c r="K53" s="10" t="s">
        <v>116</v>
      </c>
      <c r="L53" s="4" t="s">
        <v>1577</v>
      </c>
      <c r="M53" s="3">
        <v>52</v>
      </c>
    </row>
    <row r="54" spans="1:13" x14ac:dyDescent="0.3">
      <c r="A54" s="3">
        <v>16</v>
      </c>
      <c r="B54" s="3">
        <v>16</v>
      </c>
      <c r="C54" s="4">
        <v>133.9</v>
      </c>
      <c r="D54" s="4">
        <v>133.64500000000001</v>
      </c>
      <c r="E54" s="4">
        <v>134.155</v>
      </c>
      <c r="F54" s="4">
        <v>509.99999999999091</v>
      </c>
      <c r="G54" s="4" t="s">
        <v>612</v>
      </c>
      <c r="H54" s="4" t="s">
        <v>611</v>
      </c>
      <c r="I54" s="5"/>
      <c r="J54" s="6">
        <v>0</v>
      </c>
      <c r="K54" s="10" t="s">
        <v>116</v>
      </c>
      <c r="L54" s="4" t="s">
        <v>1578</v>
      </c>
      <c r="M54" s="3">
        <v>53</v>
      </c>
    </row>
    <row r="55" spans="1:13" x14ac:dyDescent="0.3">
      <c r="A55" s="3">
        <v>16</v>
      </c>
      <c r="B55" s="3">
        <v>16</v>
      </c>
      <c r="C55" s="4">
        <v>136.779</v>
      </c>
      <c r="D55" s="4">
        <v>136.667</v>
      </c>
      <c r="E55" s="4">
        <v>136.89099999999999</v>
      </c>
      <c r="F55" s="4">
        <v>223.99999999998954</v>
      </c>
      <c r="G55" s="4" t="s">
        <v>1049</v>
      </c>
      <c r="H55" s="4" t="s">
        <v>1048</v>
      </c>
      <c r="I55" s="5"/>
      <c r="J55" s="6">
        <v>0</v>
      </c>
      <c r="K55" s="10" t="s">
        <v>116</v>
      </c>
      <c r="L55" s="4" t="s">
        <v>1579</v>
      </c>
      <c r="M55" s="3">
        <v>54</v>
      </c>
    </row>
    <row r="56" spans="1:13" x14ac:dyDescent="0.3">
      <c r="A56" s="3">
        <v>16</v>
      </c>
      <c r="B56" s="3">
        <v>16</v>
      </c>
      <c r="C56" s="4">
        <v>170.15899999999999</v>
      </c>
      <c r="D56" s="4">
        <v>169.96100000000001</v>
      </c>
      <c r="E56" s="4">
        <v>170.357</v>
      </c>
      <c r="F56" s="4">
        <v>395.99999999998658</v>
      </c>
      <c r="G56" s="4" t="s">
        <v>773</v>
      </c>
      <c r="H56" s="4" t="s">
        <v>772</v>
      </c>
      <c r="I56" s="5"/>
      <c r="J56" s="6">
        <v>0</v>
      </c>
      <c r="K56" s="10" t="s">
        <v>116</v>
      </c>
      <c r="L56" s="4" t="s">
        <v>1580</v>
      </c>
      <c r="M56" s="3">
        <v>55</v>
      </c>
    </row>
    <row r="57" spans="1:13" x14ac:dyDescent="0.3">
      <c r="A57" s="3">
        <v>16</v>
      </c>
      <c r="B57" s="3">
        <v>16</v>
      </c>
      <c r="C57" s="4">
        <v>191.56</v>
      </c>
      <c r="D57" s="4">
        <v>191.19900000000001</v>
      </c>
      <c r="E57" s="4">
        <v>191.92099999999999</v>
      </c>
      <c r="F57" s="4">
        <v>721.99999999997999</v>
      </c>
      <c r="G57" s="4" t="s">
        <v>111</v>
      </c>
      <c r="H57" s="4" t="s">
        <v>110</v>
      </c>
      <c r="I57" s="5"/>
      <c r="J57" s="6">
        <v>0</v>
      </c>
      <c r="K57" s="10" t="s">
        <v>116</v>
      </c>
      <c r="L57" s="4" t="s">
        <v>1581</v>
      </c>
      <c r="M57" s="3">
        <v>56</v>
      </c>
    </row>
    <row r="58" spans="1:13" x14ac:dyDescent="0.3">
      <c r="A58" s="3">
        <v>16</v>
      </c>
      <c r="B58" s="3">
        <v>16</v>
      </c>
      <c r="C58" s="4">
        <v>219.41899999999998</v>
      </c>
      <c r="D58" s="4">
        <v>219.185</v>
      </c>
      <c r="E58" s="4">
        <v>219.65299999999999</v>
      </c>
      <c r="F58" s="4">
        <v>467.99999999998931</v>
      </c>
      <c r="G58" s="4" t="s">
        <v>690</v>
      </c>
      <c r="H58" s="4" t="s">
        <v>689</v>
      </c>
      <c r="I58" s="5"/>
      <c r="J58" s="6">
        <v>0</v>
      </c>
      <c r="K58" s="10" t="s">
        <v>852</v>
      </c>
      <c r="L58" s="4" t="s">
        <v>1582</v>
      </c>
      <c r="M58" s="3">
        <v>57</v>
      </c>
    </row>
    <row r="59" spans="1:13" x14ac:dyDescent="0.3">
      <c r="A59" s="3">
        <v>16</v>
      </c>
      <c r="B59" s="3">
        <v>16</v>
      </c>
      <c r="C59" s="4">
        <v>229.71800000000002</v>
      </c>
      <c r="D59" s="4">
        <v>229.328</v>
      </c>
      <c r="E59" s="4">
        <v>230.108</v>
      </c>
      <c r="F59" s="4">
        <v>780.00000000000114</v>
      </c>
      <c r="G59" s="4" t="s">
        <v>705</v>
      </c>
      <c r="H59" s="4" t="s">
        <v>120</v>
      </c>
      <c r="I59" s="5"/>
      <c r="J59" s="6">
        <v>0</v>
      </c>
      <c r="K59" s="10" t="s">
        <v>852</v>
      </c>
      <c r="L59" s="4" t="s">
        <v>1583</v>
      </c>
      <c r="M59" s="3">
        <v>58</v>
      </c>
    </row>
    <row r="60" spans="1:13" x14ac:dyDescent="0.3">
      <c r="A60" s="3">
        <v>16</v>
      </c>
      <c r="B60" s="3">
        <v>16</v>
      </c>
      <c r="C60" s="4">
        <v>238.03449999999998</v>
      </c>
      <c r="D60" s="4">
        <v>237.64099999999999</v>
      </c>
      <c r="E60" s="4">
        <v>238.429</v>
      </c>
      <c r="F60" s="4">
        <v>789.00000000001569</v>
      </c>
      <c r="G60" s="4" t="s">
        <v>121</v>
      </c>
      <c r="H60" s="4" t="s">
        <v>711</v>
      </c>
      <c r="I60" s="5"/>
      <c r="J60" s="6">
        <v>0</v>
      </c>
      <c r="K60" s="10" t="s">
        <v>852</v>
      </c>
      <c r="L60" s="4" t="s">
        <v>1584</v>
      </c>
      <c r="M60" s="3">
        <v>59</v>
      </c>
    </row>
    <row r="61" spans="1:13" x14ac:dyDescent="0.3">
      <c r="A61" s="3">
        <v>16</v>
      </c>
      <c r="B61" s="3">
        <v>16</v>
      </c>
      <c r="C61" s="4">
        <v>246.84899999999999</v>
      </c>
      <c r="D61" s="4">
        <v>246.69800000000001</v>
      </c>
      <c r="E61" s="4">
        <v>247.001</v>
      </c>
      <c r="F61" s="4">
        <v>301.9999999999925</v>
      </c>
      <c r="G61" s="4" t="s">
        <v>1096</v>
      </c>
      <c r="H61" s="4" t="s">
        <v>1095</v>
      </c>
      <c r="I61" s="5"/>
      <c r="J61" s="6">
        <v>0</v>
      </c>
      <c r="K61" s="10" t="s">
        <v>852</v>
      </c>
      <c r="L61" s="4" t="s">
        <v>1585</v>
      </c>
      <c r="M61" s="3">
        <v>60</v>
      </c>
    </row>
    <row r="62" spans="1:13" x14ac:dyDescent="0.3">
      <c r="A62" s="3">
        <v>17</v>
      </c>
      <c r="B62" s="3">
        <v>17</v>
      </c>
      <c r="C62" s="4">
        <v>103.68600000000001</v>
      </c>
      <c r="D62" s="4">
        <v>103.09099999999999</v>
      </c>
      <c r="E62" s="4">
        <v>104.282</v>
      </c>
      <c r="F62" s="4">
        <v>2721</v>
      </c>
      <c r="G62" s="4" t="s">
        <v>355</v>
      </c>
      <c r="H62" s="4" t="s">
        <v>354</v>
      </c>
      <c r="I62" s="5"/>
      <c r="J62" s="6">
        <v>0</v>
      </c>
      <c r="K62" s="10" t="s">
        <v>342</v>
      </c>
      <c r="L62" s="4" t="s">
        <v>1586</v>
      </c>
      <c r="M62" s="3">
        <v>61</v>
      </c>
    </row>
    <row r="63" spans="1:13" x14ac:dyDescent="0.3">
      <c r="A63" s="3">
        <v>17</v>
      </c>
      <c r="B63" s="3">
        <v>17</v>
      </c>
      <c r="C63" s="4">
        <v>106.657</v>
      </c>
      <c r="D63" s="4">
        <v>106.566</v>
      </c>
      <c r="E63" s="4">
        <v>106.747</v>
      </c>
      <c r="F63" s="4">
        <v>1192</v>
      </c>
      <c r="G63" s="4" t="s">
        <v>340</v>
      </c>
      <c r="H63" s="4" t="s">
        <v>362</v>
      </c>
      <c r="I63" s="5"/>
      <c r="J63" s="6">
        <v>0</v>
      </c>
      <c r="K63" s="10" t="s">
        <v>342</v>
      </c>
      <c r="L63" s="4" t="s">
        <v>1587</v>
      </c>
      <c r="M63" s="3">
        <v>62</v>
      </c>
    </row>
    <row r="64" spans="1:13" x14ac:dyDescent="0.3">
      <c r="A64" s="3">
        <v>17</v>
      </c>
      <c r="B64" s="3">
        <v>17</v>
      </c>
      <c r="C64" s="4">
        <v>108.35599999999999</v>
      </c>
      <c r="D64" s="4">
        <v>106.995</v>
      </c>
      <c r="E64" s="4">
        <v>109.71599999999999</v>
      </c>
      <c r="F64" s="4">
        <v>181</v>
      </c>
      <c r="G64" s="4" t="s">
        <v>372</v>
      </c>
      <c r="H64" s="4" t="s">
        <v>371</v>
      </c>
      <c r="I64" s="5"/>
      <c r="J64" s="6">
        <v>0</v>
      </c>
      <c r="K64" s="10" t="s">
        <v>342</v>
      </c>
      <c r="L64" s="4" t="s">
        <v>1588</v>
      </c>
      <c r="M64" s="3">
        <v>63</v>
      </c>
    </row>
    <row r="65" spans="1:13" x14ac:dyDescent="0.3">
      <c r="A65" s="3">
        <v>17</v>
      </c>
      <c r="B65" s="3">
        <v>17</v>
      </c>
      <c r="C65" s="4">
        <v>111.75700000000001</v>
      </c>
      <c r="D65" s="4">
        <v>111.48699999999999</v>
      </c>
      <c r="E65" s="4">
        <v>112.027</v>
      </c>
      <c r="F65" s="4">
        <v>540</v>
      </c>
      <c r="G65" s="4" t="s">
        <v>380</v>
      </c>
      <c r="H65" s="4" t="s">
        <v>379</v>
      </c>
      <c r="I65" s="5"/>
      <c r="J65" s="6">
        <v>0</v>
      </c>
      <c r="K65" s="10" t="s">
        <v>342</v>
      </c>
      <c r="L65" s="4" t="s">
        <v>1589</v>
      </c>
      <c r="M65" s="3">
        <v>64</v>
      </c>
    </row>
    <row r="66" spans="1:13" x14ac:dyDescent="0.3">
      <c r="A66" s="3">
        <v>17</v>
      </c>
      <c r="B66" s="3">
        <v>17</v>
      </c>
      <c r="C66" s="4">
        <v>122.5</v>
      </c>
      <c r="D66" s="4">
        <v>121.538</v>
      </c>
      <c r="E66" s="4">
        <v>123.461</v>
      </c>
      <c r="F66" s="4">
        <v>1923</v>
      </c>
      <c r="G66" s="4" t="s">
        <v>386</v>
      </c>
      <c r="H66" s="4" t="s">
        <v>385</v>
      </c>
      <c r="I66" s="5"/>
      <c r="J66" s="6">
        <v>0</v>
      </c>
      <c r="K66" s="10" t="s">
        <v>342</v>
      </c>
      <c r="L66" s="4" t="s">
        <v>1590</v>
      </c>
      <c r="M66" s="3">
        <v>65</v>
      </c>
    </row>
    <row r="67" spans="1:13" x14ac:dyDescent="0.3">
      <c r="A67" s="3">
        <v>17</v>
      </c>
      <c r="B67" s="3">
        <v>17</v>
      </c>
      <c r="C67" s="4">
        <v>126.789</v>
      </c>
      <c r="D67" s="4">
        <v>126.613</v>
      </c>
      <c r="E67" s="4">
        <v>126.964</v>
      </c>
      <c r="F67" s="4">
        <v>351</v>
      </c>
      <c r="G67" s="4" t="s">
        <v>493</v>
      </c>
      <c r="H67" s="4" t="s">
        <v>492</v>
      </c>
      <c r="I67" s="5"/>
      <c r="J67" s="6">
        <v>0</v>
      </c>
      <c r="K67" s="10" t="s">
        <v>342</v>
      </c>
      <c r="L67" s="4" t="s">
        <v>1591</v>
      </c>
      <c r="M67" s="3">
        <v>66</v>
      </c>
    </row>
    <row r="68" spans="1:13" x14ac:dyDescent="0.3">
      <c r="A68" s="3">
        <v>17</v>
      </c>
      <c r="B68" s="3">
        <v>17</v>
      </c>
      <c r="C68" s="4">
        <v>128.887</v>
      </c>
      <c r="D68" s="4">
        <v>128.31899999999999</v>
      </c>
      <c r="E68" s="4">
        <v>129.45500000000001</v>
      </c>
      <c r="F68" s="4">
        <v>1136</v>
      </c>
      <c r="G68" s="4" t="s">
        <v>501</v>
      </c>
      <c r="H68" s="4" t="s">
        <v>500</v>
      </c>
      <c r="I68" s="5"/>
      <c r="J68" s="6">
        <v>0</v>
      </c>
      <c r="K68" s="10" t="s">
        <v>342</v>
      </c>
      <c r="L68" s="4" t="s">
        <v>1592</v>
      </c>
      <c r="M68" s="3">
        <v>67</v>
      </c>
    </row>
    <row r="69" spans="1:13" x14ac:dyDescent="0.3">
      <c r="A69" s="3">
        <v>17</v>
      </c>
      <c r="B69" s="3">
        <v>17</v>
      </c>
      <c r="C69" s="4">
        <v>142.70699999999999</v>
      </c>
      <c r="D69" s="4">
        <v>141.70400000000001</v>
      </c>
      <c r="E69" s="4">
        <v>143.709</v>
      </c>
      <c r="F69" s="4">
        <v>2005</v>
      </c>
      <c r="G69" s="4" t="s">
        <v>400</v>
      </c>
      <c r="H69" s="4" t="s">
        <v>399</v>
      </c>
      <c r="I69" s="5"/>
      <c r="J69" s="6">
        <v>0</v>
      </c>
      <c r="K69" s="10" t="s">
        <v>342</v>
      </c>
      <c r="L69" s="4" t="s">
        <v>1593</v>
      </c>
      <c r="M69" s="3">
        <v>68</v>
      </c>
    </row>
    <row r="70" spans="1:13" x14ac:dyDescent="0.3">
      <c r="A70" s="3">
        <v>17</v>
      </c>
      <c r="B70" s="3">
        <v>17</v>
      </c>
      <c r="C70" s="4">
        <v>149.59200000000001</v>
      </c>
      <c r="D70" s="4">
        <v>149.261</v>
      </c>
      <c r="E70" s="4">
        <v>149.92400000000001</v>
      </c>
      <c r="F70" s="4">
        <v>664</v>
      </c>
      <c r="G70" s="4" t="s">
        <v>418</v>
      </c>
      <c r="H70" s="4" t="s">
        <v>417</v>
      </c>
      <c r="I70" s="5"/>
      <c r="J70" s="6">
        <v>0</v>
      </c>
      <c r="K70" s="10" t="s">
        <v>342</v>
      </c>
      <c r="L70" s="4" t="s">
        <v>1594</v>
      </c>
      <c r="M70" s="3">
        <v>69</v>
      </c>
    </row>
    <row r="71" spans="1:13" x14ac:dyDescent="0.3">
      <c r="A71" s="3">
        <v>17</v>
      </c>
      <c r="B71" s="3">
        <v>17</v>
      </c>
      <c r="C71" s="4">
        <v>155.53299999999999</v>
      </c>
      <c r="D71" s="4">
        <v>155.30799999999999</v>
      </c>
      <c r="E71" s="4">
        <v>155.75700000000001</v>
      </c>
      <c r="F71" s="4">
        <v>449</v>
      </c>
      <c r="G71" s="4" t="s">
        <v>1437</v>
      </c>
      <c r="H71" s="4" t="s">
        <v>1595</v>
      </c>
      <c r="I71" s="5"/>
      <c r="J71" s="6">
        <v>0</v>
      </c>
      <c r="K71" s="10" t="s">
        <v>342</v>
      </c>
      <c r="L71" s="4" t="s">
        <v>1596</v>
      </c>
      <c r="M71" s="3">
        <v>70</v>
      </c>
    </row>
    <row r="72" spans="1:13" x14ac:dyDescent="0.3">
      <c r="A72" s="3">
        <v>17</v>
      </c>
      <c r="B72" s="3">
        <v>17</v>
      </c>
      <c r="C72" s="4">
        <v>156.30799999999999</v>
      </c>
      <c r="D72" s="4">
        <v>156.18700000000001</v>
      </c>
      <c r="E72" s="4">
        <v>156.429</v>
      </c>
      <c r="F72" s="4">
        <v>242</v>
      </c>
      <c r="G72" s="4" t="s">
        <v>554</v>
      </c>
      <c r="H72" s="4" t="s">
        <v>423</v>
      </c>
      <c r="I72" s="5"/>
      <c r="J72" s="6">
        <v>0</v>
      </c>
      <c r="K72" s="10" t="s">
        <v>342</v>
      </c>
      <c r="L72" s="4" t="s">
        <v>1597</v>
      </c>
      <c r="M72" s="3">
        <v>71</v>
      </c>
    </row>
    <row r="73" spans="1:13" x14ac:dyDescent="0.3">
      <c r="A73" s="3">
        <v>17</v>
      </c>
      <c r="B73" s="3">
        <v>17</v>
      </c>
      <c r="C73" s="4">
        <v>157.161</v>
      </c>
      <c r="D73" s="4">
        <v>156.45400000000001</v>
      </c>
      <c r="E73" s="4">
        <v>157.86799999999999</v>
      </c>
      <c r="F73" s="4">
        <v>1414</v>
      </c>
      <c r="G73" s="4" t="s">
        <v>424</v>
      </c>
      <c r="H73" s="4" t="s">
        <v>423</v>
      </c>
      <c r="I73" s="5"/>
      <c r="J73" s="6">
        <v>0</v>
      </c>
      <c r="K73" s="10" t="s">
        <v>342</v>
      </c>
      <c r="L73" s="4" t="s">
        <v>1598</v>
      </c>
      <c r="M73" s="3">
        <v>72</v>
      </c>
    </row>
    <row r="74" spans="1:13" x14ac:dyDescent="0.3">
      <c r="A74" s="3">
        <v>17</v>
      </c>
      <c r="B74" s="3">
        <v>17</v>
      </c>
      <c r="C74" s="4">
        <v>169.83099999999999</v>
      </c>
      <c r="D74" s="4">
        <v>169.774</v>
      </c>
      <c r="E74" s="4">
        <v>169.88800000000001</v>
      </c>
      <c r="F74" s="4">
        <v>114</v>
      </c>
      <c r="G74" s="4" t="s">
        <v>430</v>
      </c>
      <c r="H74" s="4" t="s">
        <v>429</v>
      </c>
      <c r="I74" s="5"/>
      <c r="J74" s="6">
        <v>0</v>
      </c>
      <c r="K74" s="10" t="s">
        <v>342</v>
      </c>
      <c r="L74" s="4" t="s">
        <v>1599</v>
      </c>
      <c r="M74" s="3">
        <v>73</v>
      </c>
    </row>
    <row r="75" spans="1:13" x14ac:dyDescent="0.3">
      <c r="A75" s="3">
        <v>17</v>
      </c>
      <c r="B75" s="3">
        <v>17</v>
      </c>
      <c r="C75" s="4">
        <v>171.53899999999999</v>
      </c>
      <c r="D75" s="4">
        <v>171.26599999999999</v>
      </c>
      <c r="E75" s="4">
        <v>171.81100000000001</v>
      </c>
      <c r="F75" s="4">
        <v>545</v>
      </c>
      <c r="G75" s="4" t="s">
        <v>436</v>
      </c>
      <c r="H75" s="4" t="s">
        <v>435</v>
      </c>
      <c r="I75" s="5"/>
      <c r="J75" s="6">
        <v>0</v>
      </c>
      <c r="K75" s="10" t="s">
        <v>342</v>
      </c>
      <c r="L75" s="4" t="s">
        <v>1600</v>
      </c>
      <c r="M75" s="3">
        <v>74</v>
      </c>
    </row>
    <row r="76" spans="1:13" x14ac:dyDescent="0.3">
      <c r="A76" s="3">
        <v>17</v>
      </c>
      <c r="B76" s="3">
        <v>17</v>
      </c>
      <c r="C76" s="4">
        <v>174.624</v>
      </c>
      <c r="D76" s="4">
        <v>174.52699999999999</v>
      </c>
      <c r="E76" s="4">
        <v>174.721</v>
      </c>
      <c r="F76" s="4">
        <v>194</v>
      </c>
      <c r="G76" s="4" t="s">
        <v>444</v>
      </c>
      <c r="H76" s="4" t="s">
        <v>443</v>
      </c>
      <c r="I76" s="5"/>
      <c r="J76" s="6">
        <v>0</v>
      </c>
      <c r="K76" s="10" t="s">
        <v>342</v>
      </c>
      <c r="L76" s="4" t="s">
        <v>1601</v>
      </c>
      <c r="M76" s="3">
        <v>75</v>
      </c>
    </row>
    <row r="77" spans="1:13" x14ac:dyDescent="0.3">
      <c r="A77" s="3">
        <v>17</v>
      </c>
      <c r="B77" s="3">
        <v>17</v>
      </c>
      <c r="C77" s="4">
        <v>176.33699999999999</v>
      </c>
      <c r="D77" s="4">
        <v>175.98099999999999</v>
      </c>
      <c r="E77" s="4">
        <v>176.69200000000001</v>
      </c>
      <c r="F77" s="4">
        <v>711</v>
      </c>
      <c r="G77" s="4" t="s">
        <v>447</v>
      </c>
      <c r="H77" s="4" t="s">
        <v>446</v>
      </c>
      <c r="I77" s="5"/>
      <c r="J77" s="6">
        <v>0</v>
      </c>
      <c r="K77" s="10" t="s">
        <v>342</v>
      </c>
      <c r="L77" s="4" t="s">
        <v>1602</v>
      </c>
      <c r="M77" s="3">
        <v>76</v>
      </c>
    </row>
    <row r="78" spans="1:13" x14ac:dyDescent="0.3">
      <c r="A78" s="3">
        <v>17</v>
      </c>
      <c r="B78" s="3">
        <v>17</v>
      </c>
      <c r="C78" s="4">
        <v>181.405</v>
      </c>
      <c r="D78" s="4">
        <v>181.35900000000001</v>
      </c>
      <c r="E78" s="4">
        <v>181.45099999999999</v>
      </c>
      <c r="F78" s="4">
        <v>91</v>
      </c>
      <c r="G78" s="4" t="s">
        <v>1438</v>
      </c>
      <c r="H78" s="4" t="s">
        <v>1603</v>
      </c>
      <c r="I78" s="5"/>
      <c r="J78" s="6">
        <v>0</v>
      </c>
      <c r="K78" s="10" t="s">
        <v>342</v>
      </c>
      <c r="L78" s="4" t="s">
        <v>1604</v>
      </c>
      <c r="M78" s="3">
        <v>77</v>
      </c>
    </row>
    <row r="79" spans="1:13" x14ac:dyDescent="0.3">
      <c r="A79" s="3">
        <v>17</v>
      </c>
      <c r="B79" s="3">
        <v>17</v>
      </c>
      <c r="C79" s="4">
        <v>199.56299999999999</v>
      </c>
      <c r="D79" s="4">
        <v>199.09399999999999</v>
      </c>
      <c r="E79" s="4">
        <v>200.03100000000001</v>
      </c>
      <c r="F79" s="4">
        <v>937</v>
      </c>
      <c r="G79" s="4" t="s">
        <v>453</v>
      </c>
      <c r="H79" s="4" t="s">
        <v>452</v>
      </c>
      <c r="I79" s="5"/>
      <c r="J79" s="6">
        <v>0</v>
      </c>
      <c r="K79" s="10" t="s">
        <v>342</v>
      </c>
      <c r="L79" s="4" t="s">
        <v>1605</v>
      </c>
      <c r="M79" s="3">
        <v>78</v>
      </c>
    </row>
    <row r="80" spans="1:13" x14ac:dyDescent="0.3">
      <c r="A80" s="3">
        <v>17</v>
      </c>
      <c r="B80" s="3">
        <v>17</v>
      </c>
      <c r="C80" s="4">
        <v>207.73099999999999</v>
      </c>
      <c r="D80" s="4">
        <v>207.56700000000001</v>
      </c>
      <c r="E80" s="4">
        <v>207.89400000000001</v>
      </c>
      <c r="F80" s="4">
        <v>327</v>
      </c>
      <c r="G80" s="4" t="s">
        <v>461</v>
      </c>
      <c r="H80" s="4" t="s">
        <v>460</v>
      </c>
      <c r="I80" s="5"/>
      <c r="J80" s="6">
        <v>0</v>
      </c>
      <c r="K80" s="10" t="s">
        <v>342</v>
      </c>
      <c r="L80" s="4" t="s">
        <v>1606</v>
      </c>
      <c r="M80" s="3">
        <v>79</v>
      </c>
    </row>
    <row r="81" spans="1:13" x14ac:dyDescent="0.3">
      <c r="A81" s="3">
        <v>17</v>
      </c>
      <c r="B81" s="3">
        <v>17</v>
      </c>
      <c r="C81" s="4">
        <v>216.07400000000001</v>
      </c>
      <c r="D81" s="4">
        <v>215.84200000000001</v>
      </c>
      <c r="E81" s="4">
        <v>216.30600000000001</v>
      </c>
      <c r="F81" s="4">
        <v>464</v>
      </c>
      <c r="G81" s="4" t="s">
        <v>160</v>
      </c>
      <c r="H81" s="4" t="s">
        <v>159</v>
      </c>
      <c r="I81" s="5"/>
      <c r="J81" s="6">
        <v>0</v>
      </c>
      <c r="K81" s="10" t="s">
        <v>209</v>
      </c>
      <c r="L81" s="4" t="s">
        <v>1607</v>
      </c>
      <c r="M81" s="3">
        <v>80</v>
      </c>
    </row>
    <row r="82" spans="1:13" x14ac:dyDescent="0.3">
      <c r="A82" s="3">
        <v>17</v>
      </c>
      <c r="B82" s="3">
        <v>17</v>
      </c>
      <c r="C82" s="4">
        <v>223.33099999999999</v>
      </c>
      <c r="D82" s="4">
        <v>223.161</v>
      </c>
      <c r="E82" s="4">
        <v>223.501</v>
      </c>
      <c r="F82" s="4">
        <v>341</v>
      </c>
      <c r="G82" s="4" t="s">
        <v>169</v>
      </c>
      <c r="H82" s="4" t="s">
        <v>168</v>
      </c>
      <c r="I82" s="5"/>
      <c r="J82" s="6">
        <v>0</v>
      </c>
      <c r="K82" s="10" t="s">
        <v>209</v>
      </c>
      <c r="L82" s="4" t="s">
        <v>1608</v>
      </c>
      <c r="M82" s="3">
        <v>81</v>
      </c>
    </row>
    <row r="83" spans="1:13" x14ac:dyDescent="0.3">
      <c r="A83" s="3">
        <v>17</v>
      </c>
      <c r="B83" s="3">
        <v>17</v>
      </c>
      <c r="C83" s="4">
        <v>224.857</v>
      </c>
      <c r="D83" s="4">
        <v>224.63499999999999</v>
      </c>
      <c r="E83" s="4">
        <v>225.07900000000001</v>
      </c>
      <c r="F83" s="4">
        <v>444</v>
      </c>
      <c r="G83" s="4" t="s">
        <v>187</v>
      </c>
      <c r="H83" s="4" t="s">
        <v>186</v>
      </c>
      <c r="I83" s="5"/>
      <c r="J83" s="6">
        <v>0</v>
      </c>
      <c r="K83" s="10" t="s">
        <v>209</v>
      </c>
      <c r="L83" s="4" t="s">
        <v>1609</v>
      </c>
      <c r="M83" s="3">
        <v>82</v>
      </c>
    </row>
    <row r="84" spans="1:13" x14ac:dyDescent="0.3">
      <c r="A84" s="3">
        <v>17</v>
      </c>
      <c r="B84" s="3">
        <v>17</v>
      </c>
      <c r="C84" s="4">
        <v>229.381</v>
      </c>
      <c r="D84" s="4">
        <v>229.048</v>
      </c>
      <c r="E84" s="4">
        <v>229.71299999999999</v>
      </c>
      <c r="F84" s="4">
        <v>665</v>
      </c>
      <c r="G84" s="4" t="s">
        <v>195</v>
      </c>
      <c r="H84" s="4" t="s">
        <v>194</v>
      </c>
      <c r="I84" s="5"/>
      <c r="J84" s="6">
        <v>0</v>
      </c>
      <c r="K84" s="10" t="s">
        <v>209</v>
      </c>
      <c r="L84" s="4" t="s">
        <v>1610</v>
      </c>
      <c r="M84" s="3">
        <v>83</v>
      </c>
    </row>
    <row r="85" spans="1:13" x14ac:dyDescent="0.3">
      <c r="A85" s="3">
        <v>17</v>
      </c>
      <c r="B85" s="3">
        <v>17</v>
      </c>
      <c r="C85" s="4">
        <v>231.815</v>
      </c>
      <c r="D85" s="4">
        <v>231.27199999999999</v>
      </c>
      <c r="E85" s="4">
        <v>232.357</v>
      </c>
      <c r="F85" s="4">
        <v>1085</v>
      </c>
      <c r="G85" s="4" t="s">
        <v>475</v>
      </c>
      <c r="H85" s="4" t="s">
        <v>474</v>
      </c>
      <c r="I85" s="5"/>
      <c r="J85" s="6">
        <v>0</v>
      </c>
      <c r="K85" s="10" t="s">
        <v>209</v>
      </c>
      <c r="L85" s="4" t="s">
        <v>1611</v>
      </c>
      <c r="M85" s="3">
        <v>84</v>
      </c>
    </row>
    <row r="86" spans="1:13" x14ac:dyDescent="0.3">
      <c r="A86" s="3">
        <v>17</v>
      </c>
      <c r="B86" s="3">
        <v>17</v>
      </c>
      <c r="C86" s="4">
        <v>236.678</v>
      </c>
      <c r="D86" s="4">
        <v>236.37799999999999</v>
      </c>
      <c r="E86" s="4">
        <v>236.977</v>
      </c>
      <c r="F86" s="4">
        <v>599</v>
      </c>
      <c r="G86" s="4" t="s">
        <v>489</v>
      </c>
      <c r="H86" s="4" t="s">
        <v>488</v>
      </c>
      <c r="I86" s="5"/>
      <c r="J86" s="6">
        <v>0</v>
      </c>
      <c r="K86" s="10" t="s">
        <v>209</v>
      </c>
      <c r="L86" s="4" t="s">
        <v>1612</v>
      </c>
      <c r="M86" s="3">
        <v>85</v>
      </c>
    </row>
    <row r="87" spans="1:13" x14ac:dyDescent="0.3">
      <c r="A87" s="3">
        <v>17</v>
      </c>
      <c r="B87" s="3">
        <v>17</v>
      </c>
      <c r="C87" s="4">
        <v>239.92</v>
      </c>
      <c r="D87" s="4">
        <v>239.911</v>
      </c>
      <c r="E87" s="4">
        <v>239.93100000000001</v>
      </c>
      <c r="F87" s="4">
        <v>20</v>
      </c>
      <c r="G87" s="4" t="s">
        <v>175</v>
      </c>
      <c r="H87" s="4" t="s">
        <v>174</v>
      </c>
      <c r="I87" s="5"/>
      <c r="J87" s="6">
        <v>0</v>
      </c>
      <c r="K87" s="10" t="s">
        <v>209</v>
      </c>
      <c r="L87" s="4" t="s">
        <v>1613</v>
      </c>
      <c r="M87" s="3">
        <v>86</v>
      </c>
    </row>
    <row r="88" spans="1:13" x14ac:dyDescent="0.3">
      <c r="A88" s="3">
        <v>17</v>
      </c>
      <c r="B88" s="3">
        <v>17</v>
      </c>
      <c r="C88" s="4">
        <v>254.41900000000001</v>
      </c>
      <c r="D88" s="4">
        <v>254.20099999999999</v>
      </c>
      <c r="E88" s="4">
        <v>254.637</v>
      </c>
      <c r="F88" s="4">
        <v>436</v>
      </c>
      <c r="G88" s="4" t="s">
        <v>207</v>
      </c>
      <c r="H88" s="4" t="s">
        <v>206</v>
      </c>
      <c r="I88" s="5"/>
      <c r="J88" s="6">
        <v>0</v>
      </c>
      <c r="K88" s="10" t="s">
        <v>209</v>
      </c>
      <c r="L88" s="4" t="s">
        <v>1614</v>
      </c>
      <c r="M88" s="3">
        <v>87</v>
      </c>
    </row>
    <row r="89" spans="1:13" x14ac:dyDescent="0.3">
      <c r="A89" s="3">
        <v>17</v>
      </c>
      <c r="B89" s="3">
        <v>17</v>
      </c>
      <c r="C89" s="4">
        <v>307.62900000000002</v>
      </c>
      <c r="D89" s="4">
        <v>307.50099999999998</v>
      </c>
      <c r="E89" s="4">
        <v>307.75700000000001</v>
      </c>
      <c r="F89" s="4">
        <v>257</v>
      </c>
      <c r="G89" s="4" t="s">
        <v>66</v>
      </c>
      <c r="H89" s="4" t="s">
        <v>65</v>
      </c>
      <c r="I89" s="5"/>
      <c r="J89" s="6">
        <v>0</v>
      </c>
      <c r="K89" s="10" t="s">
        <v>35</v>
      </c>
      <c r="L89" s="4" t="s">
        <v>1615</v>
      </c>
      <c r="M89" s="3">
        <v>88</v>
      </c>
    </row>
    <row r="90" spans="1:13" x14ac:dyDescent="0.3">
      <c r="A90" s="3">
        <v>17</v>
      </c>
      <c r="B90" s="3">
        <v>17</v>
      </c>
      <c r="C90" s="4">
        <v>308.24799999999999</v>
      </c>
      <c r="D90" s="4">
        <v>308.101</v>
      </c>
      <c r="E90" s="4">
        <v>308.39600000000002</v>
      </c>
      <c r="F90" s="4">
        <v>296</v>
      </c>
      <c r="G90" s="4" t="s">
        <v>129</v>
      </c>
      <c r="H90" s="4" t="s">
        <v>128</v>
      </c>
      <c r="I90" s="5"/>
      <c r="J90" s="6">
        <v>0</v>
      </c>
      <c r="K90" s="10" t="s">
        <v>35</v>
      </c>
      <c r="L90" s="4" t="s">
        <v>1616</v>
      </c>
      <c r="M90" s="3">
        <v>89</v>
      </c>
    </row>
    <row r="91" spans="1:13" x14ac:dyDescent="0.3">
      <c r="A91" s="3">
        <v>17</v>
      </c>
      <c r="B91" s="3">
        <v>17</v>
      </c>
      <c r="C91" s="4">
        <v>309.23</v>
      </c>
      <c r="D91" s="4">
        <v>309.13099999999997</v>
      </c>
      <c r="E91" s="4">
        <v>309.32799999999997</v>
      </c>
      <c r="F91" s="4">
        <v>197</v>
      </c>
      <c r="G91" s="4" t="s">
        <v>85</v>
      </c>
      <c r="H91" s="4" t="s">
        <v>84</v>
      </c>
      <c r="I91" s="5"/>
      <c r="J91" s="6">
        <v>0</v>
      </c>
      <c r="K91" s="10" t="s">
        <v>35</v>
      </c>
      <c r="L91" s="4" t="s">
        <v>1617</v>
      </c>
      <c r="M91" s="3">
        <v>90</v>
      </c>
    </row>
    <row r="92" spans="1:13" x14ac:dyDescent="0.3">
      <c r="A92" s="3">
        <v>17</v>
      </c>
      <c r="B92" s="3">
        <v>17</v>
      </c>
      <c r="C92" s="4">
        <v>310.733</v>
      </c>
      <c r="D92" s="4">
        <v>310.55500000000001</v>
      </c>
      <c r="E92" s="4">
        <v>310.911</v>
      </c>
      <c r="F92" s="4">
        <v>355</v>
      </c>
      <c r="G92" s="4" t="s">
        <v>98</v>
      </c>
      <c r="H92" s="4" t="s">
        <v>97</v>
      </c>
      <c r="I92" s="5"/>
      <c r="J92" s="6">
        <v>0</v>
      </c>
      <c r="K92" s="10" t="s">
        <v>35</v>
      </c>
      <c r="L92" s="4" t="s">
        <v>1618</v>
      </c>
      <c r="M92" s="3">
        <v>91</v>
      </c>
    </row>
    <row r="93" spans="1:13" x14ac:dyDescent="0.3">
      <c r="A93" s="3">
        <v>17</v>
      </c>
      <c r="B93" s="3">
        <v>17</v>
      </c>
      <c r="C93" s="4">
        <v>311.762</v>
      </c>
      <c r="D93" s="4">
        <v>311.45699999999999</v>
      </c>
      <c r="E93" s="4">
        <v>312.06599999999997</v>
      </c>
      <c r="F93" s="4">
        <v>609</v>
      </c>
      <c r="G93" s="4" t="s">
        <v>226</v>
      </c>
      <c r="H93" s="4" t="s">
        <v>225</v>
      </c>
      <c r="I93" s="5"/>
      <c r="J93" s="6">
        <v>0</v>
      </c>
      <c r="K93" s="10" t="s">
        <v>35</v>
      </c>
      <c r="L93" s="4" t="s">
        <v>1619</v>
      </c>
      <c r="M93" s="3">
        <v>92</v>
      </c>
    </row>
    <row r="94" spans="1:13" x14ac:dyDescent="0.3">
      <c r="A94" s="3">
        <v>17</v>
      </c>
      <c r="B94" s="3">
        <v>17</v>
      </c>
      <c r="C94" s="4">
        <v>313.834</v>
      </c>
      <c r="D94" s="4">
        <v>313.72399999999999</v>
      </c>
      <c r="E94" s="4">
        <v>313.94400000000002</v>
      </c>
      <c r="F94" s="4">
        <v>220</v>
      </c>
      <c r="G94" s="4" t="s">
        <v>31</v>
      </c>
      <c r="H94" s="4" t="s">
        <v>30</v>
      </c>
      <c r="I94" s="5"/>
      <c r="J94" s="6">
        <v>0</v>
      </c>
      <c r="K94" s="10" t="s">
        <v>35</v>
      </c>
      <c r="L94" s="4" t="s">
        <v>1620</v>
      </c>
      <c r="M94" s="3">
        <v>93</v>
      </c>
    </row>
    <row r="95" spans="1:13" x14ac:dyDescent="0.3">
      <c r="A95" s="3">
        <v>17</v>
      </c>
      <c r="B95" s="3">
        <v>17</v>
      </c>
      <c r="C95" s="4">
        <v>315.18299999999999</v>
      </c>
      <c r="D95" s="4">
        <v>314.56099999999998</v>
      </c>
      <c r="E95" s="4">
        <v>315.80399999999997</v>
      </c>
      <c r="F95" s="4">
        <v>1243</v>
      </c>
      <c r="G95" s="4" t="s">
        <v>135</v>
      </c>
      <c r="H95" s="4" t="s">
        <v>134</v>
      </c>
      <c r="I95" s="5"/>
      <c r="J95" s="6">
        <v>0</v>
      </c>
      <c r="K95" s="10" t="s">
        <v>35</v>
      </c>
      <c r="L95" s="4" t="s">
        <v>1621</v>
      </c>
      <c r="M95" s="3">
        <v>94</v>
      </c>
    </row>
    <row r="96" spans="1:13" x14ac:dyDescent="0.3">
      <c r="A96" s="3">
        <v>17</v>
      </c>
      <c r="B96" s="3">
        <v>17</v>
      </c>
      <c r="C96" s="4">
        <v>318.56299999999999</v>
      </c>
      <c r="D96" s="4">
        <v>318.15800000000002</v>
      </c>
      <c r="E96" s="4">
        <v>318.96699999999998</v>
      </c>
      <c r="F96" s="4">
        <v>809</v>
      </c>
      <c r="G96" s="4" t="s">
        <v>42</v>
      </c>
      <c r="H96" s="4" t="s">
        <v>41</v>
      </c>
      <c r="I96" s="5"/>
      <c r="J96" s="6">
        <v>0</v>
      </c>
      <c r="K96" s="10" t="s">
        <v>35</v>
      </c>
      <c r="L96" s="4" t="s">
        <v>1622</v>
      </c>
      <c r="M96" s="3">
        <v>95</v>
      </c>
    </row>
    <row r="97" spans="1:13" x14ac:dyDescent="0.3">
      <c r="A97" s="3">
        <v>17</v>
      </c>
      <c r="B97" s="3">
        <v>17</v>
      </c>
      <c r="C97" s="4">
        <v>319.375</v>
      </c>
      <c r="D97" s="4">
        <v>319.15899999999999</v>
      </c>
      <c r="E97" s="4">
        <v>319.59100000000001</v>
      </c>
      <c r="F97" s="4">
        <v>432</v>
      </c>
      <c r="G97" s="4" t="s">
        <v>48</v>
      </c>
      <c r="H97" s="4" t="s">
        <v>47</v>
      </c>
      <c r="I97" s="5"/>
      <c r="J97" s="6">
        <v>0</v>
      </c>
      <c r="K97" s="10" t="s">
        <v>35</v>
      </c>
      <c r="L97" s="4" t="s">
        <v>1623</v>
      </c>
      <c r="M97" s="3">
        <v>96</v>
      </c>
    </row>
    <row r="98" spans="1:13" x14ac:dyDescent="0.3">
      <c r="A98" s="3">
        <v>17</v>
      </c>
      <c r="B98" s="3">
        <v>17</v>
      </c>
      <c r="C98" s="4">
        <v>321.12700000000001</v>
      </c>
      <c r="D98" s="4">
        <v>320.74400000000003</v>
      </c>
      <c r="E98" s="4">
        <v>321.51100000000002</v>
      </c>
      <c r="F98" s="4">
        <v>766</v>
      </c>
      <c r="G98" s="4" t="s">
        <v>755</v>
      </c>
      <c r="H98" s="4" t="s">
        <v>754</v>
      </c>
      <c r="I98" s="5"/>
      <c r="J98" s="6">
        <v>0</v>
      </c>
      <c r="K98" s="10" t="s">
        <v>35</v>
      </c>
      <c r="L98" s="4" t="s">
        <v>1624</v>
      </c>
      <c r="M98" s="3">
        <v>97</v>
      </c>
    </row>
    <row r="99" spans="1:13" x14ac:dyDescent="0.3">
      <c r="A99" s="3">
        <v>17</v>
      </c>
      <c r="B99" s="3">
        <v>17</v>
      </c>
      <c r="C99" s="4">
        <v>323.88799999999998</v>
      </c>
      <c r="D99" s="4">
        <v>323.66500000000002</v>
      </c>
      <c r="E99" s="4">
        <v>324.11099999999999</v>
      </c>
      <c r="F99" s="4">
        <v>445</v>
      </c>
      <c r="G99" s="4" t="s">
        <v>244</v>
      </c>
      <c r="H99" s="4" t="s">
        <v>243</v>
      </c>
      <c r="I99" s="5"/>
      <c r="J99" s="6">
        <v>0</v>
      </c>
      <c r="K99" s="10" t="s">
        <v>35</v>
      </c>
      <c r="L99" s="4" t="s">
        <v>1625</v>
      </c>
      <c r="M99" s="3">
        <v>98</v>
      </c>
    </row>
    <row r="100" spans="1:13" x14ac:dyDescent="0.3">
      <c r="A100" s="3">
        <v>17</v>
      </c>
      <c r="B100" s="3">
        <v>17</v>
      </c>
      <c r="C100" s="4">
        <v>324.93799999999999</v>
      </c>
      <c r="D100" s="4">
        <v>324.74700000000001</v>
      </c>
      <c r="E100" s="4">
        <v>325.12900000000002</v>
      </c>
      <c r="F100" s="4">
        <v>382</v>
      </c>
      <c r="G100" s="4" t="s">
        <v>251</v>
      </c>
      <c r="H100" s="4" t="s">
        <v>250</v>
      </c>
      <c r="I100" s="5"/>
      <c r="J100" s="6">
        <v>0</v>
      </c>
      <c r="K100" s="10" t="s">
        <v>35</v>
      </c>
      <c r="L100" s="4" t="s">
        <v>1626</v>
      </c>
      <c r="M100" s="3">
        <v>99</v>
      </c>
    </row>
    <row r="101" spans="1:13" x14ac:dyDescent="0.3">
      <c r="A101" s="3">
        <v>17</v>
      </c>
      <c r="B101" s="3">
        <v>17</v>
      </c>
      <c r="C101" s="4">
        <v>326.24799999999999</v>
      </c>
      <c r="D101" s="4">
        <v>326.00099999999998</v>
      </c>
      <c r="E101" s="4">
        <v>326.495</v>
      </c>
      <c r="F101" s="4">
        <v>495</v>
      </c>
      <c r="G101" s="4" t="s">
        <v>258</v>
      </c>
      <c r="H101" s="4" t="s">
        <v>257</v>
      </c>
      <c r="I101" s="5"/>
      <c r="J101" s="6">
        <v>0</v>
      </c>
      <c r="K101" s="10" t="s">
        <v>35</v>
      </c>
      <c r="L101" s="4" t="s">
        <v>1627</v>
      </c>
      <c r="M101" s="3">
        <v>100</v>
      </c>
    </row>
    <row r="102" spans="1:13" x14ac:dyDescent="0.3">
      <c r="A102" s="3">
        <v>17</v>
      </c>
      <c r="B102" s="3">
        <v>17</v>
      </c>
      <c r="C102" s="4">
        <v>327.42700000000002</v>
      </c>
      <c r="D102" s="4">
        <v>326.952</v>
      </c>
      <c r="E102" s="4">
        <v>327.90199999999999</v>
      </c>
      <c r="F102" s="4">
        <v>950</v>
      </c>
      <c r="G102" s="4" t="s">
        <v>265</v>
      </c>
      <c r="H102" s="4" t="s">
        <v>264</v>
      </c>
      <c r="I102" s="5"/>
      <c r="J102" s="6">
        <v>0</v>
      </c>
      <c r="K102" s="10" t="s">
        <v>35</v>
      </c>
      <c r="L102" s="4" t="s">
        <v>1628</v>
      </c>
      <c r="M102" s="3">
        <v>101</v>
      </c>
    </row>
    <row r="103" spans="1:13" x14ac:dyDescent="0.3">
      <c r="A103" s="3">
        <v>17</v>
      </c>
      <c r="B103" s="3">
        <v>17</v>
      </c>
      <c r="C103" s="4">
        <v>328.73700000000002</v>
      </c>
      <c r="D103" s="4">
        <v>328.47800000000001</v>
      </c>
      <c r="E103" s="4">
        <v>328.995</v>
      </c>
      <c r="F103" s="4">
        <v>517</v>
      </c>
      <c r="G103" s="4" t="s">
        <v>273</v>
      </c>
      <c r="H103" s="4" t="s">
        <v>272</v>
      </c>
      <c r="I103" s="5"/>
      <c r="J103" s="6">
        <v>0</v>
      </c>
      <c r="K103" s="10" t="s">
        <v>35</v>
      </c>
      <c r="L103" s="4" t="s">
        <v>1629</v>
      </c>
      <c r="M103" s="3">
        <v>102</v>
      </c>
    </row>
    <row r="104" spans="1:13" x14ac:dyDescent="0.3">
      <c r="A104" s="3">
        <v>17</v>
      </c>
      <c r="B104" s="3">
        <v>17</v>
      </c>
      <c r="C104" s="4">
        <v>329.84300000000002</v>
      </c>
      <c r="D104" s="4">
        <v>329.65699999999998</v>
      </c>
      <c r="E104" s="4">
        <v>330.029</v>
      </c>
      <c r="F104" s="4">
        <v>372</v>
      </c>
      <c r="G104" s="4" t="s">
        <v>280</v>
      </c>
      <c r="H104" s="4" t="s">
        <v>279</v>
      </c>
      <c r="I104" s="5"/>
      <c r="J104" s="6">
        <v>0</v>
      </c>
      <c r="K104" s="10" t="s">
        <v>35</v>
      </c>
      <c r="L104" s="4" t="s">
        <v>1630</v>
      </c>
      <c r="M104" s="3">
        <v>103</v>
      </c>
    </row>
    <row r="105" spans="1:13" x14ac:dyDescent="0.3">
      <c r="A105" s="3">
        <v>17</v>
      </c>
      <c r="B105" s="3">
        <v>17</v>
      </c>
      <c r="C105" s="4">
        <v>331.22899999999998</v>
      </c>
      <c r="D105" s="4">
        <v>330.887</v>
      </c>
      <c r="E105" s="4">
        <v>331.57100000000003</v>
      </c>
      <c r="F105" s="4">
        <v>684</v>
      </c>
      <c r="G105" s="4" t="s">
        <v>284</v>
      </c>
      <c r="H105" s="4" t="s">
        <v>283</v>
      </c>
      <c r="I105" s="5"/>
      <c r="J105" s="6">
        <v>0</v>
      </c>
      <c r="K105" s="10" t="s">
        <v>35</v>
      </c>
      <c r="L105" s="4" t="s">
        <v>1631</v>
      </c>
      <c r="M105" s="3">
        <v>104</v>
      </c>
    </row>
    <row r="106" spans="1:13" x14ac:dyDescent="0.3">
      <c r="A106" s="3">
        <v>17</v>
      </c>
      <c r="B106" s="3">
        <v>17</v>
      </c>
      <c r="C106" s="4">
        <v>332.24799999999999</v>
      </c>
      <c r="D106" s="4">
        <v>331.964</v>
      </c>
      <c r="E106" s="4">
        <v>332.53100000000001</v>
      </c>
      <c r="F106" s="4">
        <v>567</v>
      </c>
      <c r="G106" s="4" t="s">
        <v>292</v>
      </c>
      <c r="H106" s="4" t="s">
        <v>291</v>
      </c>
      <c r="I106" s="5"/>
      <c r="J106" s="6">
        <v>0</v>
      </c>
      <c r="K106" s="10" t="s">
        <v>35</v>
      </c>
      <c r="L106" s="4" t="s">
        <v>1632</v>
      </c>
      <c r="M106" s="3">
        <v>105</v>
      </c>
    </row>
    <row r="107" spans="1:13" x14ac:dyDescent="0.3">
      <c r="A107" s="3">
        <v>17</v>
      </c>
      <c r="B107" s="3">
        <v>17</v>
      </c>
      <c r="C107" s="4">
        <v>332.80799999999999</v>
      </c>
      <c r="D107" s="4">
        <v>332.726</v>
      </c>
      <c r="E107" s="4">
        <v>332.89100000000002</v>
      </c>
      <c r="F107" s="4">
        <v>164</v>
      </c>
      <c r="G107" s="4" t="s">
        <v>299</v>
      </c>
      <c r="H107" s="4" t="s">
        <v>298</v>
      </c>
      <c r="I107" s="5"/>
      <c r="J107" s="6">
        <v>0</v>
      </c>
      <c r="K107" s="10" t="s">
        <v>35</v>
      </c>
      <c r="L107" s="4" t="s">
        <v>1633</v>
      </c>
      <c r="M107" s="3">
        <v>106</v>
      </c>
    </row>
    <row r="108" spans="1:13" x14ac:dyDescent="0.3">
      <c r="A108" s="3">
        <v>17</v>
      </c>
      <c r="B108" s="3">
        <v>17</v>
      </c>
      <c r="C108" s="4">
        <v>333.14299999999997</v>
      </c>
      <c r="D108" s="4">
        <v>333.00099999999998</v>
      </c>
      <c r="E108" s="4">
        <v>333.28500000000003</v>
      </c>
      <c r="F108" s="4">
        <v>285</v>
      </c>
      <c r="G108" s="4" t="s">
        <v>306</v>
      </c>
      <c r="H108" s="4" t="s">
        <v>305</v>
      </c>
      <c r="I108" s="5"/>
      <c r="J108" s="6">
        <v>0</v>
      </c>
      <c r="K108" s="10" t="s">
        <v>35</v>
      </c>
      <c r="L108" s="4" t="s">
        <v>1634</v>
      </c>
      <c r="M108" s="3">
        <v>107</v>
      </c>
    </row>
    <row r="109" spans="1:13" x14ac:dyDescent="0.3">
      <c r="A109" s="3">
        <v>17</v>
      </c>
      <c r="B109" s="3">
        <v>17</v>
      </c>
      <c r="C109" s="4">
        <v>333.92200000000003</v>
      </c>
      <c r="D109" s="4">
        <v>333.53399999999999</v>
      </c>
      <c r="E109" s="4">
        <v>334.31099999999998</v>
      </c>
      <c r="F109" s="4">
        <v>776</v>
      </c>
      <c r="G109" s="4" t="s">
        <v>971</v>
      </c>
      <c r="H109" s="4" t="s">
        <v>970</v>
      </c>
      <c r="I109" s="5"/>
      <c r="J109" s="6">
        <v>0</v>
      </c>
      <c r="K109" s="10" t="s">
        <v>35</v>
      </c>
      <c r="L109" s="4" t="s">
        <v>1635</v>
      </c>
      <c r="M109" s="3">
        <v>108</v>
      </c>
    </row>
    <row r="110" spans="1:13" x14ac:dyDescent="0.3">
      <c r="A110" s="3">
        <v>17</v>
      </c>
      <c r="B110" s="3">
        <v>17</v>
      </c>
      <c r="C110" s="4">
        <v>348.363</v>
      </c>
      <c r="D110" s="4">
        <v>348.18599999999998</v>
      </c>
      <c r="E110" s="4">
        <v>348.541</v>
      </c>
      <c r="F110" s="4">
        <v>354</v>
      </c>
      <c r="G110" s="4" t="s">
        <v>142</v>
      </c>
      <c r="H110" s="4" t="s">
        <v>141</v>
      </c>
      <c r="I110" s="5"/>
      <c r="J110" s="6">
        <v>0</v>
      </c>
      <c r="K110" s="10" t="s">
        <v>35</v>
      </c>
      <c r="L110" s="4" t="s">
        <v>1636</v>
      </c>
      <c r="M110" s="3">
        <v>109</v>
      </c>
    </row>
    <row r="111" spans="1:13" x14ac:dyDescent="0.3">
      <c r="A111" s="3">
        <v>17</v>
      </c>
      <c r="B111" s="3">
        <v>17</v>
      </c>
      <c r="C111" s="4">
        <v>349.76600000000002</v>
      </c>
      <c r="D111" s="4">
        <v>349.52800000000002</v>
      </c>
      <c r="E111" s="4">
        <v>350.00299999999999</v>
      </c>
      <c r="F111" s="4">
        <v>475</v>
      </c>
      <c r="G111" s="4" t="s">
        <v>139</v>
      </c>
      <c r="H111" s="4" t="s">
        <v>138</v>
      </c>
      <c r="I111" s="5"/>
      <c r="J111" s="6">
        <v>0</v>
      </c>
      <c r="K111" s="10" t="s">
        <v>35</v>
      </c>
      <c r="L111" s="4" t="s">
        <v>1637</v>
      </c>
      <c r="M111" s="3">
        <v>110</v>
      </c>
    </row>
    <row r="112" spans="1:13" x14ac:dyDescent="0.3">
      <c r="A112" s="3">
        <v>17</v>
      </c>
      <c r="B112" s="3">
        <v>17</v>
      </c>
      <c r="C112" s="4">
        <v>351.21300000000002</v>
      </c>
      <c r="D112" s="4">
        <v>350.952</v>
      </c>
      <c r="E112" s="4">
        <v>351.47300000000001</v>
      </c>
      <c r="F112" s="4">
        <v>521</v>
      </c>
      <c r="G112" s="4" t="s">
        <v>153</v>
      </c>
      <c r="H112" s="4" t="s">
        <v>152</v>
      </c>
      <c r="I112" s="5"/>
      <c r="J112" s="6">
        <v>0</v>
      </c>
      <c r="K112" s="10" t="s">
        <v>35</v>
      </c>
      <c r="L112" s="4" t="s">
        <v>1638</v>
      </c>
      <c r="M112" s="3">
        <v>111</v>
      </c>
    </row>
    <row r="113" spans="1:13" x14ac:dyDescent="0.3">
      <c r="A113" s="3">
        <v>17</v>
      </c>
      <c r="B113" s="3">
        <v>17</v>
      </c>
      <c r="C113" s="4">
        <v>375.79700000000003</v>
      </c>
      <c r="D113" s="4">
        <v>375.62200000000001</v>
      </c>
      <c r="E113" s="4">
        <v>375.97199999999998</v>
      </c>
      <c r="F113" s="4">
        <v>350</v>
      </c>
      <c r="G113" s="4" t="s">
        <v>715</v>
      </c>
      <c r="H113" s="4" t="s">
        <v>714</v>
      </c>
      <c r="I113" s="5"/>
      <c r="J113" s="6">
        <v>0</v>
      </c>
      <c r="K113" s="10" t="s">
        <v>35</v>
      </c>
      <c r="L113" s="4" t="s">
        <v>1639</v>
      </c>
      <c r="M113" s="3">
        <v>112</v>
      </c>
    </row>
    <row r="114" spans="1:13" x14ac:dyDescent="0.3">
      <c r="A114" s="3">
        <v>19</v>
      </c>
      <c r="B114" s="3">
        <v>19</v>
      </c>
      <c r="C114" s="4">
        <v>11.737</v>
      </c>
      <c r="D114" s="4">
        <v>11.18</v>
      </c>
      <c r="E114" s="4">
        <v>12.292999999999999</v>
      </c>
      <c r="F114" s="4">
        <v>1.113</v>
      </c>
      <c r="G114" s="4" t="s">
        <v>1439</v>
      </c>
      <c r="H114" s="11"/>
      <c r="I114" s="4"/>
      <c r="J114" s="6">
        <v>0</v>
      </c>
      <c r="K114" s="10" t="s">
        <v>780</v>
      </c>
      <c r="L114" s="4"/>
      <c r="M114" s="3">
        <v>158</v>
      </c>
    </row>
    <row r="115" spans="1:13" x14ac:dyDescent="0.3">
      <c r="A115" s="3">
        <v>19</v>
      </c>
      <c r="B115" s="3">
        <v>19</v>
      </c>
      <c r="C115" s="4">
        <v>17.902999999999999</v>
      </c>
      <c r="D115" s="4">
        <v>17.82</v>
      </c>
      <c r="E115" s="4">
        <v>17.984999999999999</v>
      </c>
      <c r="F115" s="4">
        <v>0.16500000000000001</v>
      </c>
      <c r="G115" s="4" t="s">
        <v>1440</v>
      </c>
      <c r="H115" s="11"/>
      <c r="I115" s="4"/>
      <c r="J115" s="6">
        <v>0</v>
      </c>
      <c r="K115" s="10" t="s">
        <v>780</v>
      </c>
      <c r="L115" s="4"/>
      <c r="M115" s="3">
        <v>159</v>
      </c>
    </row>
    <row r="116" spans="1:13" x14ac:dyDescent="0.3">
      <c r="A116" s="3">
        <v>19</v>
      </c>
      <c r="B116" s="3">
        <v>19</v>
      </c>
      <c r="C116" s="4">
        <v>21.157</v>
      </c>
      <c r="D116" s="4">
        <v>20.937999999999999</v>
      </c>
      <c r="E116" s="4">
        <v>21.376000000000001</v>
      </c>
      <c r="F116" s="4">
        <v>0.438</v>
      </c>
      <c r="G116" s="4" t="s">
        <v>1441</v>
      </c>
      <c r="H116" s="11"/>
      <c r="I116" s="4"/>
      <c r="J116" s="6">
        <v>0</v>
      </c>
      <c r="K116" s="10" t="s">
        <v>780</v>
      </c>
      <c r="L116" s="4"/>
      <c r="M116" s="3">
        <v>160</v>
      </c>
    </row>
    <row r="117" spans="1:13" x14ac:dyDescent="0.3">
      <c r="A117" s="3">
        <v>19</v>
      </c>
      <c r="B117" s="3">
        <v>19</v>
      </c>
      <c r="C117" s="4">
        <v>23.641999999999999</v>
      </c>
      <c r="D117" s="4">
        <v>23.420999999999999</v>
      </c>
      <c r="E117" s="4">
        <v>23.861999999999998</v>
      </c>
      <c r="F117" s="4">
        <v>0.441</v>
      </c>
      <c r="G117" s="4" t="s">
        <v>1442</v>
      </c>
      <c r="H117" s="11"/>
      <c r="I117" s="4"/>
      <c r="J117" s="6">
        <v>0</v>
      </c>
      <c r="K117" s="10" t="s">
        <v>780</v>
      </c>
      <c r="L117" s="4"/>
      <c r="M117" s="3">
        <v>161</v>
      </c>
    </row>
    <row r="118" spans="1:13" x14ac:dyDescent="0.3">
      <c r="A118" s="3">
        <v>19</v>
      </c>
      <c r="B118" s="3">
        <v>19</v>
      </c>
      <c r="C118" s="4">
        <v>25.25</v>
      </c>
      <c r="D118" s="4">
        <v>25.128</v>
      </c>
      <c r="E118" s="4">
        <v>25.372</v>
      </c>
      <c r="F118" s="4">
        <v>0.24399999999999999</v>
      </c>
      <c r="G118" s="4" t="s">
        <v>1443</v>
      </c>
      <c r="H118" s="11"/>
      <c r="I118" s="4"/>
      <c r="J118" s="6">
        <v>0</v>
      </c>
      <c r="K118" s="10" t="s">
        <v>780</v>
      </c>
      <c r="L118" s="4"/>
      <c r="M118" s="3">
        <v>162</v>
      </c>
    </row>
    <row r="119" spans="1:13" x14ac:dyDescent="0.3">
      <c r="A119" s="3">
        <v>19</v>
      </c>
      <c r="B119" s="3">
        <v>19</v>
      </c>
      <c r="C119" s="4">
        <v>26.306000000000001</v>
      </c>
      <c r="D119" s="4">
        <v>26.117999999999999</v>
      </c>
      <c r="E119" s="4">
        <v>26.494</v>
      </c>
      <c r="F119" s="4">
        <v>0.376</v>
      </c>
      <c r="G119" s="4" t="s">
        <v>1444</v>
      </c>
      <c r="H119" s="11"/>
      <c r="I119" s="4"/>
      <c r="J119" s="6">
        <v>0</v>
      </c>
      <c r="K119" s="10" t="s">
        <v>780</v>
      </c>
      <c r="L119" s="4"/>
      <c r="M119" s="3">
        <v>163</v>
      </c>
    </row>
    <row r="120" spans="1:13" x14ac:dyDescent="0.3">
      <c r="A120" s="3">
        <v>19</v>
      </c>
      <c r="B120" s="3">
        <v>19</v>
      </c>
      <c r="C120" s="4">
        <v>28.03</v>
      </c>
      <c r="D120" s="4">
        <v>27.907</v>
      </c>
      <c r="E120" s="4">
        <v>28.152999999999999</v>
      </c>
      <c r="F120" s="4">
        <v>0.246</v>
      </c>
      <c r="G120" s="4" t="s">
        <v>1445</v>
      </c>
      <c r="H120" s="11"/>
      <c r="I120" s="4"/>
      <c r="J120" s="6">
        <v>0</v>
      </c>
      <c r="K120" s="10" t="s">
        <v>780</v>
      </c>
      <c r="L120" s="4"/>
      <c r="M120" s="3">
        <v>164</v>
      </c>
    </row>
    <row r="121" spans="1:13" x14ac:dyDescent="0.3">
      <c r="A121" s="3">
        <v>19</v>
      </c>
      <c r="B121" s="3">
        <v>19</v>
      </c>
      <c r="C121" s="4">
        <v>30.236999999999998</v>
      </c>
      <c r="D121" s="4">
        <v>29.864999999999998</v>
      </c>
      <c r="E121" s="4">
        <v>30.608000000000001</v>
      </c>
      <c r="F121" s="4">
        <v>0.74299999999999999</v>
      </c>
      <c r="G121" s="4" t="s">
        <v>1446</v>
      </c>
      <c r="H121" s="11"/>
      <c r="I121" s="4"/>
      <c r="J121" s="6">
        <v>0</v>
      </c>
      <c r="K121" s="10" t="s">
        <v>780</v>
      </c>
      <c r="L121" s="4"/>
      <c r="M121" s="3">
        <v>165</v>
      </c>
    </row>
    <row r="122" spans="1:13" x14ac:dyDescent="0.3">
      <c r="A122" s="3">
        <v>19</v>
      </c>
      <c r="B122" s="3">
        <v>19</v>
      </c>
      <c r="C122" s="4">
        <v>31.347999999999999</v>
      </c>
      <c r="D122" s="4">
        <v>30.873999999999999</v>
      </c>
      <c r="E122" s="4">
        <v>31.821999999999999</v>
      </c>
      <c r="F122" s="4">
        <v>0.94799999999999995</v>
      </c>
      <c r="G122" s="4" t="s">
        <v>1447</v>
      </c>
      <c r="H122" s="11"/>
      <c r="I122" s="4"/>
      <c r="J122" s="6">
        <v>0</v>
      </c>
      <c r="K122" s="10" t="s">
        <v>780</v>
      </c>
      <c r="L122" s="4"/>
      <c r="M122" s="3">
        <v>166</v>
      </c>
    </row>
    <row r="123" spans="1:13" x14ac:dyDescent="0.3">
      <c r="A123" s="3">
        <v>19</v>
      </c>
      <c r="B123" s="3">
        <v>19</v>
      </c>
      <c r="C123" s="4">
        <v>32.018000000000001</v>
      </c>
      <c r="D123" s="4">
        <v>31.92</v>
      </c>
      <c r="E123" s="4">
        <v>32.116</v>
      </c>
      <c r="F123" s="4">
        <v>0.19600000000000001</v>
      </c>
      <c r="G123" s="4" t="s">
        <v>1448</v>
      </c>
      <c r="H123" s="11"/>
      <c r="I123" s="4"/>
      <c r="J123" s="6">
        <v>0</v>
      </c>
      <c r="K123" s="10" t="s">
        <v>780</v>
      </c>
      <c r="L123" s="4"/>
      <c r="M123" s="3">
        <v>167</v>
      </c>
    </row>
    <row r="124" spans="1:13" x14ac:dyDescent="0.3">
      <c r="A124" s="3">
        <v>19</v>
      </c>
      <c r="B124" s="3">
        <v>19</v>
      </c>
      <c r="C124" s="4">
        <v>32.819000000000003</v>
      </c>
      <c r="D124" s="4">
        <v>32.213000000000001</v>
      </c>
      <c r="E124" s="4">
        <v>33.424999999999997</v>
      </c>
      <c r="F124" s="4">
        <v>1.212</v>
      </c>
      <c r="G124" s="4" t="s">
        <v>785</v>
      </c>
      <c r="H124" s="11"/>
      <c r="I124" s="4"/>
      <c r="J124" s="6">
        <v>0</v>
      </c>
      <c r="K124" s="10" t="s">
        <v>780</v>
      </c>
      <c r="L124" s="4"/>
      <c r="M124" s="3">
        <v>168</v>
      </c>
    </row>
    <row r="125" spans="1:13" x14ac:dyDescent="0.3">
      <c r="A125" s="3">
        <v>19</v>
      </c>
      <c r="B125" s="3">
        <v>19</v>
      </c>
      <c r="C125" s="4">
        <v>34.819000000000003</v>
      </c>
      <c r="D125" s="4">
        <v>34.305999999999997</v>
      </c>
      <c r="E125" s="4">
        <v>35.332000000000001</v>
      </c>
      <c r="F125" s="4">
        <v>1.026</v>
      </c>
      <c r="G125" s="4" t="s">
        <v>790</v>
      </c>
      <c r="H125" s="11"/>
      <c r="I125" s="4"/>
      <c r="J125" s="6">
        <v>0</v>
      </c>
      <c r="K125" s="10" t="s">
        <v>780</v>
      </c>
      <c r="L125" s="4"/>
      <c r="M125" s="3">
        <v>169</v>
      </c>
    </row>
    <row r="126" spans="1:13" x14ac:dyDescent="0.3">
      <c r="A126" s="3">
        <v>19</v>
      </c>
      <c r="B126" s="3">
        <v>19</v>
      </c>
      <c r="C126" s="4">
        <v>35.548999999999999</v>
      </c>
      <c r="D126" s="4">
        <v>35.408999999999999</v>
      </c>
      <c r="E126" s="4">
        <v>35.689</v>
      </c>
      <c r="F126" s="4">
        <v>0.28000000000000003</v>
      </c>
      <c r="G126" s="4" t="s">
        <v>800</v>
      </c>
      <c r="H126" s="11"/>
      <c r="I126" s="4"/>
      <c r="J126" s="6">
        <v>0</v>
      </c>
      <c r="K126" s="10" t="s">
        <v>780</v>
      </c>
      <c r="L126" s="4"/>
      <c r="M126" s="3">
        <v>170</v>
      </c>
    </row>
    <row r="127" spans="1:13" x14ac:dyDescent="0.3">
      <c r="A127" s="3">
        <v>19</v>
      </c>
      <c r="B127" s="3">
        <v>19</v>
      </c>
      <c r="C127" s="4">
        <v>38.030999999999999</v>
      </c>
      <c r="D127" s="4">
        <v>37.582999999999998</v>
      </c>
      <c r="E127" s="4">
        <v>38.478999999999999</v>
      </c>
      <c r="F127" s="4">
        <v>0.89600000000000002</v>
      </c>
      <c r="G127" s="4" t="s">
        <v>805</v>
      </c>
      <c r="H127" s="11"/>
      <c r="I127" s="4"/>
      <c r="J127" s="6">
        <v>0</v>
      </c>
      <c r="K127" s="10" t="s">
        <v>780</v>
      </c>
      <c r="L127" s="4"/>
      <c r="M127" s="3">
        <v>171</v>
      </c>
    </row>
    <row r="128" spans="1:13" x14ac:dyDescent="0.3">
      <c r="A128" s="3">
        <v>19</v>
      </c>
      <c r="B128" s="3">
        <v>19</v>
      </c>
      <c r="C128" s="4">
        <v>39.17</v>
      </c>
      <c r="D128" s="4">
        <v>38.926000000000002</v>
      </c>
      <c r="E128" s="4">
        <v>39.414000000000001</v>
      </c>
      <c r="F128" s="4">
        <v>0.48799999999999999</v>
      </c>
      <c r="G128" s="4" t="s">
        <v>811</v>
      </c>
      <c r="H128" s="11"/>
      <c r="I128" s="4"/>
      <c r="J128" s="6">
        <v>0</v>
      </c>
      <c r="K128" s="10" t="s">
        <v>780</v>
      </c>
      <c r="L128" s="4"/>
      <c r="M128" s="3">
        <v>189</v>
      </c>
    </row>
    <row r="129" spans="1:13" x14ac:dyDescent="0.3">
      <c r="A129" s="3">
        <v>19</v>
      </c>
      <c r="B129" s="3">
        <v>19</v>
      </c>
      <c r="C129" s="4">
        <v>42.177999999999997</v>
      </c>
      <c r="D129" s="4">
        <v>42.100999999999999</v>
      </c>
      <c r="E129" s="4">
        <v>42.255000000000003</v>
      </c>
      <c r="F129" s="4">
        <v>0.154</v>
      </c>
      <c r="G129" s="4" t="s">
        <v>1449</v>
      </c>
      <c r="H129" s="11"/>
      <c r="I129" s="4"/>
      <c r="J129" s="6">
        <v>0</v>
      </c>
      <c r="K129" s="10" t="s">
        <v>780</v>
      </c>
      <c r="L129" s="4"/>
      <c r="M129" s="3">
        <v>172</v>
      </c>
    </row>
    <row r="130" spans="1:13" x14ac:dyDescent="0.3">
      <c r="A130" s="3">
        <v>19</v>
      </c>
      <c r="B130" s="3">
        <v>19</v>
      </c>
      <c r="C130" s="4">
        <v>43.723999999999997</v>
      </c>
      <c r="D130" s="4">
        <v>42.643999999999998</v>
      </c>
      <c r="E130" s="4">
        <v>44.802999999999997</v>
      </c>
      <c r="F130" s="4">
        <v>2.1589999999999998</v>
      </c>
      <c r="G130" s="4" t="s">
        <v>816</v>
      </c>
      <c r="H130" s="11"/>
      <c r="I130" s="4"/>
      <c r="J130" s="6">
        <v>0</v>
      </c>
      <c r="K130" s="10" t="s">
        <v>780</v>
      </c>
      <c r="L130" s="4"/>
      <c r="M130" s="3">
        <v>173</v>
      </c>
    </row>
    <row r="131" spans="1:13" x14ac:dyDescent="0.3">
      <c r="A131" s="3">
        <v>19</v>
      </c>
      <c r="B131" s="3">
        <v>19</v>
      </c>
      <c r="C131" s="4">
        <v>45.1</v>
      </c>
      <c r="D131" s="4">
        <v>44.999000000000002</v>
      </c>
      <c r="E131" s="4">
        <v>45.2</v>
      </c>
      <c r="F131" s="4">
        <v>0.20100000000000001</v>
      </c>
      <c r="G131" s="4" t="s">
        <v>1450</v>
      </c>
      <c r="H131" s="11"/>
      <c r="I131" s="4"/>
      <c r="J131" s="6">
        <v>0</v>
      </c>
      <c r="K131" s="10" t="s">
        <v>780</v>
      </c>
      <c r="L131" s="4"/>
      <c r="M131" s="3">
        <v>174</v>
      </c>
    </row>
    <row r="132" spans="1:13" x14ac:dyDescent="0.3">
      <c r="A132" s="3">
        <v>19</v>
      </c>
      <c r="B132" s="3">
        <v>19</v>
      </c>
      <c r="C132" s="4">
        <v>46.301000000000002</v>
      </c>
      <c r="D132" s="4">
        <v>46.033000000000001</v>
      </c>
      <c r="E132" s="4">
        <v>46.567999999999998</v>
      </c>
      <c r="F132" s="4">
        <v>0.53500000000000003</v>
      </c>
      <c r="G132" s="4" t="s">
        <v>827</v>
      </c>
      <c r="H132" s="11"/>
      <c r="I132" s="4"/>
      <c r="J132" s="6">
        <v>0</v>
      </c>
      <c r="K132" s="10" t="s">
        <v>780</v>
      </c>
      <c r="L132" s="4"/>
      <c r="M132" s="3">
        <v>175</v>
      </c>
    </row>
    <row r="133" spans="1:13" x14ac:dyDescent="0.3">
      <c r="A133" s="3">
        <v>19</v>
      </c>
      <c r="B133" s="3">
        <v>19</v>
      </c>
      <c r="C133" s="4">
        <v>47.16</v>
      </c>
      <c r="D133" s="4">
        <v>46.895000000000003</v>
      </c>
      <c r="E133" s="4">
        <v>47.423999999999999</v>
      </c>
      <c r="F133" s="4">
        <v>0.52900000000000003</v>
      </c>
      <c r="G133" s="4" t="s">
        <v>839</v>
      </c>
      <c r="H133" s="11"/>
      <c r="I133" s="4"/>
      <c r="J133" s="6">
        <v>0</v>
      </c>
      <c r="K133" s="10" t="s">
        <v>780</v>
      </c>
      <c r="L133" s="4"/>
      <c r="M133" s="3">
        <v>176</v>
      </c>
    </row>
    <row r="134" spans="1:13" x14ac:dyDescent="0.3">
      <c r="A134" s="3">
        <v>19</v>
      </c>
      <c r="B134" s="3">
        <v>19</v>
      </c>
      <c r="C134" s="4">
        <v>48.493000000000002</v>
      </c>
      <c r="D134" s="4">
        <v>48.289000000000001</v>
      </c>
      <c r="E134" s="4">
        <v>48.697000000000003</v>
      </c>
      <c r="F134" s="4">
        <v>0.40799999999999997</v>
      </c>
      <c r="G134" s="4" t="s">
        <v>1451</v>
      </c>
      <c r="H134" s="11"/>
      <c r="I134" s="4"/>
      <c r="J134" s="6">
        <v>0</v>
      </c>
      <c r="K134" s="10" t="s">
        <v>780</v>
      </c>
      <c r="L134" s="4"/>
      <c r="M134" s="3">
        <v>177</v>
      </c>
    </row>
    <row r="135" spans="1:13" x14ac:dyDescent="0.3">
      <c r="A135" s="3">
        <v>19</v>
      </c>
      <c r="B135" s="3">
        <v>19</v>
      </c>
      <c r="C135" s="4">
        <v>50.279000000000003</v>
      </c>
      <c r="D135" s="4">
        <v>50</v>
      </c>
      <c r="E135" s="4">
        <v>50.557000000000002</v>
      </c>
      <c r="F135" s="4">
        <v>0.55700000000000005</v>
      </c>
      <c r="G135" s="4" t="s">
        <v>1452</v>
      </c>
      <c r="H135" s="11"/>
      <c r="I135" s="4"/>
      <c r="J135" s="6">
        <v>0</v>
      </c>
      <c r="K135" s="10" t="s">
        <v>780</v>
      </c>
      <c r="L135" s="4"/>
      <c r="M135" s="3">
        <v>178</v>
      </c>
    </row>
    <row r="136" spans="1:13" x14ac:dyDescent="0.3">
      <c r="A136" s="3">
        <v>19</v>
      </c>
      <c r="B136" s="3">
        <v>19</v>
      </c>
      <c r="C136" s="4">
        <v>53.451000000000001</v>
      </c>
      <c r="D136" s="4">
        <v>53.036000000000001</v>
      </c>
      <c r="E136" s="4">
        <v>53.865000000000002</v>
      </c>
      <c r="F136" s="4">
        <v>0.82899999999999996</v>
      </c>
      <c r="G136" s="4" t="s">
        <v>1453</v>
      </c>
      <c r="H136" s="11"/>
      <c r="I136" s="4"/>
      <c r="J136" s="6">
        <v>0</v>
      </c>
      <c r="K136" s="10" t="s">
        <v>780</v>
      </c>
      <c r="L136" s="4"/>
      <c r="M136" s="3">
        <v>179</v>
      </c>
    </row>
    <row r="137" spans="1:13" x14ac:dyDescent="0.3">
      <c r="A137" s="3">
        <v>19</v>
      </c>
      <c r="B137" s="3">
        <v>19</v>
      </c>
      <c r="C137" s="4">
        <v>55.43</v>
      </c>
      <c r="D137" s="4">
        <v>55.14</v>
      </c>
      <c r="E137" s="4">
        <v>55.72</v>
      </c>
      <c r="F137" s="4">
        <v>0.57999999999999996</v>
      </c>
      <c r="G137" s="4" t="s">
        <v>1454</v>
      </c>
      <c r="H137" s="11"/>
      <c r="I137" s="4"/>
      <c r="J137" s="6">
        <v>0</v>
      </c>
      <c r="K137" s="10" t="s">
        <v>780</v>
      </c>
      <c r="L137" s="4"/>
      <c r="M137" s="3">
        <v>180</v>
      </c>
    </row>
    <row r="138" spans="1:13" x14ac:dyDescent="0.3">
      <c r="A138" s="3">
        <v>19</v>
      </c>
      <c r="B138" s="3">
        <v>19</v>
      </c>
      <c r="C138" s="4">
        <v>69.409000000000006</v>
      </c>
      <c r="D138" s="4">
        <v>69.257999999999996</v>
      </c>
      <c r="E138" s="4">
        <v>69.558999999999997</v>
      </c>
      <c r="F138" s="4">
        <v>0.30099999999999999</v>
      </c>
      <c r="G138" s="4" t="s">
        <v>1455</v>
      </c>
      <c r="H138" s="11"/>
      <c r="I138" s="4"/>
      <c r="J138" s="6">
        <v>0</v>
      </c>
      <c r="K138" s="10" t="s">
        <v>780</v>
      </c>
      <c r="L138" s="4"/>
      <c r="M138" s="3">
        <v>181</v>
      </c>
    </row>
    <row r="139" spans="1:13" x14ac:dyDescent="0.3">
      <c r="A139" s="3">
        <v>19</v>
      </c>
      <c r="B139" s="3">
        <v>19</v>
      </c>
      <c r="C139" s="4">
        <v>70.522000000000006</v>
      </c>
      <c r="D139" s="4">
        <v>70.254999999999995</v>
      </c>
      <c r="E139" s="4">
        <v>70.789000000000001</v>
      </c>
      <c r="F139" s="4">
        <v>0.53400000000000003</v>
      </c>
      <c r="G139" s="4" t="s">
        <v>1456</v>
      </c>
      <c r="H139" s="11"/>
      <c r="I139" s="4"/>
      <c r="J139" s="6">
        <v>0</v>
      </c>
      <c r="K139" s="10" t="s">
        <v>780</v>
      </c>
      <c r="L139" s="4"/>
      <c r="M139" s="3">
        <v>182</v>
      </c>
    </row>
    <row r="140" spans="1:13" x14ac:dyDescent="0.3">
      <c r="A140" s="3">
        <v>19</v>
      </c>
      <c r="B140" s="3">
        <v>19</v>
      </c>
      <c r="C140" s="4">
        <v>72.203000000000003</v>
      </c>
      <c r="D140" s="4">
        <v>72.072999999999993</v>
      </c>
      <c r="E140" s="4">
        <v>72.332999999999998</v>
      </c>
      <c r="F140" s="4">
        <v>0.26</v>
      </c>
      <c r="G140" s="4" t="s">
        <v>1457</v>
      </c>
      <c r="H140" s="11"/>
      <c r="I140" s="4"/>
      <c r="J140" s="6">
        <v>0</v>
      </c>
      <c r="K140" s="10" t="s">
        <v>780</v>
      </c>
      <c r="L140" s="4"/>
      <c r="M140" s="3">
        <v>183</v>
      </c>
    </row>
    <row r="141" spans="1:13" x14ac:dyDescent="0.3">
      <c r="A141" s="3">
        <v>19</v>
      </c>
      <c r="B141" s="3">
        <v>19</v>
      </c>
      <c r="C141" s="4">
        <v>74.748000000000005</v>
      </c>
      <c r="D141" s="4">
        <v>74.52</v>
      </c>
      <c r="E141" s="4">
        <v>74.975999999999999</v>
      </c>
      <c r="F141" s="4">
        <v>0.45600000000000002</v>
      </c>
      <c r="G141" s="4" t="s">
        <v>778</v>
      </c>
      <c r="H141" s="11"/>
      <c r="I141" s="4"/>
      <c r="J141" s="6">
        <v>0</v>
      </c>
      <c r="K141" s="10" t="s">
        <v>780</v>
      </c>
      <c r="L141" s="4"/>
      <c r="M141" s="3">
        <v>184</v>
      </c>
    </row>
    <row r="142" spans="1:13" x14ac:dyDescent="0.3">
      <c r="A142" s="3">
        <v>19</v>
      </c>
      <c r="B142" s="3">
        <v>19</v>
      </c>
      <c r="C142" s="4">
        <v>76.007999999999996</v>
      </c>
      <c r="D142" s="4">
        <v>75.867000000000004</v>
      </c>
      <c r="E142" s="4">
        <v>76.149000000000001</v>
      </c>
      <c r="F142" s="4">
        <v>0.28199999999999997</v>
      </c>
      <c r="G142" s="4" t="s">
        <v>1458</v>
      </c>
      <c r="H142" s="11"/>
      <c r="I142" s="4"/>
      <c r="J142" s="6">
        <v>0</v>
      </c>
      <c r="K142" s="10" t="s">
        <v>780</v>
      </c>
      <c r="L142" s="4"/>
      <c r="M142" s="3">
        <v>185</v>
      </c>
    </row>
    <row r="143" spans="1:13" x14ac:dyDescent="0.3">
      <c r="A143" s="3">
        <v>19</v>
      </c>
      <c r="B143" s="3">
        <v>19</v>
      </c>
      <c r="C143" s="4">
        <v>78.260999999999996</v>
      </c>
      <c r="D143" s="4">
        <v>78.046000000000006</v>
      </c>
      <c r="E143" s="4">
        <v>78.474999999999994</v>
      </c>
      <c r="F143" s="4">
        <v>0.42899999999999999</v>
      </c>
      <c r="G143" s="4" t="s">
        <v>1459</v>
      </c>
      <c r="H143" s="11"/>
      <c r="I143" s="4"/>
      <c r="J143" s="6">
        <v>0</v>
      </c>
      <c r="K143" s="10" t="s">
        <v>780</v>
      </c>
      <c r="L143" s="4"/>
      <c r="M143" s="3">
        <v>186</v>
      </c>
    </row>
    <row r="144" spans="1:13" x14ac:dyDescent="0.3">
      <c r="A144" s="3">
        <v>19</v>
      </c>
      <c r="B144" s="3">
        <v>19</v>
      </c>
      <c r="C144" s="4">
        <v>83.210999999999999</v>
      </c>
      <c r="D144" s="4">
        <v>83.072999999999993</v>
      </c>
      <c r="E144" s="4">
        <v>83.349000000000004</v>
      </c>
      <c r="F144" s="4">
        <v>0.27600000000000002</v>
      </c>
      <c r="G144" s="4" t="s">
        <v>1460</v>
      </c>
      <c r="H144" s="11"/>
      <c r="I144" s="4"/>
      <c r="J144" s="6">
        <v>0</v>
      </c>
      <c r="K144" s="10" t="s">
        <v>780</v>
      </c>
      <c r="L144" s="4"/>
      <c r="M144" s="3">
        <v>187</v>
      </c>
    </row>
    <row r="145" spans="1:13" x14ac:dyDescent="0.3">
      <c r="A145" s="3">
        <v>19</v>
      </c>
      <c r="B145" s="3">
        <v>19</v>
      </c>
      <c r="C145" s="4">
        <v>95.183999999999997</v>
      </c>
      <c r="D145" s="4">
        <v>95.040999999999997</v>
      </c>
      <c r="E145" s="4">
        <v>95.326999999999998</v>
      </c>
      <c r="F145" s="4">
        <v>0.28599999999999998</v>
      </c>
      <c r="G145" s="4" t="s">
        <v>1461</v>
      </c>
      <c r="H145" s="11"/>
      <c r="I145" s="4"/>
      <c r="J145" s="6">
        <v>0</v>
      </c>
      <c r="K145" s="10" t="s">
        <v>780</v>
      </c>
      <c r="L145" s="4"/>
      <c r="M145" s="3">
        <v>188</v>
      </c>
    </row>
    <row r="146" spans="1:13" x14ac:dyDescent="0.3">
      <c r="A146" s="3">
        <v>21</v>
      </c>
      <c r="B146" s="3">
        <v>21</v>
      </c>
      <c r="C146" s="4">
        <v>55.676000000000002</v>
      </c>
      <c r="D146" s="4">
        <v>55.399000000000001</v>
      </c>
      <c r="E146" s="4">
        <v>55.953000000000003</v>
      </c>
      <c r="F146" s="4">
        <v>544</v>
      </c>
      <c r="G146" s="4" t="s">
        <v>1462</v>
      </c>
      <c r="H146" s="4" t="s">
        <v>1640</v>
      </c>
      <c r="I146" s="5"/>
      <c r="J146" s="6">
        <v>0</v>
      </c>
      <c r="K146" s="10" t="s">
        <v>1641</v>
      </c>
      <c r="L146" s="4" t="s">
        <v>1642</v>
      </c>
      <c r="M146" s="3">
        <v>113</v>
      </c>
    </row>
    <row r="147" spans="1:13" x14ac:dyDescent="0.3">
      <c r="A147" s="3">
        <v>21</v>
      </c>
      <c r="B147" s="3">
        <v>21</v>
      </c>
      <c r="C147" s="4">
        <v>83.63</v>
      </c>
      <c r="D147" s="4">
        <v>83.515000000000001</v>
      </c>
      <c r="E147" s="4">
        <v>83.745000000000005</v>
      </c>
      <c r="F147" s="4">
        <v>288</v>
      </c>
      <c r="G147" s="4" t="s">
        <v>1463</v>
      </c>
      <c r="H147" s="4" t="s">
        <v>1643</v>
      </c>
      <c r="I147" s="5"/>
      <c r="J147" s="6">
        <v>0</v>
      </c>
      <c r="K147" s="10" t="s">
        <v>1641</v>
      </c>
      <c r="L147" s="4" t="s">
        <v>1644</v>
      </c>
      <c r="M147" s="3">
        <v>114</v>
      </c>
    </row>
    <row r="148" spans="1:13" x14ac:dyDescent="0.3">
      <c r="A148" s="3">
        <v>21</v>
      </c>
      <c r="B148" s="3">
        <v>21</v>
      </c>
      <c r="C148" s="4">
        <v>97.491</v>
      </c>
      <c r="D148" s="4">
        <v>97.301000000000002</v>
      </c>
      <c r="E148" s="4">
        <v>97.682000000000002</v>
      </c>
      <c r="F148" s="4">
        <v>422</v>
      </c>
      <c r="G148" s="4" t="s">
        <v>1464</v>
      </c>
      <c r="H148" s="4" t="s">
        <v>1645</v>
      </c>
      <c r="I148" s="5"/>
      <c r="J148" s="6">
        <v>0</v>
      </c>
      <c r="K148" s="10" t="s">
        <v>1641</v>
      </c>
      <c r="L148" s="4" t="s">
        <v>1646</v>
      </c>
      <c r="M148" s="3">
        <v>115</v>
      </c>
    </row>
    <row r="149" spans="1:13" x14ac:dyDescent="0.3">
      <c r="A149" s="3">
        <v>24</v>
      </c>
      <c r="B149" s="3">
        <v>24</v>
      </c>
      <c r="C149" s="4">
        <v>164.959</v>
      </c>
      <c r="D149" s="4">
        <v>164.678</v>
      </c>
      <c r="E149" s="4">
        <v>165.24100000000001</v>
      </c>
      <c r="F149" s="4">
        <v>562</v>
      </c>
      <c r="G149" s="4" t="s">
        <v>316</v>
      </c>
      <c r="H149" s="4" t="s">
        <v>315</v>
      </c>
      <c r="I149" s="5"/>
      <c r="J149" s="6">
        <v>0</v>
      </c>
      <c r="K149" s="10" t="s">
        <v>319</v>
      </c>
      <c r="L149" s="4" t="s">
        <v>1647</v>
      </c>
      <c r="M149" s="3">
        <v>116</v>
      </c>
    </row>
    <row r="150" spans="1:13" x14ac:dyDescent="0.3">
      <c r="A150" s="3">
        <v>25</v>
      </c>
      <c r="B150" s="3">
        <v>25</v>
      </c>
      <c r="C150" s="15">
        <v>332.59300000000002</v>
      </c>
      <c r="D150" s="15">
        <v>332.35300000000001</v>
      </c>
      <c r="E150" s="15">
        <v>332.83300000000003</v>
      </c>
      <c r="F150" s="15">
        <v>0.48</v>
      </c>
      <c r="G150" s="4" t="s">
        <v>346</v>
      </c>
      <c r="H150" s="11"/>
      <c r="I150" s="4"/>
      <c r="J150" s="6">
        <v>0</v>
      </c>
      <c r="K150" s="10" t="s">
        <v>349</v>
      </c>
      <c r="L150" s="4"/>
      <c r="M150" s="3">
        <v>154</v>
      </c>
    </row>
    <row r="151" spans="1:13" x14ac:dyDescent="0.3">
      <c r="A151" s="3">
        <v>37</v>
      </c>
      <c r="B151" s="3">
        <v>37</v>
      </c>
      <c r="C151" s="4">
        <v>325.96899999999999</v>
      </c>
      <c r="D151" s="4">
        <v>325.84100000000001</v>
      </c>
      <c r="E151" s="4">
        <v>326.096</v>
      </c>
      <c r="F151" s="4">
        <v>255</v>
      </c>
      <c r="G151" s="4" t="s">
        <v>952</v>
      </c>
      <c r="H151" s="4" t="s">
        <v>951</v>
      </c>
      <c r="I151" s="5"/>
      <c r="J151" s="6">
        <v>0</v>
      </c>
      <c r="K151" s="10" t="s">
        <v>1648</v>
      </c>
      <c r="L151" s="4" t="s">
        <v>1649</v>
      </c>
      <c r="M151" s="3">
        <v>117</v>
      </c>
    </row>
    <row r="152" spans="1:13" x14ac:dyDescent="0.3">
      <c r="A152" s="3">
        <v>39</v>
      </c>
      <c r="B152" s="3">
        <v>39</v>
      </c>
      <c r="C152" s="4">
        <v>353.54899999999998</v>
      </c>
      <c r="D152" s="4">
        <v>353.28199999999998</v>
      </c>
      <c r="E152" s="4">
        <v>353.81599999999997</v>
      </c>
      <c r="F152" s="4">
        <v>0.53400000000000003</v>
      </c>
      <c r="G152" s="4" t="s">
        <v>856</v>
      </c>
      <c r="H152" s="11"/>
      <c r="I152" s="4"/>
      <c r="J152" s="6">
        <v>0</v>
      </c>
      <c r="K152" s="10" t="s">
        <v>858</v>
      </c>
      <c r="L152" s="4"/>
      <c r="M152" s="3">
        <v>155</v>
      </c>
    </row>
    <row r="153" spans="1:13" x14ac:dyDescent="0.3">
      <c r="A153" s="3">
        <v>39</v>
      </c>
      <c r="B153" s="3">
        <v>39</v>
      </c>
      <c r="C153" s="4">
        <v>355.74200000000002</v>
      </c>
      <c r="D153" s="4">
        <v>355.548</v>
      </c>
      <c r="E153" s="4">
        <v>355.93599999999998</v>
      </c>
      <c r="F153" s="4">
        <v>0.38800000000000001</v>
      </c>
      <c r="G153" s="4" t="s">
        <v>863</v>
      </c>
      <c r="H153" s="11"/>
      <c r="I153" s="4"/>
      <c r="J153" s="6">
        <v>0</v>
      </c>
      <c r="K153" s="10" t="s">
        <v>858</v>
      </c>
      <c r="L153" s="4"/>
      <c r="M153" s="3">
        <v>156</v>
      </c>
    </row>
    <row r="154" spans="1:13" x14ac:dyDescent="0.3">
      <c r="A154" s="3">
        <v>39</v>
      </c>
      <c r="B154" s="3">
        <v>39</v>
      </c>
      <c r="C154" s="4">
        <v>361.863</v>
      </c>
      <c r="D154" s="4">
        <v>361.589</v>
      </c>
      <c r="E154" s="4">
        <v>362.137</v>
      </c>
      <c r="F154" s="4">
        <v>0.54800000000000004</v>
      </c>
      <c r="G154" s="4" t="s">
        <v>869</v>
      </c>
      <c r="H154" s="11"/>
      <c r="I154" s="4"/>
      <c r="J154" s="6">
        <v>0</v>
      </c>
      <c r="K154" s="10" t="s">
        <v>858</v>
      </c>
      <c r="L154" s="4"/>
      <c r="M154" s="3">
        <v>157</v>
      </c>
    </row>
    <row r="155" spans="1:13" x14ac:dyDescent="0.3">
      <c r="A155" s="3">
        <v>56</v>
      </c>
      <c r="B155" s="3" t="s">
        <v>1650</v>
      </c>
      <c r="C155" s="16">
        <v>175.8005</v>
      </c>
      <c r="D155" s="16">
        <v>175.745</v>
      </c>
      <c r="E155" s="16">
        <v>175.85599999999999</v>
      </c>
      <c r="F155" s="16">
        <v>111</v>
      </c>
      <c r="G155" s="4" t="s">
        <v>1465</v>
      </c>
      <c r="H155" s="4" t="s">
        <v>1651</v>
      </c>
      <c r="I155" s="5" t="s">
        <v>1652</v>
      </c>
      <c r="J155" s="6">
        <v>0</v>
      </c>
      <c r="K155" s="10" t="s">
        <v>1653</v>
      </c>
      <c r="L155" s="4" t="s">
        <v>1654</v>
      </c>
      <c r="M155" s="3">
        <v>118</v>
      </c>
    </row>
    <row r="156" spans="1:13" x14ac:dyDescent="0.3">
      <c r="A156" s="3">
        <v>55</v>
      </c>
      <c r="B156" s="3" t="s">
        <v>1655</v>
      </c>
      <c r="C156" s="4">
        <v>114.152</v>
      </c>
      <c r="D156" s="4">
        <v>114.033</v>
      </c>
      <c r="E156" s="4">
        <v>114.271</v>
      </c>
      <c r="F156" s="4">
        <v>238</v>
      </c>
      <c r="G156" s="4" t="s">
        <v>1466</v>
      </c>
      <c r="H156" s="4" t="s">
        <v>1656</v>
      </c>
      <c r="I156" s="5" t="s">
        <v>1657</v>
      </c>
      <c r="J156" s="6">
        <v>0</v>
      </c>
      <c r="K156" s="10" t="s">
        <v>1658</v>
      </c>
      <c r="L156" s="4" t="s">
        <v>1659</v>
      </c>
      <c r="M156" s="3">
        <v>119</v>
      </c>
    </row>
    <row r="157" spans="1:13" x14ac:dyDescent="0.3">
      <c r="A157" s="3">
        <v>55</v>
      </c>
      <c r="B157" s="3" t="s">
        <v>1655</v>
      </c>
      <c r="C157" s="4">
        <v>114.8695</v>
      </c>
      <c r="D157" s="4">
        <v>114.804</v>
      </c>
      <c r="E157" s="4">
        <v>114.935</v>
      </c>
      <c r="F157" s="4">
        <v>131</v>
      </c>
      <c r="G157" s="4" t="s">
        <v>1467</v>
      </c>
      <c r="H157" s="4" t="s">
        <v>1660</v>
      </c>
      <c r="I157" s="5" t="s">
        <v>1661</v>
      </c>
      <c r="J157" s="6">
        <v>0</v>
      </c>
      <c r="K157" s="10" t="s">
        <v>1658</v>
      </c>
      <c r="L157" s="4" t="s">
        <v>1662</v>
      </c>
      <c r="M157" s="3">
        <v>120</v>
      </c>
    </row>
    <row r="158" spans="1:13" x14ac:dyDescent="0.3">
      <c r="A158" s="3">
        <v>55</v>
      </c>
      <c r="B158" s="3" t="s">
        <v>1655</v>
      </c>
      <c r="C158" s="4">
        <v>115.505</v>
      </c>
      <c r="D158" s="4">
        <v>115.417</v>
      </c>
      <c r="E158" s="4">
        <v>115.593</v>
      </c>
      <c r="F158" s="4">
        <v>176</v>
      </c>
      <c r="G158" s="4" t="s">
        <v>1468</v>
      </c>
      <c r="H158" s="4" t="s">
        <v>1663</v>
      </c>
      <c r="I158" s="5" t="s">
        <v>1664</v>
      </c>
      <c r="J158" s="6">
        <v>0</v>
      </c>
      <c r="K158" s="10" t="s">
        <v>1658</v>
      </c>
      <c r="L158" s="4" t="s">
        <v>1665</v>
      </c>
      <c r="M158" s="3">
        <v>121</v>
      </c>
    </row>
    <row r="159" spans="1:13" x14ac:dyDescent="0.3">
      <c r="A159" s="3">
        <v>55</v>
      </c>
      <c r="B159" s="3" t="s">
        <v>1655</v>
      </c>
      <c r="C159" s="4">
        <v>127.881</v>
      </c>
      <c r="D159" s="4">
        <v>127.771</v>
      </c>
      <c r="E159" s="4">
        <v>127.992</v>
      </c>
      <c r="F159" s="4">
        <v>222</v>
      </c>
      <c r="G159" s="4" t="s">
        <v>1469</v>
      </c>
      <c r="H159" s="4" t="s">
        <v>1666</v>
      </c>
      <c r="I159" s="5" t="s">
        <v>1667</v>
      </c>
      <c r="J159" s="6">
        <v>0</v>
      </c>
      <c r="K159" s="10" t="s">
        <v>1668</v>
      </c>
      <c r="L159" s="4" t="s">
        <v>1669</v>
      </c>
      <c r="M159" s="3">
        <v>122</v>
      </c>
    </row>
    <row r="160" spans="1:13" x14ac:dyDescent="0.3">
      <c r="A160" s="3">
        <v>56</v>
      </c>
      <c r="B160" s="3" t="s">
        <v>1650</v>
      </c>
      <c r="C160" s="4">
        <v>175.8</v>
      </c>
      <c r="D160" s="4">
        <v>175.75399999999999</v>
      </c>
      <c r="E160" s="4">
        <v>175.846</v>
      </c>
      <c r="F160" s="4">
        <v>92</v>
      </c>
      <c r="G160" s="4" t="s">
        <v>1470</v>
      </c>
      <c r="H160" s="4" t="s">
        <v>1670</v>
      </c>
      <c r="I160" s="5" t="s">
        <v>1671</v>
      </c>
      <c r="J160" s="6">
        <v>0</v>
      </c>
      <c r="K160" s="10" t="s">
        <v>1653</v>
      </c>
      <c r="L160" s="4" t="s">
        <v>1672</v>
      </c>
      <c r="M160" s="3">
        <v>123</v>
      </c>
    </row>
    <row r="161" spans="1:13" x14ac:dyDescent="0.3">
      <c r="A161" s="3">
        <v>56</v>
      </c>
      <c r="B161" s="3" t="s">
        <v>1650</v>
      </c>
      <c r="C161" s="4">
        <v>187.67599999999999</v>
      </c>
      <c r="D161" s="4">
        <v>187.52600000000001</v>
      </c>
      <c r="E161" s="4">
        <v>187.82599999999999</v>
      </c>
      <c r="F161" s="4">
        <v>300</v>
      </c>
      <c r="G161" s="4" t="s">
        <v>1471</v>
      </c>
      <c r="H161" s="4" t="s">
        <v>1673</v>
      </c>
      <c r="I161" s="5" t="s">
        <v>1674</v>
      </c>
      <c r="J161" s="6">
        <v>0</v>
      </c>
      <c r="K161" s="10" t="s">
        <v>1653</v>
      </c>
      <c r="L161" s="4" t="s">
        <v>1675</v>
      </c>
      <c r="M161" s="3">
        <v>124</v>
      </c>
    </row>
    <row r="162" spans="1:13" x14ac:dyDescent="0.3">
      <c r="A162" s="3">
        <v>56</v>
      </c>
      <c r="B162" s="3" t="s">
        <v>1650</v>
      </c>
      <c r="C162" s="4">
        <v>191.791</v>
      </c>
      <c r="D162" s="4">
        <v>191.53100000000001</v>
      </c>
      <c r="E162" s="4">
        <v>192.05199999999999</v>
      </c>
      <c r="F162" s="4">
        <v>522</v>
      </c>
      <c r="G162" s="4" t="s">
        <v>1472</v>
      </c>
      <c r="H162" s="4" t="s">
        <v>1676</v>
      </c>
      <c r="I162" s="5" t="s">
        <v>1677</v>
      </c>
      <c r="J162" s="6">
        <v>0</v>
      </c>
      <c r="K162" s="10" t="s">
        <v>1653</v>
      </c>
      <c r="L162" s="4" t="s">
        <v>1678</v>
      </c>
      <c r="M162" s="3">
        <v>125</v>
      </c>
    </row>
    <row r="163" spans="1:13" x14ac:dyDescent="0.3">
      <c r="A163" s="3">
        <v>61</v>
      </c>
      <c r="B163" s="3">
        <v>61</v>
      </c>
      <c r="C163" s="4">
        <v>75.13</v>
      </c>
      <c r="D163" s="4">
        <v>75.103999999999999</v>
      </c>
      <c r="E163" s="4">
        <v>75.156000000000006</v>
      </c>
      <c r="F163" s="4" t="s">
        <v>1679</v>
      </c>
      <c r="G163" s="4" t="s">
        <v>1473</v>
      </c>
      <c r="H163" s="4" t="s">
        <v>1680</v>
      </c>
      <c r="I163" s="5" t="s">
        <v>1681</v>
      </c>
      <c r="J163" s="6">
        <v>0</v>
      </c>
      <c r="K163" s="10" t="s">
        <v>1682</v>
      </c>
      <c r="L163" s="4" t="s">
        <v>1683</v>
      </c>
      <c r="M163" s="3">
        <v>126</v>
      </c>
    </row>
    <row r="164" spans="1:13" x14ac:dyDescent="0.3">
      <c r="A164" s="3">
        <v>92</v>
      </c>
      <c r="B164" s="3" t="s">
        <v>1684</v>
      </c>
      <c r="C164" s="4">
        <v>70.811000000000007</v>
      </c>
      <c r="D164" s="4">
        <v>70.721999999999994</v>
      </c>
      <c r="E164" s="4">
        <v>70.900999999999996</v>
      </c>
      <c r="F164" s="4">
        <v>178</v>
      </c>
      <c r="G164" s="4" t="s">
        <v>1474</v>
      </c>
      <c r="H164" s="4" t="s">
        <v>1685</v>
      </c>
      <c r="I164" s="5" t="s">
        <v>1686</v>
      </c>
      <c r="J164" s="6">
        <v>0</v>
      </c>
      <c r="K164" s="10" t="s">
        <v>1687</v>
      </c>
      <c r="L164" s="4" t="s">
        <v>1688</v>
      </c>
      <c r="M164" s="3">
        <v>127</v>
      </c>
    </row>
    <row r="165" spans="1:13" x14ac:dyDescent="0.3">
      <c r="A165" s="3">
        <v>92</v>
      </c>
      <c r="B165" s="3" t="s">
        <v>1684</v>
      </c>
      <c r="C165" s="4">
        <v>72.051000000000002</v>
      </c>
      <c r="D165" s="4">
        <v>71.962999999999994</v>
      </c>
      <c r="E165" s="4">
        <v>72.138999999999996</v>
      </c>
      <c r="F165" s="4">
        <v>176</v>
      </c>
      <c r="G165" s="4" t="s">
        <v>1475</v>
      </c>
      <c r="H165" s="4" t="s">
        <v>1689</v>
      </c>
      <c r="I165" s="5" t="s">
        <v>1690</v>
      </c>
      <c r="J165" s="6">
        <v>0</v>
      </c>
      <c r="K165" s="10" t="s">
        <v>1687</v>
      </c>
      <c r="L165" s="4" t="s">
        <v>1691</v>
      </c>
      <c r="M165" s="3">
        <v>128</v>
      </c>
    </row>
    <row r="166" spans="1:13" x14ac:dyDescent="0.3">
      <c r="A166" s="3">
        <v>92</v>
      </c>
      <c r="B166" s="3" t="s">
        <v>1684</v>
      </c>
      <c r="C166" s="4">
        <v>73.100999999999999</v>
      </c>
      <c r="D166" s="4">
        <v>72.947000000000003</v>
      </c>
      <c r="E166" s="4">
        <v>73.254999999999995</v>
      </c>
      <c r="F166" s="4">
        <v>308</v>
      </c>
      <c r="G166" s="4" t="s">
        <v>1476</v>
      </c>
      <c r="H166" s="4" t="s">
        <v>1692</v>
      </c>
      <c r="I166" s="5" t="s">
        <v>1693</v>
      </c>
      <c r="J166" s="6">
        <v>0</v>
      </c>
      <c r="K166" s="10" t="s">
        <v>1687</v>
      </c>
      <c r="L166" s="4" t="s">
        <v>1694</v>
      </c>
      <c r="M166" s="3">
        <v>129</v>
      </c>
    </row>
    <row r="167" spans="1:13" x14ac:dyDescent="0.3">
      <c r="A167" s="3">
        <v>92</v>
      </c>
      <c r="B167" s="3" t="s">
        <v>1684</v>
      </c>
      <c r="C167" s="4">
        <v>73.519499999999994</v>
      </c>
      <c r="D167" s="4">
        <v>73.474999999999994</v>
      </c>
      <c r="E167" s="4">
        <v>73.563999999999993</v>
      </c>
      <c r="F167" s="4">
        <v>89</v>
      </c>
      <c r="G167" s="4" t="s">
        <v>1477</v>
      </c>
      <c r="H167" s="4" t="s">
        <v>1695</v>
      </c>
      <c r="I167" s="5" t="s">
        <v>1696</v>
      </c>
      <c r="J167" s="6">
        <v>0</v>
      </c>
      <c r="K167" s="10" t="s">
        <v>1687</v>
      </c>
      <c r="L167" s="4" t="s">
        <v>1697</v>
      </c>
      <c r="M167" s="3">
        <v>130</v>
      </c>
    </row>
    <row r="168" spans="1:13" x14ac:dyDescent="0.3">
      <c r="A168" s="3">
        <v>92</v>
      </c>
      <c r="B168" s="3" t="s">
        <v>1684</v>
      </c>
      <c r="C168" s="4">
        <v>75.805999999999997</v>
      </c>
      <c r="D168" s="4">
        <v>75.774000000000001</v>
      </c>
      <c r="E168" s="4">
        <v>75.838999999999999</v>
      </c>
      <c r="F168" s="4">
        <v>65</v>
      </c>
      <c r="G168" s="4" t="s">
        <v>1478</v>
      </c>
      <c r="H168" s="4" t="s">
        <v>1698</v>
      </c>
      <c r="I168" s="5" t="s">
        <v>1699</v>
      </c>
      <c r="J168" s="6">
        <v>0</v>
      </c>
      <c r="K168" s="10" t="s">
        <v>1687</v>
      </c>
      <c r="L168" s="4" t="s">
        <v>1700</v>
      </c>
      <c r="M168" s="3">
        <v>131</v>
      </c>
    </row>
    <row r="169" spans="1:13" x14ac:dyDescent="0.3">
      <c r="A169" s="3">
        <v>92</v>
      </c>
      <c r="B169" s="3" t="s">
        <v>1684</v>
      </c>
      <c r="C169" s="4">
        <v>76.326999999999998</v>
      </c>
      <c r="D169" s="4">
        <v>76.251999999999995</v>
      </c>
      <c r="E169" s="4">
        <v>76.402000000000001</v>
      </c>
      <c r="F169" s="4">
        <v>150</v>
      </c>
      <c r="G169" s="4" t="s">
        <v>1479</v>
      </c>
      <c r="H169" s="4" t="s">
        <v>1701</v>
      </c>
      <c r="I169" s="5" t="s">
        <v>1702</v>
      </c>
      <c r="J169" s="6">
        <v>0</v>
      </c>
      <c r="K169" s="10" t="s">
        <v>1687</v>
      </c>
      <c r="L169" s="4" t="s">
        <v>1703</v>
      </c>
      <c r="M169" s="3">
        <v>132</v>
      </c>
    </row>
    <row r="170" spans="1:13" x14ac:dyDescent="0.3">
      <c r="A170" s="3">
        <v>92</v>
      </c>
      <c r="B170" s="3" t="s">
        <v>1684</v>
      </c>
      <c r="C170" s="4">
        <v>76.917000000000002</v>
      </c>
      <c r="D170" s="4">
        <v>76.813999999999993</v>
      </c>
      <c r="E170" s="4">
        <v>77.021000000000001</v>
      </c>
      <c r="F170" s="4">
        <v>207</v>
      </c>
      <c r="G170" s="4" t="s">
        <v>1480</v>
      </c>
      <c r="H170" s="4" t="s">
        <v>1704</v>
      </c>
      <c r="I170" s="5" t="s">
        <v>1705</v>
      </c>
      <c r="J170" s="6">
        <v>0</v>
      </c>
      <c r="K170" s="10" t="s">
        <v>1687</v>
      </c>
      <c r="L170" s="4" t="s">
        <v>1706</v>
      </c>
      <c r="M170" s="3">
        <v>133</v>
      </c>
    </row>
    <row r="171" spans="1:13" x14ac:dyDescent="0.3">
      <c r="A171" s="3">
        <v>92</v>
      </c>
      <c r="B171" s="3" t="s">
        <v>1684</v>
      </c>
      <c r="C171" s="4">
        <v>77.441000000000003</v>
      </c>
      <c r="D171" s="4">
        <v>77.378</v>
      </c>
      <c r="E171" s="4">
        <v>77.504000000000005</v>
      </c>
      <c r="F171" s="4">
        <v>126</v>
      </c>
      <c r="G171" s="4" t="s">
        <v>1481</v>
      </c>
      <c r="H171" s="4" t="s">
        <v>1707</v>
      </c>
      <c r="I171" s="5" t="s">
        <v>1708</v>
      </c>
      <c r="J171" s="6">
        <v>0</v>
      </c>
      <c r="K171" s="10" t="s">
        <v>1687</v>
      </c>
      <c r="L171" s="4" t="s">
        <v>1709</v>
      </c>
      <c r="M171" s="3">
        <v>134</v>
      </c>
    </row>
    <row r="172" spans="1:13" x14ac:dyDescent="0.3">
      <c r="A172" s="3">
        <v>92</v>
      </c>
      <c r="B172" s="3" t="s">
        <v>1684</v>
      </c>
      <c r="C172" s="4">
        <v>77.721000000000004</v>
      </c>
      <c r="D172" s="4">
        <v>77.647999999999996</v>
      </c>
      <c r="E172" s="4">
        <v>77.793999999999997</v>
      </c>
      <c r="F172" s="4">
        <v>146</v>
      </c>
      <c r="G172" s="4" t="s">
        <v>1482</v>
      </c>
      <c r="H172" s="4" t="s">
        <v>1710</v>
      </c>
      <c r="I172" s="5" t="s">
        <v>1711</v>
      </c>
      <c r="J172" s="6">
        <v>0</v>
      </c>
      <c r="K172" s="10" t="s">
        <v>1687</v>
      </c>
      <c r="L172" s="4" t="s">
        <v>1712</v>
      </c>
      <c r="M172" s="3">
        <v>135</v>
      </c>
    </row>
    <row r="173" spans="1:13" x14ac:dyDescent="0.3">
      <c r="A173" s="3">
        <v>92</v>
      </c>
      <c r="B173" s="3" t="s">
        <v>1684</v>
      </c>
      <c r="C173" s="4">
        <v>78.048000000000002</v>
      </c>
      <c r="D173" s="4">
        <v>77.897000000000006</v>
      </c>
      <c r="E173" s="4">
        <v>78.200999999999993</v>
      </c>
      <c r="F173" s="4">
        <v>303</v>
      </c>
      <c r="G173" s="4" t="s">
        <v>1483</v>
      </c>
      <c r="H173" s="4" t="s">
        <v>1710</v>
      </c>
      <c r="I173" s="5" t="s">
        <v>1713</v>
      </c>
      <c r="J173" s="6">
        <v>0</v>
      </c>
      <c r="K173" s="10" t="s">
        <v>1687</v>
      </c>
      <c r="L173" s="4" t="s">
        <v>1714</v>
      </c>
      <c r="M173" s="3">
        <v>136</v>
      </c>
    </row>
    <row r="174" spans="1:13" x14ac:dyDescent="0.3">
      <c r="A174" s="3">
        <v>92</v>
      </c>
      <c r="B174" s="3" t="s">
        <v>1684</v>
      </c>
      <c r="C174" s="4">
        <v>78.790999999999997</v>
      </c>
      <c r="D174" s="4">
        <v>78.665000000000006</v>
      </c>
      <c r="E174" s="4">
        <v>78.918000000000006</v>
      </c>
      <c r="F174" s="4">
        <v>253</v>
      </c>
      <c r="G174" s="4" t="s">
        <v>1484</v>
      </c>
      <c r="H174" s="4" t="s">
        <v>1715</v>
      </c>
      <c r="I174" s="5" t="s">
        <v>1716</v>
      </c>
      <c r="J174" s="6">
        <v>0</v>
      </c>
      <c r="K174" s="10" t="s">
        <v>1687</v>
      </c>
      <c r="L174" s="4" t="s">
        <v>1717</v>
      </c>
      <c r="M174" s="3">
        <v>137</v>
      </c>
    </row>
    <row r="175" spans="1:13" x14ac:dyDescent="0.3">
      <c r="A175" s="3">
        <v>92</v>
      </c>
      <c r="B175" s="3" t="s">
        <v>1684</v>
      </c>
      <c r="C175" s="4">
        <v>79.945999999999998</v>
      </c>
      <c r="D175" s="4">
        <v>79.909000000000006</v>
      </c>
      <c r="E175" s="4">
        <v>79.983999999999995</v>
      </c>
      <c r="F175" s="4">
        <v>75</v>
      </c>
      <c r="G175" s="4" t="s">
        <v>1485</v>
      </c>
      <c r="H175" s="4" t="s">
        <v>1718</v>
      </c>
      <c r="I175" s="5" t="s">
        <v>1719</v>
      </c>
      <c r="J175" s="6">
        <v>0</v>
      </c>
      <c r="K175" s="10" t="s">
        <v>1687</v>
      </c>
      <c r="L175" s="4" t="s">
        <v>1720</v>
      </c>
      <c r="M175" s="3">
        <v>138</v>
      </c>
    </row>
    <row r="176" spans="1:13" x14ac:dyDescent="0.3">
      <c r="A176" s="3">
        <v>92</v>
      </c>
      <c r="B176" s="3" t="s">
        <v>1684</v>
      </c>
      <c r="C176" s="4">
        <v>80.320999999999998</v>
      </c>
      <c r="D176" s="4">
        <v>80.266999999999996</v>
      </c>
      <c r="E176" s="4">
        <v>80.375</v>
      </c>
      <c r="F176" s="4">
        <v>108</v>
      </c>
      <c r="G176" s="4" t="s">
        <v>1486</v>
      </c>
      <c r="H176" s="4" t="s">
        <v>1721</v>
      </c>
      <c r="I176" s="5" t="s">
        <v>1722</v>
      </c>
      <c r="J176" s="6">
        <v>0</v>
      </c>
      <c r="K176" s="10" t="s">
        <v>1687</v>
      </c>
      <c r="L176" s="4" t="s">
        <v>1723</v>
      </c>
      <c r="M176" s="3">
        <v>139</v>
      </c>
    </row>
    <row r="177" spans="1:13" x14ac:dyDescent="0.3">
      <c r="A177" s="3">
        <v>92</v>
      </c>
      <c r="B177" s="3" t="s">
        <v>1684</v>
      </c>
      <c r="C177" s="4">
        <v>87.111999999999995</v>
      </c>
      <c r="D177" s="4">
        <v>87.078999999999994</v>
      </c>
      <c r="E177" s="4">
        <v>87.146000000000001</v>
      </c>
      <c r="F177" s="4">
        <v>67</v>
      </c>
      <c r="G177" s="4" t="s">
        <v>1487</v>
      </c>
      <c r="H177" s="4" t="s">
        <v>1724</v>
      </c>
      <c r="I177" s="5" t="s">
        <v>1725</v>
      </c>
      <c r="J177" s="6">
        <v>0</v>
      </c>
      <c r="K177" s="10" t="s">
        <v>1687</v>
      </c>
      <c r="L177" s="4" t="s">
        <v>1726</v>
      </c>
      <c r="M177" s="3">
        <v>140</v>
      </c>
    </row>
    <row r="178" spans="1:13" x14ac:dyDescent="0.3">
      <c r="A178" s="3">
        <v>92</v>
      </c>
      <c r="B178" s="3" t="s">
        <v>1684</v>
      </c>
      <c r="C178" s="4">
        <v>87.405000000000001</v>
      </c>
      <c r="D178" s="4">
        <v>87.364999999999995</v>
      </c>
      <c r="E178" s="4">
        <v>87.445999999999998</v>
      </c>
      <c r="F178" s="4">
        <v>81</v>
      </c>
      <c r="G178" s="4" t="s">
        <v>1488</v>
      </c>
      <c r="H178" s="4" t="s">
        <v>1727</v>
      </c>
      <c r="I178" s="5" t="s">
        <v>1728</v>
      </c>
      <c r="J178" s="6">
        <v>0</v>
      </c>
      <c r="K178" s="10" t="s">
        <v>1687</v>
      </c>
      <c r="L178" s="4" t="s">
        <v>1729</v>
      </c>
      <c r="M178" s="3">
        <v>141</v>
      </c>
    </row>
    <row r="179" spans="1:13" x14ac:dyDescent="0.3">
      <c r="A179" s="3">
        <v>92</v>
      </c>
      <c r="B179" s="3" t="s">
        <v>1684</v>
      </c>
      <c r="C179" s="4">
        <v>88.052999999999997</v>
      </c>
      <c r="D179" s="4">
        <v>87.986999999999995</v>
      </c>
      <c r="E179" s="4">
        <v>88.119</v>
      </c>
      <c r="F179" s="4">
        <v>132</v>
      </c>
      <c r="G179" s="4" t="s">
        <v>1489</v>
      </c>
      <c r="H179" s="4" t="s">
        <v>1730</v>
      </c>
      <c r="I179" s="5" t="s">
        <v>1731</v>
      </c>
      <c r="J179" s="6">
        <v>0</v>
      </c>
      <c r="K179" s="10" t="s">
        <v>1687</v>
      </c>
      <c r="L179" s="4" t="s">
        <v>1732</v>
      </c>
      <c r="M179" s="3">
        <v>142</v>
      </c>
    </row>
    <row r="180" spans="1:13" x14ac:dyDescent="0.3">
      <c r="A180" s="3">
        <v>92</v>
      </c>
      <c r="B180" s="3" t="s">
        <v>1684</v>
      </c>
      <c r="C180" s="4">
        <v>88.460999999999999</v>
      </c>
      <c r="D180" s="4">
        <v>88.358999999999995</v>
      </c>
      <c r="E180" s="4">
        <v>88.563999999999993</v>
      </c>
      <c r="F180" s="4">
        <v>205</v>
      </c>
      <c r="G180" s="4" t="s">
        <v>1490</v>
      </c>
      <c r="H180" s="4" t="s">
        <v>1733</v>
      </c>
      <c r="I180" s="5" t="s">
        <v>1734</v>
      </c>
      <c r="J180" s="6">
        <v>0</v>
      </c>
      <c r="K180" s="10" t="s">
        <v>1687</v>
      </c>
      <c r="L180" s="4" t="s">
        <v>1735</v>
      </c>
      <c r="M180" s="3">
        <v>143</v>
      </c>
    </row>
    <row r="181" spans="1:13" x14ac:dyDescent="0.3">
      <c r="A181" s="3">
        <v>92</v>
      </c>
      <c r="B181" s="3" t="s">
        <v>1684</v>
      </c>
      <c r="C181" s="4">
        <v>89.637</v>
      </c>
      <c r="D181" s="4">
        <v>89.564999999999998</v>
      </c>
      <c r="E181" s="4">
        <v>89.709000000000003</v>
      </c>
      <c r="F181" s="4">
        <v>144</v>
      </c>
      <c r="G181" s="4" t="s">
        <v>1491</v>
      </c>
      <c r="H181" s="4" t="s">
        <v>1736</v>
      </c>
      <c r="I181" s="5" t="s">
        <v>1737</v>
      </c>
      <c r="J181" s="6">
        <v>1</v>
      </c>
      <c r="K181" s="10" t="s">
        <v>1687</v>
      </c>
      <c r="L181" s="4" t="s">
        <v>1738</v>
      </c>
      <c r="M181" s="3">
        <v>144</v>
      </c>
    </row>
    <row r="182" spans="1:13" x14ac:dyDescent="0.3">
      <c r="A182" s="3">
        <v>92</v>
      </c>
      <c r="B182" s="3" t="s">
        <v>1684</v>
      </c>
      <c r="C182" s="4">
        <v>89.906000000000006</v>
      </c>
      <c r="D182" s="4">
        <v>89.822999999999993</v>
      </c>
      <c r="E182" s="4">
        <v>89.991</v>
      </c>
      <c r="F182" s="4">
        <v>167</v>
      </c>
      <c r="G182" s="4" t="s">
        <v>1492</v>
      </c>
      <c r="H182" s="4" t="s">
        <v>1739</v>
      </c>
      <c r="I182" s="5" t="s">
        <v>1740</v>
      </c>
      <c r="J182" s="6">
        <v>1</v>
      </c>
      <c r="K182" s="10" t="s">
        <v>1687</v>
      </c>
      <c r="L182" s="4" t="s">
        <v>1741</v>
      </c>
      <c r="M182" s="3">
        <v>145</v>
      </c>
    </row>
    <row r="183" spans="1:13" x14ac:dyDescent="0.3">
      <c r="A183" s="3">
        <v>92</v>
      </c>
      <c r="B183" s="3" t="s">
        <v>1684</v>
      </c>
      <c r="C183" s="4">
        <v>90.394000000000005</v>
      </c>
      <c r="D183" s="4">
        <v>90.320999999999998</v>
      </c>
      <c r="E183" s="4">
        <v>90.468000000000004</v>
      </c>
      <c r="F183" s="4">
        <v>147</v>
      </c>
      <c r="G183" s="4" t="s">
        <v>1493</v>
      </c>
      <c r="H183" s="4" t="s">
        <v>1742</v>
      </c>
      <c r="I183" s="5" t="s">
        <v>1743</v>
      </c>
      <c r="J183" s="6">
        <v>1</v>
      </c>
      <c r="K183" s="10" t="s">
        <v>1687</v>
      </c>
      <c r="L183" s="4" t="s">
        <v>1744</v>
      </c>
      <c r="M183" s="3">
        <v>146</v>
      </c>
    </row>
    <row r="184" spans="1:13" x14ac:dyDescent="0.3">
      <c r="A184" s="3">
        <v>92</v>
      </c>
      <c r="B184" s="3" t="s">
        <v>1684</v>
      </c>
      <c r="C184" s="4">
        <v>90.632999999999996</v>
      </c>
      <c r="D184" s="4">
        <v>90.585999999999999</v>
      </c>
      <c r="E184" s="4">
        <v>90.680999999999997</v>
      </c>
      <c r="F184" s="4">
        <v>94</v>
      </c>
      <c r="G184" s="4" t="s">
        <v>1494</v>
      </c>
      <c r="H184" s="4" t="s">
        <v>1745</v>
      </c>
      <c r="I184" s="5" t="s">
        <v>1746</v>
      </c>
      <c r="J184" s="6">
        <v>1</v>
      </c>
      <c r="K184" s="10" t="s">
        <v>1687</v>
      </c>
      <c r="L184" s="4" t="s">
        <v>1747</v>
      </c>
      <c r="M184" s="3">
        <v>147</v>
      </c>
    </row>
    <row r="185" spans="1:13" x14ac:dyDescent="0.3">
      <c r="A185" s="3">
        <v>92</v>
      </c>
      <c r="B185" s="3" t="s">
        <v>1684</v>
      </c>
      <c r="C185" s="4">
        <v>93.313999999999993</v>
      </c>
      <c r="D185" s="4">
        <v>93.263999999999996</v>
      </c>
      <c r="E185" s="4">
        <v>93.364000000000004</v>
      </c>
      <c r="F185" s="4">
        <v>100</v>
      </c>
      <c r="G185" s="4" t="s">
        <v>1495</v>
      </c>
      <c r="H185" s="4" t="s">
        <v>1748</v>
      </c>
      <c r="I185" s="5" t="s">
        <v>1749</v>
      </c>
      <c r="J185" s="6">
        <v>0</v>
      </c>
      <c r="K185" s="10" t="s">
        <v>1687</v>
      </c>
      <c r="L185" s="4" t="s">
        <v>1750</v>
      </c>
      <c r="M185" s="3">
        <v>148</v>
      </c>
    </row>
    <row r="186" spans="1:13" x14ac:dyDescent="0.3">
      <c r="A186" s="3">
        <v>92</v>
      </c>
      <c r="B186" s="3" t="s">
        <v>1684</v>
      </c>
      <c r="C186" s="4">
        <v>94.611999999999995</v>
      </c>
      <c r="D186" s="4">
        <v>94.558000000000007</v>
      </c>
      <c r="E186" s="4">
        <v>94.667000000000002</v>
      </c>
      <c r="F186" s="4">
        <v>109</v>
      </c>
      <c r="G186" s="4" t="s">
        <v>1496</v>
      </c>
      <c r="H186" s="4" t="s">
        <v>1751</v>
      </c>
      <c r="I186" s="5" t="s">
        <v>1752</v>
      </c>
      <c r="J186" s="6">
        <v>0</v>
      </c>
      <c r="K186" s="10" t="s">
        <v>1687</v>
      </c>
      <c r="L186" s="4" t="s">
        <v>1753</v>
      </c>
      <c r="M186" s="3">
        <v>149</v>
      </c>
    </row>
    <row r="187" spans="1:13" x14ac:dyDescent="0.3">
      <c r="A187" s="3">
        <v>92</v>
      </c>
      <c r="B187" s="3" t="s">
        <v>1684</v>
      </c>
      <c r="C187" s="4">
        <v>97.727999999999994</v>
      </c>
      <c r="D187" s="4">
        <v>97.613</v>
      </c>
      <c r="E187" s="4">
        <v>97.843999999999994</v>
      </c>
      <c r="F187" s="4">
        <v>231</v>
      </c>
      <c r="G187" s="4" t="s">
        <v>1497</v>
      </c>
      <c r="H187" s="4" t="s">
        <v>1754</v>
      </c>
      <c r="I187" s="5" t="s">
        <v>1755</v>
      </c>
      <c r="J187" s="6">
        <v>0</v>
      </c>
      <c r="K187" s="10" t="s">
        <v>1687</v>
      </c>
      <c r="L187" s="4" t="s">
        <v>1756</v>
      </c>
      <c r="M187" s="3">
        <v>150</v>
      </c>
    </row>
    <row r="188" spans="1:13" x14ac:dyDescent="0.3">
      <c r="A188" s="3">
        <v>92</v>
      </c>
      <c r="B188" s="3" t="s">
        <v>1684</v>
      </c>
      <c r="C188" s="4">
        <v>99.305999999999997</v>
      </c>
      <c r="D188" s="4">
        <v>99.283000000000001</v>
      </c>
      <c r="E188" s="4">
        <v>99.331000000000003</v>
      </c>
      <c r="F188" s="4">
        <v>47</v>
      </c>
      <c r="G188" s="4" t="s">
        <v>1498</v>
      </c>
      <c r="H188" s="4" t="s">
        <v>1757</v>
      </c>
      <c r="I188" s="5" t="s">
        <v>1758</v>
      </c>
      <c r="J188" s="6">
        <v>0</v>
      </c>
      <c r="K188" s="10" t="s">
        <v>1687</v>
      </c>
      <c r="L188" s="4" t="s">
        <v>1759</v>
      </c>
      <c r="M188" s="3">
        <v>151</v>
      </c>
    </row>
    <row r="189" spans="1:13" x14ac:dyDescent="0.3">
      <c r="A189" s="3">
        <v>92</v>
      </c>
      <c r="B189" s="3" t="s">
        <v>1684</v>
      </c>
      <c r="C189" s="4">
        <v>100.8425</v>
      </c>
      <c r="D189" s="4">
        <v>100.732</v>
      </c>
      <c r="E189" s="4">
        <v>100.953</v>
      </c>
      <c r="F189" s="4">
        <v>221</v>
      </c>
      <c r="G189" s="4" t="s">
        <v>1499</v>
      </c>
      <c r="H189" s="4" t="s">
        <v>1760</v>
      </c>
      <c r="I189" s="5" t="s">
        <v>1761</v>
      </c>
      <c r="J189" s="6">
        <v>0</v>
      </c>
      <c r="K189" s="10" t="s">
        <v>1687</v>
      </c>
      <c r="L189" s="4" t="s">
        <v>1762</v>
      </c>
      <c r="M189" s="3">
        <v>152</v>
      </c>
    </row>
    <row r="190" spans="1:13" x14ac:dyDescent="0.3">
      <c r="A190" s="3">
        <v>92</v>
      </c>
      <c r="B190" s="3" t="s">
        <v>1684</v>
      </c>
      <c r="C190" s="4">
        <v>103.157</v>
      </c>
      <c r="D190" s="4">
        <v>103.04300000000001</v>
      </c>
      <c r="E190" s="4">
        <v>103.271</v>
      </c>
      <c r="F190" s="4">
        <v>228</v>
      </c>
      <c r="G190" s="4" t="s">
        <v>1500</v>
      </c>
      <c r="H190" s="4" t="s">
        <v>1763</v>
      </c>
      <c r="I190" s="5" t="s">
        <v>1764</v>
      </c>
      <c r="J190" s="6">
        <v>0</v>
      </c>
      <c r="K190" s="10" t="s">
        <v>1687</v>
      </c>
      <c r="L190" s="4" t="s">
        <v>1765</v>
      </c>
      <c r="M190" s="3">
        <v>153</v>
      </c>
    </row>
    <row r="191" spans="1:13" x14ac:dyDescent="0.3">
      <c r="A191" s="3">
        <v>103</v>
      </c>
      <c r="B191" s="3">
        <v>103</v>
      </c>
      <c r="C191" s="4">
        <v>1525.0820000000001</v>
      </c>
      <c r="D191" s="4">
        <v>1525</v>
      </c>
      <c r="E191" s="4">
        <v>1525.164</v>
      </c>
      <c r="F191" s="4"/>
      <c r="G191" s="4"/>
      <c r="H191" s="26" t="s">
        <v>1766</v>
      </c>
      <c r="I191" s="4"/>
      <c r="J191" s="6">
        <v>0</v>
      </c>
      <c r="K191" s="29" t="s">
        <v>1767</v>
      </c>
      <c r="L191" s="4"/>
      <c r="M191" s="3"/>
    </row>
    <row r="192" spans="1:13" x14ac:dyDescent="0.3">
      <c r="A192" s="3">
        <v>103</v>
      </c>
      <c r="B192" s="3">
        <v>103</v>
      </c>
      <c r="C192" s="4">
        <v>1525.48</v>
      </c>
      <c r="D192" s="4">
        <v>1525.164</v>
      </c>
      <c r="E192" s="4">
        <v>1525.796</v>
      </c>
      <c r="F192" s="4"/>
      <c r="G192" s="4"/>
      <c r="H192" s="25" t="s">
        <v>1768</v>
      </c>
      <c r="I192" s="4"/>
      <c r="J192" s="6">
        <v>0</v>
      </c>
      <c r="K192" s="30" t="s">
        <v>1767</v>
      </c>
      <c r="L192" s="4"/>
      <c r="M192" s="3"/>
    </row>
    <row r="193" spans="1:13" x14ac:dyDescent="0.3">
      <c r="A193" s="3">
        <v>103</v>
      </c>
      <c r="B193" s="3">
        <v>103</v>
      </c>
      <c r="C193" s="4">
        <v>1526.066</v>
      </c>
      <c r="D193" s="4">
        <v>1525.796</v>
      </c>
      <c r="E193" s="4">
        <v>1526.335</v>
      </c>
      <c r="F193" s="4"/>
      <c r="G193" s="4"/>
      <c r="H193" s="26" t="s">
        <v>1769</v>
      </c>
      <c r="I193" s="4"/>
      <c r="J193" s="6">
        <v>0</v>
      </c>
      <c r="K193" s="29" t="s">
        <v>1767</v>
      </c>
      <c r="L193" s="4"/>
      <c r="M193" s="3"/>
    </row>
    <row r="194" spans="1:13" x14ac:dyDescent="0.3">
      <c r="A194" s="3">
        <v>103</v>
      </c>
      <c r="B194" s="3">
        <v>103</v>
      </c>
      <c r="C194" s="4">
        <v>1526.56</v>
      </c>
      <c r="D194" s="4">
        <v>1526.335</v>
      </c>
      <c r="E194" s="4">
        <v>1526.7850000000001</v>
      </c>
      <c r="F194" s="4"/>
      <c r="G194" s="4"/>
      <c r="H194" s="25" t="s">
        <v>1770</v>
      </c>
      <c r="I194" s="4"/>
      <c r="J194" s="6">
        <v>0</v>
      </c>
      <c r="K194" s="30" t="s">
        <v>1767</v>
      </c>
      <c r="L194" s="4"/>
      <c r="M194" s="3"/>
    </row>
    <row r="195" spans="1:13" x14ac:dyDescent="0.3">
      <c r="A195" s="3">
        <v>103</v>
      </c>
      <c r="B195" s="3">
        <v>103</v>
      </c>
      <c r="C195" s="4">
        <v>1527.05</v>
      </c>
      <c r="D195" s="4">
        <v>1526.7850000000001</v>
      </c>
      <c r="E195" s="4">
        <v>1527.3140000000001</v>
      </c>
      <c r="F195" s="4"/>
      <c r="G195" s="4"/>
      <c r="H195" s="26" t="s">
        <v>1771</v>
      </c>
      <c r="I195" s="4"/>
      <c r="J195" s="6">
        <v>0</v>
      </c>
      <c r="K195" s="29" t="s">
        <v>1767</v>
      </c>
      <c r="L195" s="4"/>
      <c r="M195" s="3"/>
    </row>
    <row r="196" spans="1:13" x14ac:dyDescent="0.3">
      <c r="A196" s="3">
        <v>103</v>
      </c>
      <c r="B196" s="3">
        <v>103</v>
      </c>
      <c r="C196" s="4">
        <v>1527.5989999999999</v>
      </c>
      <c r="D196" s="4">
        <v>1527.3140000000001</v>
      </c>
      <c r="E196" s="4">
        <v>1527.883</v>
      </c>
      <c r="F196" s="4"/>
      <c r="G196" s="4"/>
      <c r="H196" s="25" t="s">
        <v>1772</v>
      </c>
      <c r="I196" s="4"/>
      <c r="J196" s="6">
        <v>0</v>
      </c>
      <c r="K196" s="30" t="s">
        <v>1767</v>
      </c>
      <c r="L196" s="4"/>
      <c r="M196" s="3"/>
    </row>
    <row r="197" spans="1:13" x14ac:dyDescent="0.3">
      <c r="A197" s="3">
        <v>103</v>
      </c>
      <c r="B197" s="3">
        <v>103</v>
      </c>
      <c r="C197" s="4">
        <v>1528.0830000000001</v>
      </c>
      <c r="D197" s="4">
        <v>1527.883</v>
      </c>
      <c r="E197" s="4">
        <v>1528.2819999999999</v>
      </c>
      <c r="F197" s="4"/>
      <c r="G197" s="4"/>
      <c r="H197" s="26" t="s">
        <v>1773</v>
      </c>
      <c r="I197" s="4"/>
      <c r="J197" s="6">
        <v>0</v>
      </c>
      <c r="K197" s="29" t="s">
        <v>1767</v>
      </c>
      <c r="L197" s="4"/>
      <c r="M197" s="3"/>
    </row>
    <row r="198" spans="1:13" x14ac:dyDescent="0.3">
      <c r="A198" s="3">
        <v>103</v>
      </c>
      <c r="B198" s="3">
        <v>103</v>
      </c>
      <c r="C198" s="4">
        <v>1528.3879999999999</v>
      </c>
      <c r="D198" s="4">
        <v>1528.2819999999999</v>
      </c>
      <c r="E198" s="4">
        <v>1528.4929999999999</v>
      </c>
      <c r="F198" s="4"/>
      <c r="G198" s="4"/>
      <c r="H198" s="25" t="s">
        <v>1774</v>
      </c>
      <c r="I198" s="4"/>
      <c r="J198" s="6">
        <v>0</v>
      </c>
      <c r="K198" s="30" t="s">
        <v>1767</v>
      </c>
      <c r="L198" s="4"/>
      <c r="M198" s="3"/>
    </row>
    <row r="199" spans="1:13" x14ac:dyDescent="0.3">
      <c r="A199" s="3">
        <v>103</v>
      </c>
      <c r="B199" s="3">
        <v>103</v>
      </c>
      <c r="C199" s="4">
        <v>1528.655</v>
      </c>
      <c r="D199" s="4">
        <v>1528.4929999999999</v>
      </c>
      <c r="E199" s="4">
        <v>1528.817</v>
      </c>
      <c r="F199" s="4"/>
      <c r="G199" s="4"/>
      <c r="H199" s="26" t="s">
        <v>1775</v>
      </c>
      <c r="I199" s="4"/>
      <c r="J199" s="6">
        <v>0</v>
      </c>
      <c r="K199" s="29" t="s">
        <v>1767</v>
      </c>
      <c r="L199" s="4"/>
      <c r="M199" s="3"/>
    </row>
    <row r="200" spans="1:13" x14ac:dyDescent="0.3">
      <c r="A200" s="3">
        <v>103</v>
      </c>
      <c r="B200" s="3">
        <v>103</v>
      </c>
      <c r="C200" s="4">
        <v>1528.9349999999999</v>
      </c>
      <c r="D200" s="4">
        <v>1528.817</v>
      </c>
      <c r="E200" s="4">
        <v>1529.0519999999999</v>
      </c>
      <c r="F200" s="4"/>
      <c r="G200" s="4"/>
      <c r="H200" s="25" t="s">
        <v>1776</v>
      </c>
      <c r="I200" s="4"/>
      <c r="J200" s="6">
        <v>0</v>
      </c>
      <c r="K200" s="30" t="s">
        <v>1767</v>
      </c>
      <c r="L200" s="4"/>
      <c r="M200" s="3"/>
    </row>
    <row r="201" spans="1:13" x14ac:dyDescent="0.3">
      <c r="A201" s="3">
        <v>103</v>
      </c>
      <c r="B201" s="3">
        <v>103</v>
      </c>
      <c r="C201" s="4">
        <v>1529.2809999999999</v>
      </c>
      <c r="D201" s="4">
        <v>1529.0519999999999</v>
      </c>
      <c r="E201" s="4">
        <v>1529.509</v>
      </c>
      <c r="F201" s="4"/>
      <c r="G201" s="4"/>
      <c r="H201" s="26" t="s">
        <v>1777</v>
      </c>
      <c r="I201" s="4"/>
      <c r="J201" s="6">
        <v>0</v>
      </c>
      <c r="K201" s="29" t="s">
        <v>1767</v>
      </c>
      <c r="L201" s="4"/>
      <c r="M201" s="3"/>
    </row>
    <row r="202" spans="1:13" x14ac:dyDescent="0.3">
      <c r="A202" s="3">
        <v>103</v>
      </c>
      <c r="B202" s="3">
        <v>103</v>
      </c>
      <c r="C202" s="4">
        <v>1529.5250000000001</v>
      </c>
      <c r="D202" s="4">
        <v>1529.509</v>
      </c>
      <c r="E202" s="4">
        <v>1529.54</v>
      </c>
      <c r="F202" s="4"/>
      <c r="G202" s="4"/>
      <c r="H202" s="25" t="s">
        <v>1778</v>
      </c>
      <c r="I202" s="4"/>
      <c r="J202" s="6">
        <v>0</v>
      </c>
      <c r="K202" s="30" t="s">
        <v>1767</v>
      </c>
      <c r="L202" s="4"/>
      <c r="M202" s="3"/>
    </row>
    <row r="203" spans="1:13" x14ac:dyDescent="0.3">
      <c r="A203" s="3">
        <v>103</v>
      </c>
      <c r="B203" s="3">
        <v>103</v>
      </c>
      <c r="C203" s="4">
        <v>1529.8589999999999</v>
      </c>
      <c r="D203" s="4">
        <v>1529.54</v>
      </c>
      <c r="E203" s="4">
        <v>1530.1769999999999</v>
      </c>
      <c r="F203" s="4"/>
      <c r="G203" s="4"/>
      <c r="H203" s="26" t="s">
        <v>1779</v>
      </c>
      <c r="I203" s="4"/>
      <c r="J203" s="6">
        <v>0</v>
      </c>
      <c r="K203" s="29" t="s">
        <v>1767</v>
      </c>
      <c r="L203" s="4"/>
      <c r="M203" s="3"/>
    </row>
    <row r="204" spans="1:13" x14ac:dyDescent="0.3">
      <c r="A204" s="3">
        <v>103</v>
      </c>
      <c r="B204" s="3">
        <v>103</v>
      </c>
      <c r="C204" s="4">
        <v>1530.3920000000001</v>
      </c>
      <c r="D204" s="4">
        <v>1530.1769999999999</v>
      </c>
      <c r="E204" s="4">
        <v>1530.607</v>
      </c>
      <c r="F204" s="4"/>
      <c r="G204" s="4"/>
      <c r="H204" s="25" t="s">
        <v>1780</v>
      </c>
      <c r="I204" s="4"/>
      <c r="J204" s="6">
        <v>0</v>
      </c>
      <c r="K204" s="30" t="s">
        <v>1767</v>
      </c>
      <c r="L204" s="4"/>
      <c r="M204" s="3"/>
    </row>
    <row r="205" spans="1:13" x14ac:dyDescent="0.3">
      <c r="A205" s="3">
        <v>103</v>
      </c>
      <c r="B205" s="3">
        <v>103</v>
      </c>
      <c r="C205" s="4">
        <v>1530.827</v>
      </c>
      <c r="D205" s="4">
        <v>1530.607</v>
      </c>
      <c r="E205" s="4">
        <v>1531.047</v>
      </c>
      <c r="F205" s="4"/>
      <c r="G205" s="4"/>
      <c r="H205" s="26" t="s">
        <v>1781</v>
      </c>
      <c r="I205" s="4"/>
      <c r="J205" s="6">
        <v>0</v>
      </c>
      <c r="K205" s="29" t="s">
        <v>1767</v>
      </c>
      <c r="L205" s="4"/>
      <c r="M205" s="3"/>
    </row>
    <row r="206" spans="1:13" x14ac:dyDescent="0.3">
      <c r="A206" s="3">
        <v>103</v>
      </c>
      <c r="B206" s="3">
        <v>103</v>
      </c>
      <c r="C206" s="4">
        <v>1531.0630000000001</v>
      </c>
      <c r="D206" s="4">
        <v>1531.047</v>
      </c>
      <c r="E206" s="4">
        <v>1531.078</v>
      </c>
      <c r="F206" s="4"/>
      <c r="G206" s="4"/>
      <c r="H206" s="25" t="s">
        <v>1782</v>
      </c>
      <c r="I206" s="4"/>
      <c r="J206" s="6">
        <v>0</v>
      </c>
      <c r="K206" s="30" t="s">
        <v>1767</v>
      </c>
      <c r="L206" s="4"/>
      <c r="M206" s="3"/>
    </row>
    <row r="207" spans="1:13" x14ac:dyDescent="0.3">
      <c r="A207" s="3">
        <v>103</v>
      </c>
      <c r="B207" s="3">
        <v>103</v>
      </c>
      <c r="C207" s="4">
        <v>1531.3119999999999</v>
      </c>
      <c r="D207" s="4">
        <v>1531.078</v>
      </c>
      <c r="E207" s="4">
        <v>1531.5450000000001</v>
      </c>
      <c r="F207" s="4"/>
      <c r="G207" s="4"/>
      <c r="H207" s="26" t="s">
        <v>1783</v>
      </c>
      <c r="I207" s="4"/>
      <c r="J207" s="6">
        <v>0</v>
      </c>
      <c r="K207" s="29" t="s">
        <v>1767</v>
      </c>
      <c r="L207" s="4"/>
      <c r="M207" s="3"/>
    </row>
    <row r="208" spans="1:13" x14ac:dyDescent="0.3">
      <c r="A208" s="3">
        <v>103</v>
      </c>
      <c r="B208" s="3">
        <v>103</v>
      </c>
      <c r="C208" s="4">
        <v>1531.56</v>
      </c>
      <c r="D208" s="4">
        <v>1531.5450000000001</v>
      </c>
      <c r="E208" s="4">
        <v>1531.5740000000001</v>
      </c>
      <c r="F208" s="4"/>
      <c r="G208" s="4"/>
      <c r="H208" s="25" t="s">
        <v>1784</v>
      </c>
      <c r="I208" s="4"/>
      <c r="J208" s="6">
        <v>0</v>
      </c>
      <c r="K208" s="30" t="s">
        <v>1767</v>
      </c>
      <c r="L208" s="4"/>
      <c r="M208" s="3"/>
    </row>
    <row r="209" spans="1:13" x14ac:dyDescent="0.3">
      <c r="A209" s="3">
        <v>103</v>
      </c>
      <c r="B209" s="3">
        <v>103</v>
      </c>
      <c r="C209" s="4">
        <v>1531.8689999999999</v>
      </c>
      <c r="D209" s="4">
        <v>1531.5740000000001</v>
      </c>
      <c r="E209" s="4">
        <v>1532.164</v>
      </c>
      <c r="F209" s="4"/>
      <c r="G209" s="4"/>
      <c r="H209" s="26" t="s">
        <v>1785</v>
      </c>
      <c r="I209" s="4"/>
      <c r="J209" s="6">
        <v>0</v>
      </c>
      <c r="K209" s="29" t="s">
        <v>1767</v>
      </c>
      <c r="L209" s="4"/>
      <c r="M209" s="3"/>
    </row>
    <row r="210" spans="1:13" x14ac:dyDescent="0.3">
      <c r="A210" s="3">
        <v>103</v>
      </c>
      <c r="B210" s="3">
        <v>103</v>
      </c>
      <c r="C210" s="4">
        <v>1532.184</v>
      </c>
      <c r="D210" s="4">
        <v>1532.164</v>
      </c>
      <c r="E210" s="4">
        <v>1532.203</v>
      </c>
      <c r="F210" s="4"/>
      <c r="G210" s="4"/>
      <c r="H210" s="25" t="s">
        <v>1786</v>
      </c>
      <c r="I210" s="4"/>
      <c r="J210" s="6">
        <v>0</v>
      </c>
      <c r="K210" s="30" t="s">
        <v>1767</v>
      </c>
      <c r="L210" s="4"/>
      <c r="M210" s="3"/>
    </row>
    <row r="211" spans="1:13" x14ac:dyDescent="0.3">
      <c r="A211" s="3">
        <v>103</v>
      </c>
      <c r="B211" s="3">
        <v>103</v>
      </c>
      <c r="C211" s="4">
        <v>1532.4690000000001</v>
      </c>
      <c r="D211" s="4">
        <v>1532.203</v>
      </c>
      <c r="E211" s="4">
        <v>1532.7349999999999</v>
      </c>
      <c r="F211" s="4"/>
      <c r="G211" s="4"/>
      <c r="H211" s="26" t="s">
        <v>1787</v>
      </c>
      <c r="I211" s="4"/>
      <c r="J211" s="6">
        <v>0</v>
      </c>
      <c r="K211" s="29" t="s">
        <v>1767</v>
      </c>
      <c r="L211" s="4"/>
      <c r="M211" s="3"/>
    </row>
    <row r="212" spans="1:13" x14ac:dyDescent="0.3">
      <c r="A212" s="3">
        <v>103</v>
      </c>
      <c r="B212" s="3">
        <v>103</v>
      </c>
      <c r="C212" s="4">
        <v>1532.806</v>
      </c>
      <c r="D212" s="4">
        <v>1532.7349999999999</v>
      </c>
      <c r="E212" s="4">
        <v>1532.876</v>
      </c>
      <c r="F212" s="4"/>
      <c r="G212" s="4"/>
      <c r="H212" s="25" t="s">
        <v>1788</v>
      </c>
      <c r="I212" s="4"/>
      <c r="J212" s="6">
        <v>0</v>
      </c>
      <c r="K212" s="30" t="s">
        <v>1767</v>
      </c>
      <c r="L212" s="4"/>
      <c r="M212" s="3"/>
    </row>
    <row r="213" spans="1:13" x14ac:dyDescent="0.3">
      <c r="A213" s="3">
        <v>103</v>
      </c>
      <c r="B213" s="3">
        <v>103</v>
      </c>
      <c r="C213" s="4">
        <v>1533.0039999999999</v>
      </c>
      <c r="D213" s="4">
        <v>1532.876</v>
      </c>
      <c r="E213" s="4">
        <v>1533.1320000000001</v>
      </c>
      <c r="F213" s="4"/>
      <c r="G213" s="4"/>
      <c r="H213" s="26" t="s">
        <v>1789</v>
      </c>
      <c r="I213" s="4"/>
      <c r="J213" s="6">
        <v>0</v>
      </c>
      <c r="K213" s="29" t="s">
        <v>1767</v>
      </c>
      <c r="L213" s="4"/>
      <c r="M213" s="3"/>
    </row>
    <row r="214" spans="1:13" x14ac:dyDescent="0.3">
      <c r="A214" s="3">
        <v>103</v>
      </c>
      <c r="B214" s="3">
        <v>103</v>
      </c>
      <c r="C214" s="4">
        <v>1533.3019999999999</v>
      </c>
      <c r="D214" s="4">
        <v>1533.1320000000001</v>
      </c>
      <c r="E214" s="4">
        <v>1533.472</v>
      </c>
      <c r="F214" s="4"/>
      <c r="G214" s="4"/>
      <c r="H214" s="25" t="s">
        <v>1790</v>
      </c>
      <c r="I214" s="4"/>
      <c r="J214" s="6">
        <v>0</v>
      </c>
      <c r="K214" s="30" t="s">
        <v>1767</v>
      </c>
      <c r="L214" s="4"/>
      <c r="M214" s="3"/>
    </row>
    <row r="215" spans="1:13" x14ac:dyDescent="0.3">
      <c r="A215" s="3">
        <v>103</v>
      </c>
      <c r="B215" s="3">
        <v>103</v>
      </c>
      <c r="C215" s="4">
        <v>1533.6859999999999</v>
      </c>
      <c r="D215" s="4">
        <v>1533.472</v>
      </c>
      <c r="E215" s="4">
        <v>1533.9</v>
      </c>
      <c r="F215" s="4"/>
      <c r="G215" s="4"/>
      <c r="H215" s="26" t="s">
        <v>1791</v>
      </c>
      <c r="I215" s="4"/>
      <c r="J215" s="6">
        <v>0</v>
      </c>
      <c r="K215" s="29" t="s">
        <v>1767</v>
      </c>
      <c r="L215" s="4"/>
      <c r="M215" s="3"/>
    </row>
    <row r="216" spans="1:13" x14ac:dyDescent="0.3">
      <c r="A216" s="3">
        <v>103</v>
      </c>
      <c r="B216" s="3">
        <v>103</v>
      </c>
      <c r="C216" s="4">
        <v>1533.9169999999999</v>
      </c>
      <c r="D216" s="4">
        <v>1533.9</v>
      </c>
      <c r="E216" s="4">
        <v>1533.934</v>
      </c>
      <c r="F216" s="4"/>
      <c r="G216" s="4"/>
      <c r="H216" s="25" t="s">
        <v>1792</v>
      </c>
      <c r="I216" s="4"/>
      <c r="J216" s="6">
        <v>0</v>
      </c>
      <c r="K216" s="30" t="s">
        <v>1767</v>
      </c>
      <c r="L216" s="4"/>
      <c r="M216" s="3"/>
    </row>
    <row r="217" spans="1:13" x14ac:dyDescent="0.3">
      <c r="A217" s="3">
        <v>103</v>
      </c>
      <c r="B217" s="3">
        <v>103</v>
      </c>
      <c r="C217" s="4">
        <v>1534.1389999999999</v>
      </c>
      <c r="D217" s="4">
        <v>1533.934</v>
      </c>
      <c r="E217" s="4">
        <v>1534.3430000000001</v>
      </c>
      <c r="F217" s="4"/>
      <c r="G217" s="4"/>
      <c r="H217" s="26" t="s">
        <v>1793</v>
      </c>
      <c r="I217" s="4"/>
      <c r="J217" s="6">
        <v>0</v>
      </c>
      <c r="K217" s="29" t="s">
        <v>1767</v>
      </c>
      <c r="L217" s="4"/>
      <c r="M217" s="3"/>
    </row>
    <row r="218" spans="1:13" x14ac:dyDescent="0.3">
      <c r="A218" s="3">
        <v>103</v>
      </c>
      <c r="B218" s="3">
        <v>103</v>
      </c>
      <c r="C218" s="4">
        <v>1534.5450000000001</v>
      </c>
      <c r="D218" s="4">
        <v>1534.3430000000001</v>
      </c>
      <c r="E218" s="4">
        <v>1534.7460000000001</v>
      </c>
      <c r="F218" s="4"/>
      <c r="G218" s="4"/>
      <c r="H218" s="25" t="s">
        <v>1794</v>
      </c>
      <c r="I218" s="4"/>
      <c r="J218" s="6">
        <v>0</v>
      </c>
      <c r="K218" s="30" t="s">
        <v>1767</v>
      </c>
      <c r="L218" s="4"/>
      <c r="M218" s="3"/>
    </row>
    <row r="219" spans="1:13" x14ac:dyDescent="0.3">
      <c r="A219" s="3">
        <v>103</v>
      </c>
      <c r="B219" s="3">
        <v>103</v>
      </c>
      <c r="C219" s="4">
        <v>1534.9549999999999</v>
      </c>
      <c r="D219" s="4">
        <v>1534.7460000000001</v>
      </c>
      <c r="E219" s="4">
        <v>1535.163</v>
      </c>
      <c r="F219" s="4"/>
      <c r="G219" s="4"/>
      <c r="H219" s="26" t="s">
        <v>1795</v>
      </c>
      <c r="I219" s="4"/>
      <c r="J219" s="6">
        <v>0</v>
      </c>
      <c r="K219" s="29" t="s">
        <v>1767</v>
      </c>
      <c r="L219" s="4"/>
      <c r="M219" s="3"/>
    </row>
    <row r="220" spans="1:13" x14ac:dyDescent="0.3">
      <c r="A220" s="3">
        <v>103</v>
      </c>
      <c r="B220" s="3">
        <v>103</v>
      </c>
      <c r="C220" s="4">
        <v>1535.183</v>
      </c>
      <c r="D220" s="4">
        <v>1535.163</v>
      </c>
      <c r="E220" s="4">
        <v>1535.202</v>
      </c>
      <c r="F220" s="4"/>
      <c r="G220" s="4"/>
      <c r="H220" s="25" t="s">
        <v>1796</v>
      </c>
      <c r="I220" s="4"/>
      <c r="J220" s="6">
        <v>0</v>
      </c>
      <c r="K220" s="30" t="s">
        <v>1767</v>
      </c>
      <c r="L220" s="4"/>
      <c r="M220" s="3"/>
    </row>
    <row r="221" spans="1:13" x14ac:dyDescent="0.3">
      <c r="A221" s="3">
        <v>103</v>
      </c>
      <c r="B221" s="3">
        <v>103</v>
      </c>
      <c r="C221" s="4">
        <v>1535.384</v>
      </c>
      <c r="D221" s="4">
        <v>1535.202</v>
      </c>
      <c r="E221" s="4">
        <v>1535.5650000000001</v>
      </c>
      <c r="F221" s="4"/>
      <c r="G221" s="4"/>
      <c r="H221" s="26" t="s">
        <v>1797</v>
      </c>
      <c r="I221" s="4"/>
      <c r="J221" s="6">
        <v>0</v>
      </c>
      <c r="K221" s="29" t="s">
        <v>1767</v>
      </c>
      <c r="L221" s="4"/>
      <c r="M221" s="3"/>
    </row>
    <row r="222" spans="1:13" x14ac:dyDescent="0.3">
      <c r="A222" s="3">
        <v>103</v>
      </c>
      <c r="B222" s="3">
        <v>103</v>
      </c>
      <c r="C222" s="4">
        <v>1535.579</v>
      </c>
      <c r="D222" s="4">
        <v>1535.5650000000001</v>
      </c>
      <c r="E222" s="4">
        <v>1535.5930000000001</v>
      </c>
      <c r="F222" s="4"/>
      <c r="G222" s="4"/>
      <c r="H222" s="25" t="s">
        <v>1798</v>
      </c>
      <c r="I222" s="4"/>
      <c r="J222" s="6">
        <v>0</v>
      </c>
      <c r="K222" s="30" t="s">
        <v>1767</v>
      </c>
      <c r="L222" s="4"/>
      <c r="M222" s="3"/>
    </row>
    <row r="223" spans="1:13" x14ac:dyDescent="0.3">
      <c r="A223" s="3">
        <v>103</v>
      </c>
      <c r="B223" s="3">
        <v>103</v>
      </c>
      <c r="C223" s="4">
        <v>1535.856</v>
      </c>
      <c r="D223" s="4">
        <v>1535.5930000000001</v>
      </c>
      <c r="E223" s="4">
        <v>1536.1179999999999</v>
      </c>
      <c r="F223" s="4"/>
      <c r="G223" s="4"/>
      <c r="H223" s="26" t="s">
        <v>1799</v>
      </c>
      <c r="I223" s="4"/>
      <c r="J223" s="6">
        <v>0</v>
      </c>
      <c r="K223" s="29" t="s">
        <v>1767</v>
      </c>
      <c r="L223" s="4"/>
      <c r="M223" s="3"/>
    </row>
    <row r="224" spans="1:13" x14ac:dyDescent="0.3">
      <c r="A224" s="3">
        <v>103</v>
      </c>
      <c r="B224" s="3">
        <v>103</v>
      </c>
      <c r="C224" s="4">
        <v>1536.15</v>
      </c>
      <c r="D224" s="4">
        <v>1536.1179999999999</v>
      </c>
      <c r="E224" s="4">
        <v>1536.181</v>
      </c>
      <c r="F224" s="4"/>
      <c r="G224" s="4"/>
      <c r="H224" s="25" t="s">
        <v>1800</v>
      </c>
      <c r="I224" s="4"/>
      <c r="J224" s="6">
        <v>0</v>
      </c>
      <c r="K224" s="30" t="s">
        <v>1767</v>
      </c>
      <c r="L224" s="4"/>
      <c r="M224" s="3"/>
    </row>
    <row r="225" spans="1:13" x14ac:dyDescent="0.3">
      <c r="A225" s="3">
        <v>103</v>
      </c>
      <c r="B225" s="3">
        <v>103</v>
      </c>
      <c r="C225" s="4">
        <v>1536.373</v>
      </c>
      <c r="D225" s="4">
        <v>1536.181</v>
      </c>
      <c r="E225" s="4">
        <v>1536.5650000000001</v>
      </c>
      <c r="F225" s="4"/>
      <c r="G225" s="4"/>
      <c r="H225" s="26" t="s">
        <v>1801</v>
      </c>
      <c r="I225" s="4"/>
      <c r="J225" s="6">
        <v>0</v>
      </c>
      <c r="K225" s="29" t="s">
        <v>1767</v>
      </c>
      <c r="L225" s="4"/>
      <c r="M225" s="3"/>
    </row>
    <row r="226" spans="1:13" x14ac:dyDescent="0.3">
      <c r="A226" s="3">
        <v>103</v>
      </c>
      <c r="B226" s="3">
        <v>103</v>
      </c>
      <c r="C226" s="4">
        <v>1536.665</v>
      </c>
      <c r="D226" s="4">
        <v>1536.5650000000001</v>
      </c>
      <c r="E226" s="4">
        <v>1536.7650000000001</v>
      </c>
      <c r="F226" s="4"/>
      <c r="G226" s="4"/>
      <c r="H226" s="25" t="s">
        <v>1802</v>
      </c>
      <c r="I226" s="4"/>
      <c r="J226" s="6">
        <v>0</v>
      </c>
      <c r="K226" s="30" t="s">
        <v>1767</v>
      </c>
      <c r="L226" s="4"/>
      <c r="M226" s="3"/>
    </row>
    <row r="227" spans="1:13" x14ac:dyDescent="0.3">
      <c r="A227" s="3">
        <v>103</v>
      </c>
      <c r="B227" s="3">
        <v>103</v>
      </c>
      <c r="C227" s="4">
        <v>1537.0730000000001</v>
      </c>
      <c r="D227" s="4">
        <v>1536.7650000000001</v>
      </c>
      <c r="E227" s="4">
        <v>1537.3810000000001</v>
      </c>
      <c r="F227" s="4"/>
      <c r="G227" s="4"/>
      <c r="H227" s="26" t="s">
        <v>1803</v>
      </c>
      <c r="I227" s="4"/>
      <c r="J227" s="6">
        <v>0</v>
      </c>
      <c r="K227" s="29" t="s">
        <v>1767</v>
      </c>
      <c r="L227" s="4"/>
      <c r="M227" s="3"/>
    </row>
    <row r="228" spans="1:13" x14ac:dyDescent="0.3">
      <c r="A228" s="3">
        <v>103</v>
      </c>
      <c r="B228" s="3">
        <v>103</v>
      </c>
      <c r="C228" s="4">
        <v>1537.434</v>
      </c>
      <c r="D228" s="4">
        <v>1537.3810000000001</v>
      </c>
      <c r="E228" s="4">
        <v>1537.4870000000001</v>
      </c>
      <c r="F228" s="4"/>
      <c r="G228" s="4"/>
      <c r="H228" s="25" t="s">
        <v>1804</v>
      </c>
      <c r="I228" s="4"/>
      <c r="J228" s="6">
        <v>0</v>
      </c>
      <c r="K228" s="30" t="s">
        <v>1767</v>
      </c>
      <c r="L228" s="4"/>
      <c r="M228" s="3"/>
    </row>
    <row r="229" spans="1:13" x14ac:dyDescent="0.3">
      <c r="A229" s="3">
        <v>103</v>
      </c>
      <c r="B229" s="3">
        <v>103</v>
      </c>
      <c r="C229" s="4">
        <v>1537.694</v>
      </c>
      <c r="D229" s="4">
        <v>1537.4870000000001</v>
      </c>
      <c r="E229" s="4">
        <v>1537.9</v>
      </c>
      <c r="F229" s="4"/>
      <c r="G229" s="4"/>
      <c r="H229" s="26" t="s">
        <v>1805</v>
      </c>
      <c r="I229" s="4"/>
      <c r="J229" s="6">
        <v>0</v>
      </c>
      <c r="K229" s="29" t="s">
        <v>1767</v>
      </c>
      <c r="L229" s="4"/>
      <c r="M229" s="3"/>
    </row>
    <row r="230" spans="1:13" x14ac:dyDescent="0.3">
      <c r="A230" s="3">
        <v>103</v>
      </c>
      <c r="B230" s="3">
        <v>103</v>
      </c>
      <c r="C230" s="4">
        <v>1537.98</v>
      </c>
      <c r="D230" s="4">
        <v>1537.9</v>
      </c>
      <c r="E230" s="4">
        <v>1538.06</v>
      </c>
      <c r="F230" s="4"/>
      <c r="G230" s="4"/>
      <c r="H230" s="25" t="s">
        <v>1806</v>
      </c>
      <c r="I230" s="4"/>
      <c r="J230" s="6">
        <v>0</v>
      </c>
      <c r="K230" s="30" t="s">
        <v>1767</v>
      </c>
      <c r="L230" s="4"/>
      <c r="M230" s="3"/>
    </row>
    <row r="231" spans="1:13" x14ac:dyDescent="0.3">
      <c r="A231" s="3">
        <v>103</v>
      </c>
      <c r="B231" s="3">
        <v>103</v>
      </c>
      <c r="C231" s="4">
        <v>1538.191</v>
      </c>
      <c r="D231" s="4">
        <v>1538.06</v>
      </c>
      <c r="E231" s="4">
        <v>1538.3209999999999</v>
      </c>
      <c r="F231" s="4"/>
      <c r="G231" s="4"/>
      <c r="H231" s="26" t="s">
        <v>1807</v>
      </c>
      <c r="I231" s="4"/>
      <c r="J231" s="6">
        <v>0</v>
      </c>
      <c r="K231" s="29" t="s">
        <v>1767</v>
      </c>
      <c r="L231" s="4"/>
      <c r="M231" s="3"/>
    </row>
    <row r="232" spans="1:13" x14ac:dyDescent="0.3">
      <c r="A232" s="3">
        <v>103</v>
      </c>
      <c r="B232" s="3">
        <v>103</v>
      </c>
      <c r="C232" s="4">
        <v>1538.3779999999999</v>
      </c>
      <c r="D232" s="4">
        <v>1538.3209999999999</v>
      </c>
      <c r="E232" s="4">
        <v>1538.434</v>
      </c>
      <c r="F232" s="4"/>
      <c r="G232" s="4"/>
      <c r="H232" s="25" t="s">
        <v>1808</v>
      </c>
      <c r="I232" s="4"/>
      <c r="J232" s="6">
        <v>0</v>
      </c>
      <c r="K232" s="30" t="s">
        <v>1767</v>
      </c>
      <c r="L232" s="4"/>
      <c r="M232" s="3"/>
    </row>
    <row r="233" spans="1:13" x14ac:dyDescent="0.3">
      <c r="A233" s="3">
        <v>103</v>
      </c>
      <c r="B233" s="3">
        <v>103</v>
      </c>
      <c r="C233" s="4">
        <v>1538.673</v>
      </c>
      <c r="D233" s="4">
        <v>1538.434</v>
      </c>
      <c r="E233" s="4">
        <v>1538.9110000000001</v>
      </c>
      <c r="F233" s="4"/>
      <c r="G233" s="4"/>
      <c r="H233" s="26" t="s">
        <v>1809</v>
      </c>
      <c r="I233" s="4"/>
      <c r="J233" s="6">
        <v>0</v>
      </c>
      <c r="K233" s="29" t="s">
        <v>1767</v>
      </c>
      <c r="L233" s="4"/>
      <c r="M233" s="3"/>
    </row>
    <row r="234" spans="1:13" x14ac:dyDescent="0.3">
      <c r="A234" s="3">
        <v>103</v>
      </c>
      <c r="B234" s="3">
        <v>103</v>
      </c>
      <c r="C234" s="4">
        <v>1538.9469999999999</v>
      </c>
      <c r="D234" s="4">
        <v>1538.9110000000001</v>
      </c>
      <c r="E234" s="4">
        <v>1538.9829999999999</v>
      </c>
      <c r="F234" s="4"/>
      <c r="G234" s="4"/>
      <c r="H234" s="25" t="s">
        <v>1810</v>
      </c>
      <c r="I234" s="4"/>
      <c r="J234" s="6">
        <v>0</v>
      </c>
      <c r="K234" s="30" t="s">
        <v>1767</v>
      </c>
      <c r="L234" s="4"/>
      <c r="M234" s="3"/>
    </row>
    <row r="235" spans="1:13" x14ac:dyDescent="0.3">
      <c r="A235" s="3">
        <v>103</v>
      </c>
      <c r="B235" s="3">
        <v>103</v>
      </c>
      <c r="C235" s="4">
        <v>1539.204</v>
      </c>
      <c r="D235" s="4">
        <v>1538.9829999999999</v>
      </c>
      <c r="E235" s="4">
        <v>1539.425</v>
      </c>
      <c r="F235" s="4"/>
      <c r="G235" s="4"/>
      <c r="H235" s="26" t="s">
        <v>1811</v>
      </c>
      <c r="I235" s="4"/>
      <c r="J235" s="6">
        <v>0</v>
      </c>
      <c r="K235" s="29" t="s">
        <v>1767</v>
      </c>
      <c r="L235" s="4"/>
      <c r="M235" s="3"/>
    </row>
    <row r="236" spans="1:13" x14ac:dyDescent="0.3">
      <c r="A236" s="3">
        <v>103</v>
      </c>
      <c r="B236" s="3">
        <v>103</v>
      </c>
      <c r="C236" s="4">
        <v>1539.8440000000001</v>
      </c>
      <c r="D236" s="4">
        <v>1539.425</v>
      </c>
      <c r="E236" s="4">
        <v>1540.2629999999999</v>
      </c>
      <c r="F236" s="4"/>
      <c r="G236" s="4"/>
      <c r="H236" s="25" t="s">
        <v>1812</v>
      </c>
      <c r="I236" s="4"/>
      <c r="J236" s="6">
        <v>0</v>
      </c>
      <c r="K236" s="30" t="s">
        <v>1767</v>
      </c>
      <c r="L236" s="4"/>
      <c r="M236" s="3"/>
    </row>
    <row r="237" spans="1:13" x14ac:dyDescent="0.3">
      <c r="A237" s="3">
        <v>103</v>
      </c>
      <c r="B237" s="3">
        <v>103</v>
      </c>
      <c r="C237" s="4">
        <v>1540.6089999999999</v>
      </c>
      <c r="D237" s="4">
        <v>1540.2629999999999</v>
      </c>
      <c r="E237" s="4">
        <v>1540.954</v>
      </c>
      <c r="F237" s="4"/>
      <c r="G237" s="4"/>
      <c r="H237" s="26" t="s">
        <v>1813</v>
      </c>
      <c r="I237" s="4"/>
      <c r="J237" s="6">
        <v>0</v>
      </c>
      <c r="K237" s="29" t="s">
        <v>1767</v>
      </c>
      <c r="L237" s="4"/>
      <c r="M237" s="3"/>
    </row>
    <row r="238" spans="1:13" x14ac:dyDescent="0.3">
      <c r="A238" s="3">
        <v>103</v>
      </c>
      <c r="B238" s="3">
        <v>103</v>
      </c>
      <c r="C238" s="4">
        <v>1541.0039999999999</v>
      </c>
      <c r="D238" s="4">
        <v>1540.954</v>
      </c>
      <c r="E238" s="4">
        <v>1541.0540000000001</v>
      </c>
      <c r="F238" s="4"/>
      <c r="G238" s="4"/>
      <c r="H238" s="25" t="s">
        <v>1814</v>
      </c>
      <c r="I238" s="4"/>
      <c r="J238" s="6">
        <v>0</v>
      </c>
      <c r="K238" s="30" t="s">
        <v>1767</v>
      </c>
      <c r="L238" s="4"/>
      <c r="M238" s="3"/>
    </row>
    <row r="239" spans="1:13" x14ac:dyDescent="0.3">
      <c r="A239" s="3">
        <v>103</v>
      </c>
      <c r="B239" s="3">
        <v>103</v>
      </c>
      <c r="C239" s="4">
        <v>1541.35</v>
      </c>
      <c r="D239" s="4">
        <v>1541.0540000000001</v>
      </c>
      <c r="E239" s="4">
        <v>1541.646</v>
      </c>
      <c r="F239" s="4"/>
      <c r="G239" s="4"/>
      <c r="H239" s="26" t="s">
        <v>1815</v>
      </c>
      <c r="I239" s="4"/>
      <c r="J239" s="6">
        <v>0</v>
      </c>
      <c r="K239" s="29" t="s">
        <v>1767</v>
      </c>
      <c r="L239" s="4"/>
      <c r="M239" s="3"/>
    </row>
    <row r="240" spans="1:13" x14ac:dyDescent="0.3">
      <c r="A240" s="3">
        <v>103</v>
      </c>
      <c r="B240" s="3">
        <v>103</v>
      </c>
      <c r="C240" s="4">
        <v>1541.6780000000001</v>
      </c>
      <c r="D240" s="4">
        <v>1541.646</v>
      </c>
      <c r="E240" s="4">
        <v>1541.7090000000001</v>
      </c>
      <c r="F240" s="4"/>
      <c r="G240" s="4"/>
      <c r="H240" s="25" t="s">
        <v>1816</v>
      </c>
      <c r="I240" s="4"/>
      <c r="J240" s="6">
        <v>0</v>
      </c>
      <c r="K240" s="30" t="s">
        <v>1767</v>
      </c>
      <c r="L240" s="4"/>
      <c r="M240" s="3"/>
    </row>
    <row r="241" spans="1:13" x14ac:dyDescent="0.3">
      <c r="A241" s="3">
        <v>103</v>
      </c>
      <c r="B241" s="3">
        <v>103</v>
      </c>
      <c r="C241" s="4">
        <v>1541.925</v>
      </c>
      <c r="D241" s="4">
        <v>1541.7090000000001</v>
      </c>
      <c r="E241" s="4">
        <v>1542.14</v>
      </c>
      <c r="F241" s="4"/>
      <c r="G241" s="4"/>
      <c r="H241" s="26" t="s">
        <v>1817</v>
      </c>
      <c r="I241" s="4"/>
      <c r="J241" s="6">
        <v>0</v>
      </c>
      <c r="K241" s="29" t="s">
        <v>1767</v>
      </c>
      <c r="L241" s="4"/>
      <c r="M241" s="3"/>
    </row>
    <row r="242" spans="1:13" x14ac:dyDescent="0.3">
      <c r="A242" s="3">
        <v>103</v>
      </c>
      <c r="B242" s="3">
        <v>103</v>
      </c>
      <c r="C242" s="4">
        <v>1542.2239999999999</v>
      </c>
      <c r="D242" s="4">
        <v>1542.14</v>
      </c>
      <c r="E242" s="4">
        <v>1542.307</v>
      </c>
      <c r="F242" s="4"/>
      <c r="G242" s="4"/>
      <c r="H242" s="25" t="s">
        <v>1818</v>
      </c>
      <c r="I242" s="4"/>
      <c r="J242" s="6">
        <v>0</v>
      </c>
      <c r="K242" s="30" t="s">
        <v>1767</v>
      </c>
      <c r="L242" s="4"/>
      <c r="M242" s="3"/>
    </row>
    <row r="243" spans="1:13" x14ac:dyDescent="0.3">
      <c r="A243" s="3">
        <v>103</v>
      </c>
      <c r="B243" s="3">
        <v>103</v>
      </c>
      <c r="C243" s="4">
        <v>1542.4110000000001</v>
      </c>
      <c r="D243" s="4">
        <v>1542.307</v>
      </c>
      <c r="E243" s="4">
        <v>1542.5139999999999</v>
      </c>
      <c r="F243" s="4"/>
      <c r="G243" s="4"/>
      <c r="H243" s="26" t="s">
        <v>1819</v>
      </c>
      <c r="I243" s="4"/>
      <c r="J243" s="6">
        <v>0</v>
      </c>
      <c r="K243" s="29" t="s">
        <v>1767</v>
      </c>
      <c r="L243" s="4"/>
      <c r="M243" s="3"/>
    </row>
    <row r="244" spans="1:13" x14ac:dyDescent="0.3">
      <c r="A244" s="3">
        <v>103</v>
      </c>
      <c r="B244" s="3">
        <v>103</v>
      </c>
      <c r="C244" s="4">
        <v>1542.6579999999999</v>
      </c>
      <c r="D244" s="4">
        <v>1542.5139999999999</v>
      </c>
      <c r="E244" s="4">
        <v>1542.8009999999999</v>
      </c>
      <c r="F244" s="4"/>
      <c r="G244" s="4"/>
      <c r="H244" s="25" t="s">
        <v>1820</v>
      </c>
      <c r="I244" s="4"/>
      <c r="J244" s="6">
        <v>0</v>
      </c>
      <c r="K244" s="30" t="s">
        <v>1767</v>
      </c>
      <c r="L244" s="4"/>
      <c r="M244" s="3"/>
    </row>
    <row r="245" spans="1:13" x14ac:dyDescent="0.3">
      <c r="A245" s="3">
        <v>103</v>
      </c>
      <c r="B245" s="3">
        <v>103</v>
      </c>
      <c r="C245" s="4">
        <v>1543.076</v>
      </c>
      <c r="D245" s="4">
        <v>1542.8009999999999</v>
      </c>
      <c r="E245" s="4">
        <v>1543.35</v>
      </c>
      <c r="F245" s="4"/>
      <c r="G245" s="4"/>
      <c r="H245" s="26" t="s">
        <v>1821</v>
      </c>
      <c r="I245" s="4"/>
      <c r="J245" s="6">
        <v>0</v>
      </c>
      <c r="K245" s="29" t="s">
        <v>1767</v>
      </c>
      <c r="L245" s="4"/>
      <c r="M245" s="3"/>
    </row>
    <row r="246" spans="1:13" x14ac:dyDescent="0.3">
      <c r="A246" s="3">
        <v>103</v>
      </c>
      <c r="B246" s="3">
        <v>103</v>
      </c>
      <c r="C246" s="4">
        <v>1543.3689999999999</v>
      </c>
      <c r="D246" s="4">
        <v>1543.35</v>
      </c>
      <c r="E246" s="4">
        <v>1543.3879999999999</v>
      </c>
      <c r="F246" s="4"/>
      <c r="G246" s="4"/>
      <c r="H246" s="25" t="s">
        <v>1822</v>
      </c>
      <c r="I246" s="4"/>
      <c r="J246" s="6">
        <v>0</v>
      </c>
      <c r="K246" s="30" t="s">
        <v>1767</v>
      </c>
      <c r="L246" s="4"/>
      <c r="M246" s="3"/>
    </row>
    <row r="247" spans="1:13" x14ac:dyDescent="0.3">
      <c r="A247" s="3">
        <v>103</v>
      </c>
      <c r="B247" s="3">
        <v>103</v>
      </c>
      <c r="C247" s="4">
        <v>1543.605</v>
      </c>
      <c r="D247" s="4">
        <v>1543.3879999999999</v>
      </c>
      <c r="E247" s="4">
        <v>1543.8219999999999</v>
      </c>
      <c r="F247" s="4"/>
      <c r="G247" s="4"/>
      <c r="H247" s="26" t="s">
        <v>1823</v>
      </c>
      <c r="I247" s="4"/>
      <c r="J247" s="6">
        <v>0</v>
      </c>
      <c r="K247" s="29" t="s">
        <v>1767</v>
      </c>
      <c r="L247" s="4"/>
      <c r="M247" s="3"/>
    </row>
    <row r="248" spans="1:13" x14ac:dyDescent="0.3">
      <c r="A248" s="3">
        <v>103</v>
      </c>
      <c r="B248" s="3">
        <v>103</v>
      </c>
      <c r="C248" s="4">
        <v>1543.846</v>
      </c>
      <c r="D248" s="4">
        <v>1543.8219999999999</v>
      </c>
      <c r="E248" s="4">
        <v>1543.87</v>
      </c>
      <c r="F248" s="4"/>
      <c r="G248" s="4"/>
      <c r="H248" s="25" t="s">
        <v>1824</v>
      </c>
      <c r="I248" s="4"/>
      <c r="J248" s="6">
        <v>0</v>
      </c>
      <c r="K248" s="30" t="s">
        <v>1767</v>
      </c>
      <c r="L248" s="4"/>
      <c r="M248" s="3"/>
    </row>
    <row r="249" spans="1:13" x14ac:dyDescent="0.3">
      <c r="A249" s="3">
        <v>103</v>
      </c>
      <c r="B249" s="3">
        <v>103</v>
      </c>
      <c r="C249" s="4">
        <v>1544.1859999999999</v>
      </c>
      <c r="D249" s="4">
        <v>1543.87</v>
      </c>
      <c r="E249" s="4">
        <v>1544.501</v>
      </c>
      <c r="F249" s="4"/>
      <c r="G249" s="4"/>
      <c r="H249" s="26" t="s">
        <v>1825</v>
      </c>
      <c r="I249" s="4"/>
      <c r="J249" s="6">
        <v>0</v>
      </c>
      <c r="K249" s="29" t="s">
        <v>1767</v>
      </c>
      <c r="L249" s="4"/>
      <c r="M249" s="3"/>
    </row>
    <row r="250" spans="1:13" x14ac:dyDescent="0.3">
      <c r="A250" s="3">
        <v>103</v>
      </c>
      <c r="B250" s="3">
        <v>103</v>
      </c>
      <c r="C250" s="4">
        <v>1544.5419999999999</v>
      </c>
      <c r="D250" s="4">
        <v>1544.501</v>
      </c>
      <c r="E250" s="4">
        <v>1544.5820000000001</v>
      </c>
      <c r="F250" s="4"/>
      <c r="G250" s="4"/>
      <c r="H250" s="25" t="s">
        <v>1826</v>
      </c>
      <c r="I250" s="4"/>
      <c r="J250" s="6">
        <v>0</v>
      </c>
      <c r="K250" s="30" t="s">
        <v>1767</v>
      </c>
      <c r="L250" s="4"/>
      <c r="M250" s="3"/>
    </row>
    <row r="251" spans="1:13" x14ac:dyDescent="0.3">
      <c r="A251" s="3">
        <v>103</v>
      </c>
      <c r="B251" s="3">
        <v>103</v>
      </c>
      <c r="C251" s="4">
        <v>1544.7439999999999</v>
      </c>
      <c r="D251" s="4">
        <v>1544.5820000000001</v>
      </c>
      <c r="E251" s="4">
        <v>1544.9059999999999</v>
      </c>
      <c r="F251" s="4"/>
      <c r="G251" s="4"/>
      <c r="H251" s="26" t="s">
        <v>1827</v>
      </c>
      <c r="I251" s="4"/>
      <c r="J251" s="6">
        <v>0</v>
      </c>
      <c r="K251" s="29" t="s">
        <v>1767</v>
      </c>
      <c r="L251" s="4"/>
      <c r="M251" s="3"/>
    </row>
    <row r="252" spans="1:13" x14ac:dyDescent="0.3">
      <c r="A252" s="3">
        <v>103</v>
      </c>
      <c r="B252" s="3">
        <v>103</v>
      </c>
      <c r="C252" s="4">
        <v>1545.086</v>
      </c>
      <c r="D252" s="4">
        <v>1544.9059999999999</v>
      </c>
      <c r="E252" s="4">
        <v>1545.2660000000001</v>
      </c>
      <c r="F252" s="4"/>
      <c r="G252" s="4"/>
      <c r="H252" s="25" t="s">
        <v>1828</v>
      </c>
      <c r="I252" s="4"/>
      <c r="J252" s="6">
        <v>0</v>
      </c>
      <c r="K252" s="30" t="s">
        <v>1767</v>
      </c>
      <c r="L252" s="4"/>
      <c r="M252" s="3"/>
    </row>
    <row r="253" spans="1:13" x14ac:dyDescent="0.3">
      <c r="A253" s="3">
        <v>103</v>
      </c>
      <c r="B253" s="3">
        <v>103</v>
      </c>
      <c r="C253" s="4">
        <v>1545.43</v>
      </c>
      <c r="D253" s="4">
        <v>1545.2660000000001</v>
      </c>
      <c r="E253" s="4">
        <v>1545.5940000000001</v>
      </c>
      <c r="F253" s="4"/>
      <c r="G253" s="4"/>
      <c r="H253" s="26" t="s">
        <v>1829</v>
      </c>
      <c r="I253" s="4"/>
      <c r="J253" s="6">
        <v>0</v>
      </c>
      <c r="K253" s="29" t="s">
        <v>1767</v>
      </c>
      <c r="L253" s="4"/>
      <c r="M253" s="3"/>
    </row>
    <row r="254" spans="1:13" x14ac:dyDescent="0.3">
      <c r="A254" s="3">
        <v>103</v>
      </c>
      <c r="B254" s="3">
        <v>103</v>
      </c>
      <c r="C254" s="4">
        <v>1545.7249999999999</v>
      </c>
      <c r="D254" s="4">
        <v>1545.5940000000001</v>
      </c>
      <c r="E254" s="4">
        <v>1545.856</v>
      </c>
      <c r="F254" s="4"/>
      <c r="G254" s="4"/>
      <c r="H254" s="25" t="s">
        <v>1830</v>
      </c>
      <c r="I254" s="4"/>
      <c r="J254" s="6">
        <v>0</v>
      </c>
      <c r="K254" s="30" t="s">
        <v>1767</v>
      </c>
      <c r="L254" s="4"/>
      <c r="M254" s="3"/>
    </row>
    <row r="255" spans="1:13" x14ac:dyDescent="0.3">
      <c r="A255" s="3">
        <v>103</v>
      </c>
      <c r="B255" s="3">
        <v>103</v>
      </c>
      <c r="C255" s="4">
        <v>1546.0889999999999</v>
      </c>
      <c r="D255" s="4">
        <v>1545.856</v>
      </c>
      <c r="E255" s="4">
        <v>1546.3209999999999</v>
      </c>
      <c r="F255" s="4"/>
      <c r="G255" s="4"/>
      <c r="H255" s="26" t="s">
        <v>1831</v>
      </c>
      <c r="I255" s="4"/>
      <c r="J255" s="6">
        <v>0</v>
      </c>
      <c r="K255" s="29" t="s">
        <v>1767</v>
      </c>
      <c r="L255" s="4"/>
      <c r="M255" s="3"/>
    </row>
    <row r="256" spans="1:13" x14ac:dyDescent="0.3">
      <c r="A256" s="3">
        <v>103</v>
      </c>
      <c r="B256" s="3">
        <v>103</v>
      </c>
      <c r="C256" s="4">
        <v>1546.5650000000001</v>
      </c>
      <c r="D256" s="4">
        <v>1546.3209999999999</v>
      </c>
      <c r="E256" s="4">
        <v>1546.809</v>
      </c>
      <c r="F256" s="4"/>
      <c r="G256" s="4"/>
      <c r="H256" s="25" t="s">
        <v>1832</v>
      </c>
      <c r="I256" s="4"/>
      <c r="J256" s="6">
        <v>0</v>
      </c>
      <c r="K256" s="30" t="s">
        <v>1767</v>
      </c>
      <c r="L256" s="4"/>
      <c r="M256" s="3"/>
    </row>
    <row r="257" spans="1:13" x14ac:dyDescent="0.3">
      <c r="A257" s="3">
        <v>103</v>
      </c>
      <c r="B257" s="3">
        <v>103</v>
      </c>
      <c r="C257" s="4">
        <v>1547.2149999999999</v>
      </c>
      <c r="D257" s="4">
        <v>1546.809</v>
      </c>
      <c r="E257" s="4">
        <v>1547.62</v>
      </c>
      <c r="F257" s="4"/>
      <c r="G257" s="4"/>
      <c r="H257" s="26" t="s">
        <v>1833</v>
      </c>
      <c r="I257" s="4"/>
      <c r="J257" s="6">
        <v>0</v>
      </c>
      <c r="K257" s="29" t="s">
        <v>1767</v>
      </c>
      <c r="L257" s="4"/>
      <c r="M257" s="3"/>
    </row>
    <row r="258" spans="1:13" x14ac:dyDescent="0.3">
      <c r="A258" s="3">
        <v>103</v>
      </c>
      <c r="B258" s="3">
        <v>103</v>
      </c>
      <c r="C258" s="4">
        <v>1547.67</v>
      </c>
      <c r="D258" s="4">
        <v>1547.62</v>
      </c>
      <c r="E258" s="4">
        <v>1547.7190000000001</v>
      </c>
      <c r="F258" s="4"/>
      <c r="G258" s="4"/>
      <c r="H258" s="25" t="s">
        <v>1834</v>
      </c>
      <c r="I258" s="4"/>
      <c r="J258" s="6">
        <v>0</v>
      </c>
      <c r="K258" s="30" t="s">
        <v>1767</v>
      </c>
      <c r="L258" s="4"/>
      <c r="M258" s="3"/>
    </row>
    <row r="259" spans="1:13" x14ac:dyDescent="0.3">
      <c r="A259" s="3">
        <v>103</v>
      </c>
      <c r="B259" s="3">
        <v>103</v>
      </c>
      <c r="C259" s="4">
        <v>1547.925</v>
      </c>
      <c r="D259" s="4">
        <v>1547.7190000000001</v>
      </c>
      <c r="E259" s="4">
        <v>1548.13</v>
      </c>
      <c r="F259" s="4"/>
      <c r="G259" s="4"/>
      <c r="H259" s="26" t="s">
        <v>1835</v>
      </c>
      <c r="I259" s="4"/>
      <c r="J259" s="6">
        <v>0</v>
      </c>
      <c r="K259" s="29" t="s">
        <v>1767</v>
      </c>
      <c r="L259" s="4"/>
      <c r="M259" s="3"/>
    </row>
    <row r="260" spans="1:13" x14ac:dyDescent="0.3">
      <c r="A260" s="3">
        <v>103</v>
      </c>
      <c r="B260" s="3">
        <v>103</v>
      </c>
      <c r="C260" s="4">
        <v>1548.2550000000001</v>
      </c>
      <c r="D260" s="4">
        <v>1548.13</v>
      </c>
      <c r="E260" s="4">
        <v>1548.38</v>
      </c>
      <c r="F260" s="4"/>
      <c r="G260" s="4"/>
      <c r="H260" s="25" t="s">
        <v>1836</v>
      </c>
      <c r="I260" s="4"/>
      <c r="J260" s="6">
        <v>0</v>
      </c>
      <c r="K260" s="30" t="s">
        <v>1767</v>
      </c>
      <c r="L260" s="4"/>
      <c r="M260" s="3"/>
    </row>
    <row r="261" spans="1:13" x14ac:dyDescent="0.3">
      <c r="A261" s="3">
        <v>103</v>
      </c>
      <c r="B261" s="3">
        <v>103</v>
      </c>
      <c r="C261" s="4">
        <v>1548.7460000000001</v>
      </c>
      <c r="D261" s="4">
        <v>1548.38</v>
      </c>
      <c r="E261" s="4">
        <v>1549.1120000000001</v>
      </c>
      <c r="F261" s="4"/>
      <c r="G261" s="4"/>
      <c r="H261" s="26" t="s">
        <v>1837</v>
      </c>
      <c r="I261" s="4"/>
      <c r="J261" s="6">
        <v>0</v>
      </c>
      <c r="K261" s="29" t="s">
        <v>1767</v>
      </c>
      <c r="L261" s="4"/>
      <c r="M261" s="3"/>
    </row>
    <row r="262" spans="1:13" x14ac:dyDescent="0.3">
      <c r="A262" s="3">
        <v>103</v>
      </c>
      <c r="B262" s="3">
        <v>103</v>
      </c>
      <c r="C262" s="4">
        <v>1549.143</v>
      </c>
      <c r="D262" s="4">
        <v>1549.1120000000001</v>
      </c>
      <c r="E262" s="4">
        <v>1549.174</v>
      </c>
      <c r="F262" s="4"/>
      <c r="G262" s="4"/>
      <c r="H262" s="25" t="s">
        <v>1838</v>
      </c>
      <c r="I262" s="4"/>
      <c r="J262" s="6">
        <v>0</v>
      </c>
      <c r="K262" s="30" t="s">
        <v>1767</v>
      </c>
      <c r="L262" s="4"/>
      <c r="M262" s="3"/>
    </row>
    <row r="263" spans="1:13" x14ac:dyDescent="0.3">
      <c r="A263" s="3">
        <v>103</v>
      </c>
      <c r="B263" s="3">
        <v>103</v>
      </c>
      <c r="C263" s="4">
        <v>1549.35</v>
      </c>
      <c r="D263" s="4">
        <v>1549.174</v>
      </c>
      <c r="E263" s="4">
        <v>1549.5260000000001</v>
      </c>
      <c r="F263" s="4"/>
      <c r="G263" s="4"/>
      <c r="H263" s="26" t="s">
        <v>1839</v>
      </c>
      <c r="I263" s="4"/>
      <c r="J263" s="6">
        <v>0</v>
      </c>
      <c r="K263" s="29" t="s">
        <v>1767</v>
      </c>
      <c r="L263" s="4"/>
      <c r="M263" s="3"/>
    </row>
    <row r="264" spans="1:13" x14ac:dyDescent="0.3">
      <c r="A264" s="3">
        <v>103</v>
      </c>
      <c r="B264" s="3">
        <v>103</v>
      </c>
      <c r="C264" s="4">
        <v>1549.77</v>
      </c>
      <c r="D264" s="4">
        <v>1549.5260000000001</v>
      </c>
      <c r="E264" s="4">
        <v>1550.0139999999999</v>
      </c>
      <c r="F264" s="4"/>
      <c r="G264" s="4"/>
      <c r="H264" s="25" t="s">
        <v>1840</v>
      </c>
      <c r="I264" s="4"/>
      <c r="J264" s="6">
        <v>0</v>
      </c>
      <c r="K264" s="30" t="s">
        <v>1767</v>
      </c>
      <c r="L264" s="4"/>
      <c r="M264" s="3"/>
    </row>
    <row r="265" spans="1:13" x14ac:dyDescent="0.3">
      <c r="A265" s="3">
        <v>103</v>
      </c>
      <c r="B265" s="3">
        <v>103</v>
      </c>
      <c r="C265" s="4">
        <v>1550.32</v>
      </c>
      <c r="D265" s="4">
        <v>1550.0139999999999</v>
      </c>
      <c r="E265" s="4">
        <v>1550.626</v>
      </c>
      <c r="F265" s="4"/>
      <c r="G265" s="4"/>
      <c r="H265" s="26" t="s">
        <v>1841</v>
      </c>
      <c r="I265" s="4"/>
      <c r="J265" s="6">
        <v>0</v>
      </c>
      <c r="K265" s="29" t="s">
        <v>1767</v>
      </c>
      <c r="L265" s="4"/>
      <c r="M265" s="3"/>
    </row>
    <row r="266" spans="1:13" x14ac:dyDescent="0.3">
      <c r="A266" s="3">
        <v>103</v>
      </c>
      <c r="B266" s="3">
        <v>103</v>
      </c>
      <c r="C266" s="4">
        <v>1550.72</v>
      </c>
      <c r="D266" s="4">
        <v>1550.626</v>
      </c>
      <c r="E266" s="4">
        <v>1550.8130000000001</v>
      </c>
      <c r="F266" s="4"/>
      <c r="G266" s="4"/>
      <c r="H266" s="25" t="s">
        <v>1842</v>
      </c>
      <c r="I266" s="4"/>
      <c r="J266" s="6">
        <v>0</v>
      </c>
      <c r="K266" s="30" t="s">
        <v>1767</v>
      </c>
      <c r="L266" s="4"/>
      <c r="M266" s="3"/>
    </row>
    <row r="267" spans="1:13" x14ac:dyDescent="0.3">
      <c r="A267" s="3">
        <v>103</v>
      </c>
      <c r="B267" s="3">
        <v>103</v>
      </c>
      <c r="C267" s="4">
        <v>1551.0840000000001</v>
      </c>
      <c r="D267" s="4">
        <v>1550.8130000000001</v>
      </c>
      <c r="E267" s="4">
        <v>1551.354</v>
      </c>
      <c r="F267" s="4"/>
      <c r="G267" s="4"/>
      <c r="H267" s="26" t="s">
        <v>1843</v>
      </c>
      <c r="I267" s="4"/>
      <c r="J267" s="6">
        <v>0</v>
      </c>
      <c r="K267" s="29" t="s">
        <v>1767</v>
      </c>
      <c r="L267" s="4"/>
      <c r="M267" s="3"/>
    </row>
    <row r="268" spans="1:13" x14ac:dyDescent="0.3">
      <c r="A268" s="3">
        <v>103</v>
      </c>
      <c r="B268" s="3">
        <v>103</v>
      </c>
      <c r="C268" s="4">
        <v>1551.402</v>
      </c>
      <c r="D268" s="4">
        <v>1551.354</v>
      </c>
      <c r="E268" s="4">
        <v>1551.4490000000001</v>
      </c>
      <c r="F268" s="4"/>
      <c r="G268" s="4"/>
      <c r="H268" s="25" t="s">
        <v>1844</v>
      </c>
      <c r="I268" s="4"/>
      <c r="J268" s="6">
        <v>0</v>
      </c>
      <c r="K268" s="30" t="s">
        <v>1767</v>
      </c>
      <c r="L268" s="4"/>
      <c r="M268" s="3"/>
    </row>
    <row r="269" spans="1:13" x14ac:dyDescent="0.3">
      <c r="A269" s="3">
        <v>103</v>
      </c>
      <c r="B269" s="3">
        <v>103</v>
      </c>
      <c r="C269" s="4">
        <v>1552.117</v>
      </c>
      <c r="D269" s="4">
        <v>1551.4490000000001</v>
      </c>
      <c r="E269" s="4">
        <v>1552.7850000000001</v>
      </c>
      <c r="F269" s="4"/>
      <c r="G269" s="4"/>
      <c r="H269" s="26" t="s">
        <v>1845</v>
      </c>
      <c r="I269" s="4"/>
      <c r="J269" s="6">
        <v>0</v>
      </c>
      <c r="K269" s="29" t="s">
        <v>1767</v>
      </c>
      <c r="L269" s="4"/>
      <c r="M269" s="3"/>
    </row>
    <row r="270" spans="1:13" x14ac:dyDescent="0.3">
      <c r="A270" s="3">
        <v>103</v>
      </c>
      <c r="B270" s="3">
        <v>103</v>
      </c>
      <c r="C270" s="4">
        <v>1552.826</v>
      </c>
      <c r="D270" s="4">
        <v>1552.7850000000001</v>
      </c>
      <c r="E270" s="4">
        <v>1552.867</v>
      </c>
      <c r="F270" s="4"/>
      <c r="G270" s="4"/>
      <c r="H270" s="25" t="s">
        <v>1846</v>
      </c>
      <c r="I270" s="4"/>
      <c r="J270" s="6">
        <v>0</v>
      </c>
      <c r="K270" s="30" t="s">
        <v>1767</v>
      </c>
      <c r="L270" s="4"/>
      <c r="M270" s="3"/>
    </row>
    <row r="271" spans="1:13" x14ac:dyDescent="0.3">
      <c r="A271" s="3">
        <v>103</v>
      </c>
      <c r="B271" s="3">
        <v>103</v>
      </c>
      <c r="C271" s="4">
        <v>1553.068</v>
      </c>
      <c r="D271" s="4">
        <v>1552.867</v>
      </c>
      <c r="E271" s="4">
        <v>1553.269</v>
      </c>
      <c r="F271" s="4"/>
      <c r="G271" s="4"/>
      <c r="H271" s="26" t="s">
        <v>1847</v>
      </c>
      <c r="I271" s="4"/>
      <c r="J271" s="6">
        <v>0</v>
      </c>
      <c r="K271" s="29" t="s">
        <v>1767</v>
      </c>
      <c r="L271" s="4"/>
      <c r="M271" s="3"/>
    </row>
    <row r="272" spans="1:13" x14ac:dyDescent="0.3">
      <c r="A272" s="3">
        <v>103</v>
      </c>
      <c r="B272" s="3">
        <v>103</v>
      </c>
      <c r="C272" s="4">
        <v>1553.299</v>
      </c>
      <c r="D272" s="4">
        <v>1553.269</v>
      </c>
      <c r="E272" s="4">
        <v>1553.328</v>
      </c>
      <c r="F272" s="4"/>
      <c r="G272" s="4"/>
      <c r="H272" s="25" t="s">
        <v>1848</v>
      </c>
      <c r="I272" s="4"/>
      <c r="J272" s="6">
        <v>0</v>
      </c>
      <c r="K272" s="30" t="s">
        <v>1767</v>
      </c>
      <c r="L272" s="4"/>
      <c r="M272" s="3"/>
    </row>
    <row r="273" spans="1:13" x14ac:dyDescent="0.3">
      <c r="A273" s="3">
        <v>103</v>
      </c>
      <c r="B273" s="3">
        <v>103</v>
      </c>
      <c r="C273" s="4">
        <v>1553.5139999999999</v>
      </c>
      <c r="D273" s="4">
        <v>1553.328</v>
      </c>
      <c r="E273" s="4">
        <v>1553.6990000000001</v>
      </c>
      <c r="F273" s="4"/>
      <c r="G273" s="4"/>
      <c r="H273" s="26" t="s">
        <v>1849</v>
      </c>
      <c r="I273" s="4"/>
      <c r="J273" s="6">
        <v>0</v>
      </c>
      <c r="K273" s="29" t="s">
        <v>1767</v>
      </c>
      <c r="L273" s="4"/>
      <c r="M273" s="3"/>
    </row>
    <row r="274" spans="1:13" x14ac:dyDescent="0.3">
      <c r="A274" s="3">
        <v>103</v>
      </c>
      <c r="B274" s="3">
        <v>103</v>
      </c>
      <c r="C274" s="4">
        <v>1554.011</v>
      </c>
      <c r="D274" s="4">
        <v>1553.6990000000001</v>
      </c>
      <c r="E274" s="4">
        <v>1554.3230000000001</v>
      </c>
      <c r="F274" s="4"/>
      <c r="G274" s="4"/>
      <c r="H274" s="25" t="s">
        <v>1850</v>
      </c>
      <c r="I274" s="4"/>
      <c r="J274" s="6">
        <v>0</v>
      </c>
      <c r="K274" s="30" t="s">
        <v>1767</v>
      </c>
      <c r="L274" s="4"/>
      <c r="M274" s="3"/>
    </row>
    <row r="275" spans="1:13" x14ac:dyDescent="0.3">
      <c r="A275" s="3">
        <v>103</v>
      </c>
      <c r="B275" s="3">
        <v>103</v>
      </c>
      <c r="C275" s="4">
        <v>1554.422</v>
      </c>
      <c r="D275" s="4">
        <v>1554.3230000000001</v>
      </c>
      <c r="E275" s="4">
        <v>1554.521</v>
      </c>
      <c r="F275" s="4"/>
      <c r="G275" s="4"/>
      <c r="H275" s="26" t="s">
        <v>1851</v>
      </c>
      <c r="I275" s="4"/>
      <c r="J275" s="6">
        <v>0</v>
      </c>
      <c r="K275" s="29" t="s">
        <v>1767</v>
      </c>
      <c r="L275" s="4"/>
      <c r="M275" s="3"/>
    </row>
    <row r="276" spans="1:13" x14ac:dyDescent="0.3">
      <c r="A276" s="3">
        <v>103</v>
      </c>
      <c r="B276" s="3">
        <v>103</v>
      </c>
      <c r="C276" s="4">
        <v>1554.549</v>
      </c>
      <c r="D276" s="4">
        <v>1554.521</v>
      </c>
      <c r="E276" s="4">
        <v>1554.577</v>
      </c>
      <c r="F276" s="4"/>
      <c r="G276" s="4"/>
      <c r="H276" s="25" t="s">
        <v>1852</v>
      </c>
      <c r="I276" s="4"/>
      <c r="J276" s="6">
        <v>0</v>
      </c>
      <c r="K276" s="30" t="s">
        <v>1767</v>
      </c>
      <c r="L276" s="4"/>
      <c r="M276" s="3"/>
    </row>
    <row r="277" spans="1:13" x14ac:dyDescent="0.3">
      <c r="A277" s="3">
        <v>103</v>
      </c>
      <c r="B277" s="3">
        <v>103</v>
      </c>
      <c r="C277" s="4">
        <v>1554.7639999999999</v>
      </c>
      <c r="D277" s="4">
        <v>1554.577</v>
      </c>
      <c r="E277" s="4">
        <v>1554.951</v>
      </c>
      <c r="F277" s="4"/>
      <c r="G277" s="4"/>
      <c r="H277" s="26" t="s">
        <v>1853</v>
      </c>
      <c r="I277" s="4"/>
      <c r="J277" s="6">
        <v>0</v>
      </c>
      <c r="K277" s="29" t="s">
        <v>1767</v>
      </c>
      <c r="L277" s="4"/>
      <c r="M277" s="3"/>
    </row>
    <row r="278" spans="1:13" x14ac:dyDescent="0.3">
      <c r="A278" s="3">
        <v>103</v>
      </c>
      <c r="B278" s="3">
        <v>103</v>
      </c>
      <c r="C278" s="4">
        <v>1555.04</v>
      </c>
      <c r="D278" s="4">
        <v>1554.951</v>
      </c>
      <c r="E278" s="4">
        <v>1555.1279999999999</v>
      </c>
      <c r="F278" s="4"/>
      <c r="G278" s="4"/>
      <c r="H278" s="25" t="s">
        <v>1854</v>
      </c>
      <c r="I278" s="4"/>
      <c r="J278" s="6">
        <v>0</v>
      </c>
      <c r="K278" s="30" t="s">
        <v>1767</v>
      </c>
      <c r="L278" s="4"/>
      <c r="M278" s="3"/>
    </row>
    <row r="279" spans="1:13" x14ac:dyDescent="0.3">
      <c r="A279" s="3">
        <v>103</v>
      </c>
      <c r="B279" s="3">
        <v>103</v>
      </c>
      <c r="C279" s="4">
        <v>1555.42</v>
      </c>
      <c r="D279" s="4">
        <v>1555.1279999999999</v>
      </c>
      <c r="E279" s="4">
        <v>1555.712</v>
      </c>
      <c r="F279" s="4"/>
      <c r="G279" s="4"/>
      <c r="H279" s="26" t="s">
        <v>1855</v>
      </c>
      <c r="I279" s="4"/>
      <c r="J279" s="6">
        <v>0</v>
      </c>
      <c r="K279" s="29" t="s">
        <v>1767</v>
      </c>
      <c r="L279" s="4"/>
      <c r="M279" s="3"/>
    </row>
    <row r="280" spans="1:13" x14ac:dyDescent="0.3">
      <c r="A280" s="3">
        <v>103</v>
      </c>
      <c r="B280" s="3">
        <v>103</v>
      </c>
      <c r="C280" s="4">
        <v>1556</v>
      </c>
      <c r="D280" s="4">
        <v>1555.712</v>
      </c>
      <c r="E280" s="4">
        <v>1556.288</v>
      </c>
      <c r="F280" s="4"/>
      <c r="G280" s="4"/>
      <c r="H280" s="25" t="s">
        <v>1856</v>
      </c>
      <c r="I280" s="4"/>
      <c r="J280" s="6">
        <v>0</v>
      </c>
      <c r="K280" s="30" t="s">
        <v>1767</v>
      </c>
      <c r="L280" s="4"/>
      <c r="M280" s="3"/>
    </row>
    <row r="281" spans="1:13" x14ac:dyDescent="0.3">
      <c r="A281" s="3">
        <v>103</v>
      </c>
      <c r="B281" s="3">
        <v>103</v>
      </c>
      <c r="C281" s="4">
        <v>1556.433</v>
      </c>
      <c r="D281" s="4">
        <v>1556.288</v>
      </c>
      <c r="E281" s="4">
        <v>1556.578</v>
      </c>
      <c r="F281" s="4"/>
      <c r="G281" s="4"/>
      <c r="H281" s="26" t="s">
        <v>1857</v>
      </c>
      <c r="I281" s="4"/>
      <c r="J281" s="6">
        <v>0</v>
      </c>
      <c r="K281" s="29" t="s">
        <v>1767</v>
      </c>
      <c r="L281" s="4"/>
      <c r="M281" s="3"/>
    </row>
    <row r="282" spans="1:13" x14ac:dyDescent="0.3">
      <c r="A282" s="3">
        <v>103</v>
      </c>
      <c r="B282" s="3">
        <v>103</v>
      </c>
      <c r="C282" s="4">
        <v>1556.6890000000001</v>
      </c>
      <c r="D282" s="4">
        <v>1556.578</v>
      </c>
      <c r="E282" s="4">
        <v>1556.8</v>
      </c>
      <c r="F282" s="4"/>
      <c r="G282" s="4"/>
      <c r="H282" s="25" t="s">
        <v>1858</v>
      </c>
      <c r="I282" s="4"/>
      <c r="J282" s="6">
        <v>0</v>
      </c>
      <c r="K282" s="30" t="s">
        <v>1767</v>
      </c>
      <c r="L282" s="4"/>
      <c r="M282" s="3"/>
    </row>
    <row r="283" spans="1:13" x14ac:dyDescent="0.3">
      <c r="A283" s="3">
        <v>103</v>
      </c>
      <c r="B283" s="3">
        <v>103</v>
      </c>
      <c r="C283" s="4">
        <v>1556.896</v>
      </c>
      <c r="D283" s="4">
        <v>1556.8</v>
      </c>
      <c r="E283" s="4">
        <v>1556.991</v>
      </c>
      <c r="F283" s="4"/>
      <c r="G283" s="4"/>
      <c r="H283" s="26" t="s">
        <v>1859</v>
      </c>
      <c r="I283" s="4"/>
      <c r="J283" s="6">
        <v>0</v>
      </c>
      <c r="K283" s="29" t="s">
        <v>1767</v>
      </c>
      <c r="L283" s="4"/>
      <c r="M283" s="3"/>
    </row>
    <row r="284" spans="1:13" x14ac:dyDescent="0.3">
      <c r="A284" s="3">
        <v>103</v>
      </c>
      <c r="B284" s="3">
        <v>103</v>
      </c>
      <c r="C284" s="4">
        <v>1557.568</v>
      </c>
      <c r="D284" s="4">
        <v>1556.991</v>
      </c>
      <c r="E284" s="4">
        <v>1558.145</v>
      </c>
      <c r="F284" s="4"/>
      <c r="G284" s="4"/>
      <c r="H284" s="25" t="s">
        <v>1860</v>
      </c>
      <c r="I284" s="4"/>
      <c r="J284" s="6">
        <v>0</v>
      </c>
      <c r="K284" s="30" t="s">
        <v>1767</v>
      </c>
      <c r="L284" s="4"/>
      <c r="M284" s="3"/>
    </row>
    <row r="285" spans="1:13" x14ac:dyDescent="0.3">
      <c r="A285" s="3">
        <v>103</v>
      </c>
      <c r="B285" s="3">
        <v>103</v>
      </c>
      <c r="C285" s="4">
        <v>1558.38</v>
      </c>
      <c r="D285" s="4">
        <v>1558.145</v>
      </c>
      <c r="E285" s="4">
        <v>1558.614</v>
      </c>
      <c r="F285" s="4"/>
      <c r="G285" s="4"/>
      <c r="H285" s="26" t="s">
        <v>1861</v>
      </c>
      <c r="I285" s="4"/>
      <c r="J285" s="6">
        <v>0</v>
      </c>
      <c r="K285" s="29" t="s">
        <v>1767</v>
      </c>
      <c r="L285" s="4"/>
      <c r="M285" s="3"/>
    </row>
    <row r="286" spans="1:13" x14ac:dyDescent="0.3">
      <c r="A286" s="3">
        <v>103</v>
      </c>
      <c r="B286" s="3">
        <v>103</v>
      </c>
      <c r="C286" s="4">
        <v>1558.845</v>
      </c>
      <c r="D286" s="4">
        <v>1558.614</v>
      </c>
      <c r="E286" s="4">
        <v>1559.076</v>
      </c>
      <c r="F286" s="4"/>
      <c r="G286" s="4"/>
      <c r="H286" s="25" t="s">
        <v>1862</v>
      </c>
      <c r="I286" s="4"/>
      <c r="J286" s="6">
        <v>0</v>
      </c>
      <c r="K286" s="30" t="s">
        <v>1767</v>
      </c>
      <c r="L286" s="4"/>
      <c r="M286" s="3"/>
    </row>
    <row r="287" spans="1:13" x14ac:dyDescent="0.3">
      <c r="A287" s="3">
        <v>103</v>
      </c>
      <c r="B287" s="3">
        <v>103</v>
      </c>
      <c r="C287" s="4">
        <v>1559.421</v>
      </c>
      <c r="D287" s="4">
        <v>1559.076</v>
      </c>
      <c r="E287" s="4">
        <v>1559.7650000000001</v>
      </c>
      <c r="F287" s="4"/>
      <c r="G287" s="4"/>
      <c r="H287" s="26" t="s">
        <v>1863</v>
      </c>
      <c r="I287" s="4"/>
      <c r="J287" s="6">
        <v>0</v>
      </c>
      <c r="K287" s="29" t="s">
        <v>1767</v>
      </c>
      <c r="L287" s="4"/>
      <c r="M287" s="3"/>
    </row>
    <row r="288" spans="1:13" x14ac:dyDescent="0.3">
      <c r="A288" s="3">
        <v>103</v>
      </c>
      <c r="B288" s="3">
        <v>103</v>
      </c>
      <c r="C288" s="4">
        <v>1560.0530000000001</v>
      </c>
      <c r="D288" s="4">
        <v>1559.7650000000001</v>
      </c>
      <c r="E288" s="4">
        <v>1560.3409999999999</v>
      </c>
      <c r="F288" s="4"/>
      <c r="G288" s="4"/>
      <c r="H288" s="25" t="s">
        <v>1864</v>
      </c>
      <c r="I288" s="4"/>
      <c r="J288" s="6">
        <v>0</v>
      </c>
      <c r="K288" s="30" t="s">
        <v>1767</v>
      </c>
      <c r="L288" s="4"/>
      <c r="M288" s="3"/>
    </row>
    <row r="289" spans="1:13" x14ac:dyDescent="0.3">
      <c r="A289" s="3">
        <v>103</v>
      </c>
      <c r="B289" s="3">
        <v>103</v>
      </c>
      <c r="C289" s="4">
        <v>1560.779</v>
      </c>
      <c r="D289" s="4">
        <v>1560.3409999999999</v>
      </c>
      <c r="E289" s="4">
        <v>1561.2159999999999</v>
      </c>
      <c r="F289" s="4"/>
      <c r="G289" s="4"/>
      <c r="H289" s="26" t="s">
        <v>1865</v>
      </c>
      <c r="I289" s="4"/>
      <c r="J289" s="6">
        <v>0</v>
      </c>
      <c r="K289" s="29" t="s">
        <v>1767</v>
      </c>
      <c r="L289" s="4"/>
      <c r="M289" s="3"/>
    </row>
    <row r="290" spans="1:13" x14ac:dyDescent="0.3">
      <c r="A290" s="3">
        <v>103</v>
      </c>
      <c r="B290" s="3">
        <v>103</v>
      </c>
      <c r="C290" s="4">
        <v>1561.35</v>
      </c>
      <c r="D290" s="4">
        <v>1561.2159999999999</v>
      </c>
      <c r="E290" s="4">
        <v>1561.4839999999999</v>
      </c>
      <c r="F290" s="4"/>
      <c r="G290" s="4"/>
      <c r="H290" s="25" t="s">
        <v>1866</v>
      </c>
      <c r="I290" s="4"/>
      <c r="J290" s="6">
        <v>0</v>
      </c>
      <c r="K290" s="30" t="s">
        <v>1767</v>
      </c>
      <c r="L290" s="4"/>
      <c r="M290" s="3"/>
    </row>
    <row r="291" spans="1:13" x14ac:dyDescent="0.3">
      <c r="A291" s="3">
        <v>103</v>
      </c>
      <c r="B291" s="3">
        <v>103</v>
      </c>
      <c r="C291" s="4">
        <v>1561.8720000000001</v>
      </c>
      <c r="D291" s="4">
        <v>1561.4839999999999</v>
      </c>
      <c r="E291" s="4">
        <v>1562.259</v>
      </c>
      <c r="F291" s="4"/>
      <c r="G291" s="4"/>
      <c r="H291" s="26" t="s">
        <v>1867</v>
      </c>
      <c r="I291" s="4"/>
      <c r="J291" s="6">
        <v>0</v>
      </c>
      <c r="K291" s="29" t="s">
        <v>1767</v>
      </c>
      <c r="L291" s="4"/>
      <c r="M291" s="3"/>
    </row>
    <row r="292" spans="1:13" x14ac:dyDescent="0.3">
      <c r="A292" s="3">
        <v>103</v>
      </c>
      <c r="B292" s="3">
        <v>103</v>
      </c>
      <c r="C292" s="4">
        <v>1562.655</v>
      </c>
      <c r="D292" s="4">
        <v>1562.259</v>
      </c>
      <c r="E292" s="4">
        <v>1563.0509999999999</v>
      </c>
      <c r="F292" s="4"/>
      <c r="G292" s="4"/>
      <c r="H292" s="25" t="s">
        <v>1868</v>
      </c>
      <c r="I292" s="4"/>
      <c r="J292" s="6">
        <v>0</v>
      </c>
      <c r="K292" s="30" t="s">
        <v>1767</v>
      </c>
      <c r="L292" s="4"/>
      <c r="M292" s="3"/>
    </row>
    <row r="293" spans="1:13" x14ac:dyDescent="0.3">
      <c r="A293" s="3">
        <v>103</v>
      </c>
      <c r="B293" s="3">
        <v>103</v>
      </c>
      <c r="C293" s="4">
        <v>1563.299</v>
      </c>
      <c r="D293" s="4">
        <v>1563.0509999999999</v>
      </c>
      <c r="E293" s="4">
        <v>1563.547</v>
      </c>
      <c r="F293" s="4"/>
      <c r="G293" s="4"/>
      <c r="H293" s="26" t="s">
        <v>1869</v>
      </c>
      <c r="I293" s="4"/>
      <c r="J293" s="6">
        <v>0</v>
      </c>
      <c r="K293" s="29" t="s">
        <v>1767</v>
      </c>
      <c r="L293" s="4"/>
      <c r="M293" s="3"/>
    </row>
    <row r="294" spans="1:13" x14ac:dyDescent="0.3">
      <c r="A294" s="3">
        <v>103</v>
      </c>
      <c r="B294" s="3">
        <v>103</v>
      </c>
      <c r="C294" s="4">
        <v>1563.81</v>
      </c>
      <c r="D294" s="4">
        <v>1563.547</v>
      </c>
      <c r="E294" s="4">
        <v>1564.0719999999999</v>
      </c>
      <c r="F294" s="4"/>
      <c r="G294" s="4"/>
      <c r="H294" s="25" t="s">
        <v>1870</v>
      </c>
      <c r="I294" s="4"/>
      <c r="J294" s="6">
        <v>0</v>
      </c>
      <c r="K294" s="30" t="s">
        <v>1767</v>
      </c>
      <c r="L294" s="4"/>
      <c r="M294" s="3"/>
    </row>
    <row r="295" spans="1:13" x14ac:dyDescent="0.3">
      <c r="A295" s="3">
        <v>103</v>
      </c>
      <c r="B295" s="3">
        <v>103</v>
      </c>
      <c r="C295" s="4">
        <v>1564.354</v>
      </c>
      <c r="D295" s="4">
        <v>1564.0719999999999</v>
      </c>
      <c r="E295" s="4">
        <v>1564.635</v>
      </c>
      <c r="F295" s="4"/>
      <c r="G295" s="4"/>
      <c r="H295" s="26" t="s">
        <v>1871</v>
      </c>
      <c r="I295" s="4"/>
      <c r="J295" s="6">
        <v>0</v>
      </c>
      <c r="K295" s="29" t="s">
        <v>1767</v>
      </c>
      <c r="L295" s="4"/>
      <c r="M295" s="3"/>
    </row>
    <row r="296" spans="1:13" x14ac:dyDescent="0.3">
      <c r="A296" s="3">
        <v>103</v>
      </c>
      <c r="B296" s="3">
        <v>103</v>
      </c>
      <c r="C296" s="4">
        <v>1564.741</v>
      </c>
      <c r="D296" s="4">
        <v>1564.635</v>
      </c>
      <c r="E296" s="4">
        <v>1564.847</v>
      </c>
      <c r="F296" s="4"/>
      <c r="G296" s="4"/>
      <c r="H296" s="25" t="s">
        <v>1872</v>
      </c>
      <c r="I296" s="4"/>
      <c r="J296" s="6">
        <v>0</v>
      </c>
      <c r="K296" s="30" t="s">
        <v>1767</v>
      </c>
      <c r="L296" s="4"/>
      <c r="M296" s="3"/>
    </row>
    <row r="297" spans="1:13" x14ac:dyDescent="0.3">
      <c r="A297" s="3">
        <v>103</v>
      </c>
      <c r="B297" s="3">
        <v>103</v>
      </c>
      <c r="C297" s="4">
        <v>1565.259</v>
      </c>
      <c r="D297" s="4">
        <v>1564.847</v>
      </c>
      <c r="E297" s="4">
        <v>1565.67</v>
      </c>
      <c r="F297" s="4"/>
      <c r="G297" s="4"/>
      <c r="H297" s="26" t="s">
        <v>1873</v>
      </c>
      <c r="I297" s="4"/>
      <c r="J297" s="6">
        <v>0</v>
      </c>
      <c r="K297" s="29" t="s">
        <v>1767</v>
      </c>
      <c r="L297" s="4"/>
      <c r="M297" s="3"/>
    </row>
    <row r="298" spans="1:13" x14ac:dyDescent="0.3">
      <c r="A298" s="3">
        <v>103</v>
      </c>
      <c r="B298" s="3">
        <v>103</v>
      </c>
      <c r="C298" s="4">
        <v>1565.846</v>
      </c>
      <c r="D298" s="4">
        <v>1565.67</v>
      </c>
      <c r="E298" s="4">
        <v>1566.021</v>
      </c>
      <c r="F298" s="4"/>
      <c r="G298" s="4"/>
      <c r="H298" s="25" t="s">
        <v>1874</v>
      </c>
      <c r="I298" s="4"/>
      <c r="J298" s="6">
        <v>0</v>
      </c>
      <c r="K298" s="30" t="s">
        <v>1767</v>
      </c>
      <c r="L298" s="4"/>
      <c r="M298" s="3"/>
    </row>
    <row r="299" spans="1:13" x14ac:dyDescent="0.3">
      <c r="A299" s="3">
        <v>103</v>
      </c>
      <c r="B299" s="3">
        <v>103</v>
      </c>
      <c r="C299" s="4">
        <v>1566.2329999999999</v>
      </c>
      <c r="D299" s="4">
        <v>1566.021</v>
      </c>
      <c r="E299" s="4">
        <v>1566.4449999999999</v>
      </c>
      <c r="F299" s="4"/>
      <c r="G299" s="4"/>
      <c r="H299" s="26" t="s">
        <v>1875</v>
      </c>
      <c r="I299" s="4"/>
      <c r="J299" s="6">
        <v>0</v>
      </c>
      <c r="K299" s="29" t="s">
        <v>1767</v>
      </c>
      <c r="L299" s="4"/>
      <c r="M299" s="3"/>
    </row>
    <row r="300" spans="1:13" x14ac:dyDescent="0.3">
      <c r="A300" s="3">
        <v>103</v>
      </c>
      <c r="B300" s="3">
        <v>103</v>
      </c>
      <c r="C300" s="4">
        <v>1566.462</v>
      </c>
      <c r="D300" s="4">
        <v>1566.4449999999999</v>
      </c>
      <c r="E300" s="4">
        <v>1566.479</v>
      </c>
      <c r="F300" s="4"/>
      <c r="G300" s="4"/>
      <c r="H300" s="25" t="s">
        <v>1876</v>
      </c>
      <c r="I300" s="4"/>
      <c r="J300" s="6">
        <v>0</v>
      </c>
      <c r="K300" s="30" t="s">
        <v>1767</v>
      </c>
      <c r="L300" s="4"/>
      <c r="M300" s="3"/>
    </row>
    <row r="301" spans="1:13" x14ac:dyDescent="0.3">
      <c r="A301" s="3">
        <v>103</v>
      </c>
      <c r="B301" s="3">
        <v>103</v>
      </c>
      <c r="C301" s="4">
        <v>1567.0319999999999</v>
      </c>
      <c r="D301" s="4">
        <v>1566.479</v>
      </c>
      <c r="E301" s="4">
        <v>1567.585</v>
      </c>
      <c r="F301" s="4"/>
      <c r="G301" s="4"/>
      <c r="H301" s="26" t="s">
        <v>1877</v>
      </c>
      <c r="I301" s="4"/>
      <c r="J301" s="6">
        <v>0</v>
      </c>
      <c r="K301" s="29" t="s">
        <v>1767</v>
      </c>
      <c r="L301" s="4"/>
      <c r="M301" s="3"/>
    </row>
    <row r="302" spans="1:13" x14ac:dyDescent="0.3">
      <c r="A302" s="3">
        <v>103</v>
      </c>
      <c r="B302" s="3">
        <v>103</v>
      </c>
      <c r="C302" s="4">
        <v>1567.7059999999999</v>
      </c>
      <c r="D302" s="4">
        <v>1567.585</v>
      </c>
      <c r="E302" s="4">
        <v>1567.827</v>
      </c>
      <c r="F302" s="4"/>
      <c r="G302" s="4"/>
      <c r="H302" s="25" t="s">
        <v>1878</v>
      </c>
      <c r="I302" s="4"/>
      <c r="J302" s="6">
        <v>0</v>
      </c>
      <c r="K302" s="30" t="s">
        <v>1767</v>
      </c>
      <c r="L302" s="4"/>
      <c r="M302" s="3"/>
    </row>
    <row r="303" spans="1:13" x14ac:dyDescent="0.3">
      <c r="A303" s="3">
        <v>103</v>
      </c>
      <c r="B303" s="3">
        <v>103</v>
      </c>
      <c r="C303" s="4">
        <v>1568.396</v>
      </c>
      <c r="D303" s="4">
        <v>1567.827</v>
      </c>
      <c r="E303" s="4">
        <v>1568.9649999999999</v>
      </c>
      <c r="F303" s="4"/>
      <c r="G303" s="4"/>
      <c r="H303" s="26" t="s">
        <v>1879</v>
      </c>
      <c r="I303" s="4"/>
      <c r="J303" s="6">
        <v>0</v>
      </c>
      <c r="K303" s="29" t="s">
        <v>1767</v>
      </c>
      <c r="L303" s="4"/>
      <c r="M303" s="3"/>
    </row>
    <row r="304" spans="1:13" x14ac:dyDescent="0.3">
      <c r="A304" s="3">
        <v>103</v>
      </c>
      <c r="B304" s="3">
        <v>103</v>
      </c>
      <c r="C304" s="4">
        <v>1568.9870000000001</v>
      </c>
      <c r="D304" s="4">
        <v>1568.9649999999999</v>
      </c>
      <c r="E304" s="4">
        <v>1569.009</v>
      </c>
      <c r="F304" s="4"/>
      <c r="G304" s="4"/>
      <c r="H304" s="25" t="s">
        <v>1880</v>
      </c>
      <c r="I304" s="4"/>
      <c r="J304" s="6">
        <v>0</v>
      </c>
      <c r="K304" s="30" t="s">
        <v>1767</v>
      </c>
      <c r="L304" s="4"/>
      <c r="M304" s="3"/>
    </row>
    <row r="305" spans="1:13" x14ac:dyDescent="0.3">
      <c r="A305" s="3">
        <v>103</v>
      </c>
      <c r="B305" s="3">
        <v>103</v>
      </c>
      <c r="C305" s="4">
        <v>1569.45</v>
      </c>
      <c r="D305" s="4">
        <v>1569.009</v>
      </c>
      <c r="E305" s="4">
        <v>1569.89</v>
      </c>
      <c r="F305" s="4"/>
      <c r="G305" s="4"/>
      <c r="H305" s="26" t="s">
        <v>1881</v>
      </c>
      <c r="I305" s="4"/>
      <c r="J305" s="6">
        <v>0</v>
      </c>
      <c r="K305" s="29" t="s">
        <v>1767</v>
      </c>
      <c r="L305" s="4"/>
      <c r="M305" s="3"/>
    </row>
    <row r="306" spans="1:13" x14ac:dyDescent="0.3">
      <c r="A306" s="3">
        <v>103</v>
      </c>
      <c r="B306" s="3">
        <v>103</v>
      </c>
      <c r="C306" s="4">
        <v>1569.9690000000001</v>
      </c>
      <c r="D306" s="4">
        <v>1569.89</v>
      </c>
      <c r="E306" s="4">
        <v>1570.047</v>
      </c>
      <c r="F306" s="4"/>
      <c r="G306" s="4"/>
      <c r="H306" s="25" t="s">
        <v>1882</v>
      </c>
      <c r="I306" s="4"/>
      <c r="J306" s="6">
        <v>0</v>
      </c>
      <c r="K306" s="30" t="s">
        <v>1767</v>
      </c>
      <c r="L306" s="4"/>
      <c r="M306" s="3"/>
    </row>
    <row r="307" spans="1:13" x14ac:dyDescent="0.3">
      <c r="A307" s="3">
        <v>103</v>
      </c>
      <c r="B307" s="3">
        <v>103</v>
      </c>
      <c r="C307" s="4">
        <v>1570.1869999999999</v>
      </c>
      <c r="D307" s="4">
        <v>1570.047</v>
      </c>
      <c r="E307" s="4">
        <v>1570.326</v>
      </c>
      <c r="F307" s="4"/>
      <c r="G307" s="4"/>
      <c r="H307" s="26" t="s">
        <v>1883</v>
      </c>
      <c r="I307" s="4"/>
      <c r="J307" s="6">
        <v>0</v>
      </c>
      <c r="K307" s="29" t="s">
        <v>1767</v>
      </c>
      <c r="L307" s="4"/>
      <c r="M307" s="3"/>
    </row>
    <row r="308" spans="1:13" x14ac:dyDescent="0.3">
      <c r="A308" s="3">
        <v>103</v>
      </c>
      <c r="B308" s="3">
        <v>103</v>
      </c>
      <c r="C308" s="4">
        <v>1570.47</v>
      </c>
      <c r="D308" s="4">
        <v>1570.326</v>
      </c>
      <c r="E308" s="4">
        <v>1570.614</v>
      </c>
      <c r="F308" s="4"/>
      <c r="G308" s="4"/>
      <c r="H308" s="25" t="s">
        <v>1884</v>
      </c>
      <c r="I308" s="4"/>
      <c r="J308" s="6">
        <v>0</v>
      </c>
      <c r="K308" s="30" t="s">
        <v>1767</v>
      </c>
      <c r="L308" s="4"/>
      <c r="M308" s="3"/>
    </row>
    <row r="309" spans="1:13" x14ac:dyDescent="0.3">
      <c r="A309" s="3">
        <v>103</v>
      </c>
      <c r="B309" s="3">
        <v>103</v>
      </c>
      <c r="C309" s="4">
        <v>1570.8230000000001</v>
      </c>
      <c r="D309" s="4">
        <v>1570.614</v>
      </c>
      <c r="E309" s="4">
        <v>1571.0319999999999</v>
      </c>
      <c r="F309" s="4"/>
      <c r="G309" s="4"/>
      <c r="H309" s="26" t="s">
        <v>1885</v>
      </c>
      <c r="I309" s="4"/>
      <c r="J309" s="6">
        <v>0</v>
      </c>
      <c r="K309" s="29" t="s">
        <v>1767</v>
      </c>
      <c r="L309" s="4"/>
      <c r="M309" s="3"/>
    </row>
    <row r="310" spans="1:13" x14ac:dyDescent="0.3">
      <c r="A310" s="3">
        <v>103</v>
      </c>
      <c r="B310" s="3">
        <v>103</v>
      </c>
      <c r="C310" s="4">
        <v>1571.049</v>
      </c>
      <c r="D310" s="4">
        <v>1571.0319999999999</v>
      </c>
      <c r="E310" s="4">
        <v>1571.0650000000001</v>
      </c>
      <c r="F310" s="4"/>
      <c r="G310" s="4"/>
      <c r="H310" s="25" t="s">
        <v>1886</v>
      </c>
      <c r="I310" s="4"/>
      <c r="J310" s="6">
        <v>0</v>
      </c>
      <c r="K310" s="30" t="s">
        <v>1767</v>
      </c>
      <c r="L310" s="4"/>
      <c r="M310" s="3"/>
    </row>
    <row r="311" spans="1:13" x14ac:dyDescent="0.3">
      <c r="A311" s="3">
        <v>103</v>
      </c>
      <c r="B311" s="3">
        <v>103</v>
      </c>
      <c r="C311" s="4">
        <v>1571.472</v>
      </c>
      <c r="D311" s="4">
        <v>1571.0650000000001</v>
      </c>
      <c r="E311" s="4">
        <v>1571.8789999999999</v>
      </c>
      <c r="F311" s="4"/>
      <c r="G311" s="4"/>
      <c r="H311" s="26" t="s">
        <v>1887</v>
      </c>
      <c r="I311" s="4"/>
      <c r="J311" s="6">
        <v>0</v>
      </c>
      <c r="K311" s="29" t="s">
        <v>1767</v>
      </c>
      <c r="L311" s="4"/>
      <c r="M311" s="3"/>
    </row>
    <row r="312" spans="1:13" x14ac:dyDescent="0.3">
      <c r="A312" s="3">
        <v>103</v>
      </c>
      <c r="B312" s="3">
        <v>103</v>
      </c>
      <c r="C312" s="4">
        <v>1571.9069999999999</v>
      </c>
      <c r="D312" s="4">
        <v>1571.8789999999999</v>
      </c>
      <c r="E312" s="4">
        <v>1571.9349999999999</v>
      </c>
      <c r="F312" s="4"/>
      <c r="G312" s="4"/>
      <c r="H312" s="25" t="s">
        <v>1888</v>
      </c>
      <c r="I312" s="4"/>
      <c r="J312" s="6">
        <v>0</v>
      </c>
      <c r="K312" s="30" t="s">
        <v>1767</v>
      </c>
      <c r="L312" s="4"/>
      <c r="M312" s="3"/>
    </row>
    <row r="313" spans="1:13" x14ac:dyDescent="0.3">
      <c r="A313" s="3">
        <v>103</v>
      </c>
      <c r="B313" s="3">
        <v>103</v>
      </c>
      <c r="C313" s="4">
        <v>1572.1279999999999</v>
      </c>
      <c r="D313" s="4">
        <v>1571.9349999999999</v>
      </c>
      <c r="E313" s="4">
        <v>1572.32</v>
      </c>
      <c r="F313" s="4"/>
      <c r="G313" s="4"/>
      <c r="H313" s="26" t="s">
        <v>1889</v>
      </c>
      <c r="I313" s="4"/>
      <c r="J313" s="6">
        <v>0</v>
      </c>
      <c r="K313" s="29" t="s">
        <v>1767</v>
      </c>
      <c r="L313" s="4"/>
      <c r="M313" s="3"/>
    </row>
    <row r="314" spans="1:13" x14ac:dyDescent="0.3">
      <c r="A314" s="3">
        <v>103</v>
      </c>
      <c r="B314" s="3">
        <v>103</v>
      </c>
      <c r="C314" s="4">
        <v>1572.3510000000001</v>
      </c>
      <c r="D314" s="4">
        <v>1572.32</v>
      </c>
      <c r="E314" s="4">
        <v>1572.3810000000001</v>
      </c>
      <c r="F314" s="4"/>
      <c r="G314" s="4"/>
      <c r="H314" s="25" t="s">
        <v>1890</v>
      </c>
      <c r="I314" s="4"/>
      <c r="J314" s="6">
        <v>0</v>
      </c>
      <c r="K314" s="30" t="s">
        <v>1767</v>
      </c>
      <c r="L314" s="4"/>
      <c r="M314" s="3"/>
    </row>
    <row r="315" spans="1:13" x14ac:dyDescent="0.3">
      <c r="A315" s="3">
        <v>103</v>
      </c>
      <c r="B315" s="3">
        <v>103</v>
      </c>
      <c r="C315" s="4">
        <v>1572.558</v>
      </c>
      <c r="D315" s="4">
        <v>1572.3810000000001</v>
      </c>
      <c r="E315" s="4">
        <v>1572.7349999999999</v>
      </c>
      <c r="F315" s="4"/>
      <c r="G315" s="4"/>
      <c r="H315" s="26" t="s">
        <v>1891</v>
      </c>
      <c r="I315" s="4"/>
      <c r="J315" s="6">
        <v>0</v>
      </c>
      <c r="K315" s="29" t="s">
        <v>1767</v>
      </c>
      <c r="L315" s="4"/>
      <c r="M315" s="3"/>
    </row>
    <row r="316" spans="1:13" x14ac:dyDescent="0.3">
      <c r="A316" s="3">
        <v>103</v>
      </c>
      <c r="B316" s="3">
        <v>103</v>
      </c>
      <c r="C316" s="4">
        <v>1572.913</v>
      </c>
      <c r="D316" s="4">
        <v>1572.7349999999999</v>
      </c>
      <c r="E316" s="4">
        <v>1573.0909999999999</v>
      </c>
      <c r="F316" s="4"/>
      <c r="G316" s="4"/>
      <c r="H316" s="25" t="s">
        <v>1892</v>
      </c>
      <c r="I316" s="4"/>
      <c r="J316" s="6">
        <v>0</v>
      </c>
      <c r="K316" s="30" t="s">
        <v>1767</v>
      </c>
      <c r="L316" s="4"/>
      <c r="M316" s="3"/>
    </row>
    <row r="317" spans="1:13" x14ac:dyDescent="0.3">
      <c r="A317" s="3">
        <v>103</v>
      </c>
      <c r="B317" s="3">
        <v>103</v>
      </c>
      <c r="C317" s="4">
        <v>1573.335</v>
      </c>
      <c r="D317" s="4">
        <v>1573.0909999999999</v>
      </c>
      <c r="E317" s="4">
        <v>1573.578</v>
      </c>
      <c r="F317" s="4"/>
      <c r="G317" s="4"/>
      <c r="H317" s="26" t="s">
        <v>1893</v>
      </c>
      <c r="I317" s="4"/>
      <c r="J317" s="6">
        <v>0</v>
      </c>
      <c r="K317" s="29" t="s">
        <v>1767</v>
      </c>
      <c r="L317" s="4"/>
      <c r="M317" s="3"/>
    </row>
    <row r="318" spans="1:13" x14ac:dyDescent="0.3">
      <c r="A318" s="3">
        <v>103</v>
      </c>
      <c r="B318" s="3">
        <v>103</v>
      </c>
      <c r="C318" s="4">
        <v>1573.6320000000001</v>
      </c>
      <c r="D318" s="4">
        <v>1573.578</v>
      </c>
      <c r="E318" s="4">
        <v>1573.6859999999999</v>
      </c>
      <c r="F318" s="4"/>
      <c r="G318" s="4"/>
      <c r="H318" s="25" t="s">
        <v>1894</v>
      </c>
      <c r="I318" s="4"/>
      <c r="J318" s="6">
        <v>0</v>
      </c>
      <c r="K318" s="30" t="s">
        <v>1767</v>
      </c>
      <c r="L318" s="4"/>
      <c r="M318" s="3"/>
    </row>
    <row r="319" spans="1:13" x14ac:dyDescent="0.3">
      <c r="A319" s="3">
        <v>103</v>
      </c>
      <c r="B319" s="3">
        <v>103</v>
      </c>
      <c r="C319" s="4">
        <v>1573.9649999999999</v>
      </c>
      <c r="D319" s="4">
        <v>1573.6859999999999</v>
      </c>
      <c r="E319" s="4">
        <v>1574.2439999999999</v>
      </c>
      <c r="F319" s="4"/>
      <c r="G319" s="4"/>
      <c r="H319" s="26" t="s">
        <v>1895</v>
      </c>
      <c r="I319" s="4"/>
      <c r="J319" s="6">
        <v>0</v>
      </c>
      <c r="K319" s="29" t="s">
        <v>1767</v>
      </c>
      <c r="L319" s="4"/>
      <c r="M319" s="3"/>
    </row>
    <row r="320" spans="1:13" x14ac:dyDescent="0.3">
      <c r="A320" s="3">
        <v>103</v>
      </c>
      <c r="B320" s="3">
        <v>103</v>
      </c>
      <c r="C320" s="4">
        <v>1574.365</v>
      </c>
      <c r="D320" s="4">
        <v>1574.2439999999999</v>
      </c>
      <c r="E320" s="4">
        <v>1574.4860000000001</v>
      </c>
      <c r="F320" s="4"/>
      <c r="G320" s="4"/>
      <c r="H320" s="25" t="s">
        <v>1896</v>
      </c>
      <c r="I320" s="4"/>
      <c r="J320" s="6">
        <v>0</v>
      </c>
      <c r="K320" s="30" t="s">
        <v>1767</v>
      </c>
      <c r="L320" s="4"/>
      <c r="M320" s="3"/>
    </row>
    <row r="321" spans="1:13" x14ac:dyDescent="0.3">
      <c r="A321" s="3">
        <v>103</v>
      </c>
      <c r="B321" s="3">
        <v>103</v>
      </c>
      <c r="C321" s="4">
        <v>1574.6690000000001</v>
      </c>
      <c r="D321" s="4">
        <v>1574.4860000000001</v>
      </c>
      <c r="E321" s="4">
        <v>1574.8520000000001</v>
      </c>
      <c r="F321" s="4"/>
      <c r="G321" s="4"/>
      <c r="H321" s="26" t="s">
        <v>1897</v>
      </c>
      <c r="I321" s="4"/>
      <c r="J321" s="6">
        <v>0</v>
      </c>
      <c r="K321" s="29" t="s">
        <v>1767</v>
      </c>
      <c r="L321" s="4"/>
      <c r="M321" s="3"/>
    </row>
    <row r="322" spans="1:13" x14ac:dyDescent="0.3">
      <c r="A322" s="3">
        <v>103</v>
      </c>
      <c r="B322" s="3">
        <v>103</v>
      </c>
      <c r="C322" s="4">
        <v>1574.9580000000001</v>
      </c>
      <c r="D322" s="4">
        <v>1574.8520000000001</v>
      </c>
      <c r="E322" s="4">
        <v>1575.0640000000001</v>
      </c>
      <c r="F322" s="4"/>
      <c r="G322" s="4"/>
      <c r="H322" s="25" t="s">
        <v>1898</v>
      </c>
      <c r="I322" s="4"/>
      <c r="J322" s="6">
        <v>0</v>
      </c>
      <c r="K322" s="30" t="s">
        <v>1767</v>
      </c>
      <c r="L322" s="4"/>
      <c r="M322" s="3"/>
    </row>
    <row r="323" spans="1:13" x14ac:dyDescent="0.3">
      <c r="A323" s="3">
        <v>103</v>
      </c>
      <c r="B323" s="3">
        <v>103</v>
      </c>
      <c r="C323" s="4">
        <v>1575.288</v>
      </c>
      <c r="D323" s="4">
        <v>1575.0640000000001</v>
      </c>
      <c r="E323" s="4">
        <v>1575.5119999999999</v>
      </c>
      <c r="F323" s="4"/>
      <c r="G323" s="4"/>
      <c r="H323" s="26" t="s">
        <v>1899</v>
      </c>
      <c r="I323" s="4"/>
      <c r="J323" s="6">
        <v>0</v>
      </c>
      <c r="K323" s="29" t="s">
        <v>1767</v>
      </c>
      <c r="L323" s="4"/>
      <c r="M323" s="3"/>
    </row>
    <row r="324" spans="1:13" x14ac:dyDescent="0.3">
      <c r="A324" s="3">
        <v>103</v>
      </c>
      <c r="B324" s="3">
        <v>103</v>
      </c>
      <c r="C324" s="4">
        <v>1575.547</v>
      </c>
      <c r="D324" s="4">
        <v>1575.5119999999999</v>
      </c>
      <c r="E324" s="4">
        <v>1575.5820000000001</v>
      </c>
      <c r="F324" s="4"/>
      <c r="G324" s="4"/>
      <c r="H324" s="25" t="s">
        <v>1900</v>
      </c>
      <c r="I324" s="4"/>
      <c r="J324" s="6">
        <v>0</v>
      </c>
      <c r="K324" s="30" t="s">
        <v>1767</v>
      </c>
      <c r="L324" s="4"/>
      <c r="M324" s="3"/>
    </row>
    <row r="325" spans="1:13" x14ac:dyDescent="0.3">
      <c r="A325" s="3">
        <v>103</v>
      </c>
      <c r="B325" s="3">
        <v>103</v>
      </c>
      <c r="C325" s="4">
        <v>1575.751</v>
      </c>
      <c r="D325" s="4">
        <v>1575.5820000000001</v>
      </c>
      <c r="E325" s="4">
        <v>1575.92</v>
      </c>
      <c r="F325" s="4"/>
      <c r="G325" s="4"/>
      <c r="H325" s="26" t="s">
        <v>1901</v>
      </c>
      <c r="I325" s="4"/>
      <c r="J325" s="6">
        <v>0</v>
      </c>
      <c r="K325" s="29" t="s">
        <v>1767</v>
      </c>
      <c r="L325" s="4"/>
      <c r="M325" s="3"/>
    </row>
    <row r="326" spans="1:13" x14ac:dyDescent="0.3">
      <c r="A326" s="3">
        <v>103</v>
      </c>
      <c r="B326" s="3">
        <v>103</v>
      </c>
      <c r="C326" s="4">
        <v>1575.952</v>
      </c>
      <c r="D326" s="4">
        <v>1575.92</v>
      </c>
      <c r="E326" s="4">
        <v>1575.9839999999999</v>
      </c>
      <c r="F326" s="4"/>
      <c r="G326" s="4"/>
      <c r="H326" s="25" t="s">
        <v>1902</v>
      </c>
      <c r="I326" s="4"/>
      <c r="J326" s="6">
        <v>0</v>
      </c>
      <c r="K326" s="30" t="s">
        <v>1767</v>
      </c>
      <c r="L326" s="4"/>
      <c r="M326" s="3"/>
    </row>
    <row r="327" spans="1:13" x14ac:dyDescent="0.3">
      <c r="A327" s="3">
        <v>103</v>
      </c>
      <c r="B327" s="3">
        <v>103</v>
      </c>
      <c r="C327" s="4">
        <v>1576.2560000000001</v>
      </c>
      <c r="D327" s="4">
        <v>1575.9839999999999</v>
      </c>
      <c r="E327" s="4">
        <v>1576.528</v>
      </c>
      <c r="F327" s="4"/>
      <c r="G327" s="4"/>
      <c r="H327" s="26" t="s">
        <v>1903</v>
      </c>
      <c r="I327" s="4"/>
      <c r="J327" s="6">
        <v>0</v>
      </c>
      <c r="K327" s="29" t="s">
        <v>1767</v>
      </c>
      <c r="L327" s="4"/>
      <c r="M327" s="3"/>
    </row>
    <row r="328" spans="1:13" x14ac:dyDescent="0.3">
      <c r="A328" s="3">
        <v>103</v>
      </c>
      <c r="B328" s="3">
        <v>103</v>
      </c>
      <c r="C328" s="4">
        <v>1576.635</v>
      </c>
      <c r="D328" s="4">
        <v>1576.528</v>
      </c>
      <c r="E328" s="4">
        <v>1576.742</v>
      </c>
      <c r="F328" s="4"/>
      <c r="G328" s="4"/>
      <c r="H328" s="25" t="s">
        <v>1904</v>
      </c>
      <c r="I328" s="4"/>
      <c r="J328" s="6">
        <v>0</v>
      </c>
      <c r="K328" s="30" t="s">
        <v>1767</v>
      </c>
      <c r="L328" s="4"/>
      <c r="M328" s="3"/>
    </row>
    <row r="329" spans="1:13" x14ac:dyDescent="0.3">
      <c r="A329" s="3">
        <v>103</v>
      </c>
      <c r="B329" s="3">
        <v>103</v>
      </c>
      <c r="C329" s="4">
        <v>1576.922</v>
      </c>
      <c r="D329" s="4">
        <v>1576.742</v>
      </c>
      <c r="E329" s="4">
        <v>1577.1010000000001</v>
      </c>
      <c r="F329" s="4"/>
      <c r="G329" s="4"/>
      <c r="H329" s="26" t="s">
        <v>1905</v>
      </c>
      <c r="I329" s="4"/>
      <c r="J329" s="6">
        <v>0</v>
      </c>
      <c r="K329" s="29" t="s">
        <v>1767</v>
      </c>
      <c r="L329" s="4"/>
      <c r="M329" s="3"/>
    </row>
    <row r="330" spans="1:13" x14ac:dyDescent="0.3">
      <c r="A330" s="3">
        <v>103</v>
      </c>
      <c r="B330" s="3">
        <v>103</v>
      </c>
      <c r="C330" s="4">
        <v>1577.36</v>
      </c>
      <c r="D330" s="4">
        <v>1577.1010000000001</v>
      </c>
      <c r="E330" s="4">
        <v>1577.6189999999999</v>
      </c>
      <c r="F330" s="4"/>
      <c r="G330" s="4"/>
      <c r="H330" s="25" t="s">
        <v>1906</v>
      </c>
      <c r="I330" s="4"/>
      <c r="J330" s="6">
        <v>0</v>
      </c>
      <c r="K330" s="30" t="s">
        <v>1767</v>
      </c>
      <c r="L330" s="4"/>
      <c r="M330" s="3"/>
    </row>
    <row r="331" spans="1:13" x14ac:dyDescent="0.3">
      <c r="A331" s="3">
        <v>103</v>
      </c>
      <c r="B331" s="3">
        <v>103</v>
      </c>
      <c r="C331" s="4">
        <v>1577.693</v>
      </c>
      <c r="D331" s="4">
        <v>1577.6189999999999</v>
      </c>
      <c r="E331" s="4">
        <v>1577.7660000000001</v>
      </c>
      <c r="F331" s="4"/>
      <c r="G331" s="4"/>
      <c r="H331" s="26" t="s">
        <v>1907</v>
      </c>
      <c r="I331" s="4"/>
      <c r="J331" s="6">
        <v>0</v>
      </c>
      <c r="K331" s="29" t="s">
        <v>1767</v>
      </c>
      <c r="L331" s="4"/>
      <c r="M331" s="3"/>
    </row>
    <row r="332" spans="1:13" x14ac:dyDescent="0.3">
      <c r="A332" s="3">
        <v>103</v>
      </c>
      <c r="B332" s="3">
        <v>103</v>
      </c>
      <c r="C332" s="4">
        <v>1578.0029999999999</v>
      </c>
      <c r="D332" s="4">
        <v>1577.7660000000001</v>
      </c>
      <c r="E332" s="4">
        <v>1578.24</v>
      </c>
      <c r="F332" s="4"/>
      <c r="G332" s="4"/>
      <c r="H332" s="25" t="s">
        <v>1908</v>
      </c>
      <c r="I332" s="4"/>
      <c r="J332" s="6">
        <v>0</v>
      </c>
      <c r="K332" s="30" t="s">
        <v>1767</v>
      </c>
      <c r="L332" s="4"/>
      <c r="M332" s="3"/>
    </row>
    <row r="333" spans="1:13" x14ac:dyDescent="0.3">
      <c r="A333" s="3">
        <v>103</v>
      </c>
      <c r="B333" s="3">
        <v>103</v>
      </c>
      <c r="C333" s="4">
        <v>1578.5650000000001</v>
      </c>
      <c r="D333" s="4">
        <v>1578.24</v>
      </c>
      <c r="E333" s="4">
        <v>1578.89</v>
      </c>
      <c r="F333" s="4"/>
      <c r="G333" s="4"/>
      <c r="H333" s="26" t="s">
        <v>1909</v>
      </c>
      <c r="I333" s="4"/>
      <c r="J333" s="6">
        <v>0</v>
      </c>
      <c r="K333" s="29" t="s">
        <v>1767</v>
      </c>
      <c r="L333" s="4"/>
      <c r="M333" s="3"/>
    </row>
    <row r="334" spans="1:13" x14ac:dyDescent="0.3">
      <c r="A334" s="3">
        <v>103</v>
      </c>
      <c r="B334" s="3">
        <v>103</v>
      </c>
      <c r="C334" s="4">
        <v>1578.9059999999999</v>
      </c>
      <c r="D334" s="4">
        <v>1578.89</v>
      </c>
      <c r="E334" s="4">
        <v>1578.922</v>
      </c>
      <c r="F334" s="4"/>
      <c r="G334" s="4"/>
      <c r="H334" s="25" t="s">
        <v>1910</v>
      </c>
      <c r="I334" s="4"/>
      <c r="J334" s="6">
        <v>0</v>
      </c>
      <c r="K334" s="30" t="s">
        <v>1767</v>
      </c>
      <c r="L334" s="4"/>
      <c r="M334" s="3"/>
    </row>
    <row r="335" spans="1:13" x14ac:dyDescent="0.3">
      <c r="A335" s="3">
        <v>103</v>
      </c>
      <c r="B335" s="3">
        <v>103</v>
      </c>
      <c r="C335" s="4">
        <v>1579.2380000000001</v>
      </c>
      <c r="D335" s="4">
        <v>1578.922</v>
      </c>
      <c r="E335" s="4">
        <v>1579.5530000000001</v>
      </c>
      <c r="F335" s="4"/>
      <c r="G335" s="4"/>
      <c r="H335" s="26" t="s">
        <v>1911</v>
      </c>
      <c r="I335" s="4"/>
      <c r="J335" s="6">
        <v>0</v>
      </c>
      <c r="K335" s="29" t="s">
        <v>1767</v>
      </c>
      <c r="L335" s="4"/>
      <c r="M335" s="3"/>
    </row>
    <row r="336" spans="1:13" x14ac:dyDescent="0.3">
      <c r="A336" s="3">
        <v>103</v>
      </c>
      <c r="B336" s="3">
        <v>103</v>
      </c>
      <c r="C336" s="4">
        <v>1579.604</v>
      </c>
      <c r="D336" s="4">
        <v>1579.5530000000001</v>
      </c>
      <c r="E336" s="4">
        <v>1579.655</v>
      </c>
      <c r="F336" s="4"/>
      <c r="G336" s="4"/>
      <c r="H336" s="25" t="s">
        <v>1912</v>
      </c>
      <c r="I336" s="4"/>
      <c r="J336" s="6">
        <v>0</v>
      </c>
      <c r="K336" s="30" t="s">
        <v>1767</v>
      </c>
      <c r="L336" s="4"/>
      <c r="M336" s="3"/>
    </row>
    <row r="337" spans="1:13" x14ac:dyDescent="0.3">
      <c r="A337" s="3">
        <v>103</v>
      </c>
      <c r="B337" s="3">
        <v>103</v>
      </c>
      <c r="C337" s="4">
        <v>1580.0319999999999</v>
      </c>
      <c r="D337" s="4">
        <v>1579.655</v>
      </c>
      <c r="E337" s="4">
        <v>1580.4090000000001</v>
      </c>
      <c r="F337" s="4"/>
      <c r="G337" s="4"/>
      <c r="H337" s="26" t="s">
        <v>1913</v>
      </c>
      <c r="I337" s="4"/>
      <c r="J337" s="6">
        <v>0</v>
      </c>
      <c r="K337" s="29" t="s">
        <v>1767</v>
      </c>
      <c r="L337" s="4"/>
      <c r="M337" s="3"/>
    </row>
    <row r="338" spans="1:13" x14ac:dyDescent="0.3">
      <c r="A338" s="3">
        <v>103</v>
      </c>
      <c r="B338" s="3">
        <v>103</v>
      </c>
      <c r="C338" s="4">
        <v>1580.586</v>
      </c>
      <c r="D338" s="4">
        <v>1580.4090000000001</v>
      </c>
      <c r="E338" s="4">
        <v>1580.7619999999999</v>
      </c>
      <c r="F338" s="4"/>
      <c r="G338" s="4"/>
      <c r="H338" s="25" t="s">
        <v>1914</v>
      </c>
      <c r="I338" s="4"/>
      <c r="J338" s="6">
        <v>0</v>
      </c>
      <c r="K338" s="30" t="s">
        <v>1767</v>
      </c>
      <c r="L338" s="4"/>
      <c r="M338" s="3"/>
    </row>
    <row r="339" spans="1:13" x14ac:dyDescent="0.3">
      <c r="A339" s="3">
        <v>103</v>
      </c>
      <c r="B339" s="3">
        <v>103</v>
      </c>
      <c r="C339" s="4">
        <v>1580.991</v>
      </c>
      <c r="D339" s="4">
        <v>1580.7619999999999</v>
      </c>
      <c r="E339" s="4">
        <v>1581.2190000000001</v>
      </c>
      <c r="F339" s="4"/>
      <c r="G339" s="4"/>
      <c r="H339" s="26" t="s">
        <v>1915</v>
      </c>
      <c r="I339" s="4"/>
      <c r="J339" s="6">
        <v>0</v>
      </c>
      <c r="K339" s="29" t="s">
        <v>1767</v>
      </c>
      <c r="L339" s="4"/>
      <c r="M339" s="3"/>
    </row>
    <row r="340" spans="1:13" x14ac:dyDescent="0.3">
      <c r="A340" s="3">
        <v>103</v>
      </c>
      <c r="B340" s="3">
        <v>103</v>
      </c>
      <c r="C340" s="4">
        <v>1581.289</v>
      </c>
      <c r="D340" s="4">
        <v>1581.2190000000001</v>
      </c>
      <c r="E340" s="4">
        <v>1581.3589999999999</v>
      </c>
      <c r="F340" s="4"/>
      <c r="G340" s="4"/>
      <c r="H340" s="25" t="s">
        <v>1916</v>
      </c>
      <c r="I340" s="4"/>
      <c r="J340" s="6">
        <v>0</v>
      </c>
      <c r="K340" s="30" t="s">
        <v>1767</v>
      </c>
      <c r="L340" s="4"/>
      <c r="M340" s="3"/>
    </row>
    <row r="341" spans="1:13" x14ac:dyDescent="0.3">
      <c r="A341" s="3">
        <v>103</v>
      </c>
      <c r="B341" s="3">
        <v>103</v>
      </c>
      <c r="C341" s="4">
        <v>1581.606</v>
      </c>
      <c r="D341" s="4">
        <v>1581.3589999999999</v>
      </c>
      <c r="E341" s="4">
        <v>1581.8520000000001</v>
      </c>
      <c r="F341" s="4"/>
      <c r="G341" s="4"/>
      <c r="H341" s="26" t="s">
        <v>1917</v>
      </c>
      <c r="I341" s="4"/>
      <c r="J341" s="6">
        <v>0</v>
      </c>
      <c r="K341" s="29" t="s">
        <v>1767</v>
      </c>
      <c r="L341" s="4"/>
      <c r="M341" s="3"/>
    </row>
    <row r="342" spans="1:13" x14ac:dyDescent="0.3">
      <c r="A342" s="3">
        <v>103</v>
      </c>
      <c r="B342" s="3">
        <v>103</v>
      </c>
      <c r="C342" s="4">
        <v>1581.925</v>
      </c>
      <c r="D342" s="4">
        <v>1581.8520000000001</v>
      </c>
      <c r="E342" s="4">
        <v>1581.9970000000001</v>
      </c>
      <c r="F342" s="4"/>
      <c r="G342" s="4"/>
      <c r="H342" s="25" t="s">
        <v>1918</v>
      </c>
      <c r="I342" s="4"/>
      <c r="J342" s="6">
        <v>0</v>
      </c>
      <c r="K342" s="30" t="s">
        <v>1767</v>
      </c>
      <c r="L342" s="4"/>
      <c r="M342" s="3"/>
    </row>
    <row r="343" spans="1:13" x14ac:dyDescent="0.3">
      <c r="A343" s="3">
        <v>103</v>
      </c>
      <c r="B343" s="3">
        <v>103</v>
      </c>
      <c r="C343" s="4">
        <v>1582.1890000000001</v>
      </c>
      <c r="D343" s="4">
        <v>1581.9970000000001</v>
      </c>
      <c r="E343" s="4">
        <v>1582.38</v>
      </c>
      <c r="F343" s="4"/>
      <c r="G343" s="4"/>
      <c r="H343" s="26" t="s">
        <v>1919</v>
      </c>
      <c r="I343" s="4"/>
      <c r="J343" s="6">
        <v>0</v>
      </c>
      <c r="K343" s="29" t="s">
        <v>1767</v>
      </c>
      <c r="L343" s="4"/>
      <c r="M343" s="3"/>
    </row>
    <row r="344" spans="1:13" x14ac:dyDescent="0.3">
      <c r="A344" s="3">
        <v>103</v>
      </c>
      <c r="B344" s="3">
        <v>103</v>
      </c>
      <c r="C344" s="4">
        <v>1582.4159999999999</v>
      </c>
      <c r="D344" s="4">
        <v>1582.38</v>
      </c>
      <c r="E344" s="4">
        <v>1582.451</v>
      </c>
      <c r="F344" s="4"/>
      <c r="G344" s="4"/>
      <c r="H344" s="25" t="s">
        <v>1920</v>
      </c>
      <c r="I344" s="4"/>
      <c r="J344" s="6">
        <v>0</v>
      </c>
      <c r="K344" s="30" t="s">
        <v>1767</v>
      </c>
      <c r="L344" s="4"/>
      <c r="M344" s="3"/>
    </row>
    <row r="345" spans="1:13" x14ac:dyDescent="0.3">
      <c r="A345" s="3">
        <v>103</v>
      </c>
      <c r="B345" s="3">
        <v>103</v>
      </c>
      <c r="C345" s="4">
        <v>1582.731</v>
      </c>
      <c r="D345" s="4">
        <v>1582.451</v>
      </c>
      <c r="E345" s="4">
        <v>1583.011</v>
      </c>
      <c r="F345" s="4"/>
      <c r="G345" s="4"/>
      <c r="H345" s="26" t="s">
        <v>1921</v>
      </c>
      <c r="I345" s="4"/>
      <c r="J345" s="6">
        <v>0</v>
      </c>
      <c r="K345" s="29" t="s">
        <v>1767</v>
      </c>
      <c r="L345" s="4"/>
      <c r="M345" s="3"/>
    </row>
    <row r="346" spans="1:13" x14ac:dyDescent="0.3">
      <c r="A346" s="3">
        <v>103</v>
      </c>
      <c r="B346" s="3">
        <v>103</v>
      </c>
      <c r="C346" s="4">
        <v>1583.1179999999999</v>
      </c>
      <c r="D346" s="4">
        <v>1583.011</v>
      </c>
      <c r="E346" s="4">
        <v>1583.2249999999999</v>
      </c>
      <c r="F346" s="4"/>
      <c r="G346" s="4"/>
      <c r="H346" s="25" t="s">
        <v>1922</v>
      </c>
      <c r="I346" s="4"/>
      <c r="J346" s="6">
        <v>0</v>
      </c>
      <c r="K346" s="30" t="s">
        <v>1767</v>
      </c>
      <c r="L346" s="4"/>
      <c r="M346" s="3"/>
    </row>
    <row r="347" spans="1:13" x14ac:dyDescent="0.3">
      <c r="A347" s="3">
        <v>103</v>
      </c>
      <c r="B347" s="3">
        <v>103</v>
      </c>
      <c r="C347" s="4">
        <v>1583.433</v>
      </c>
      <c r="D347" s="4">
        <v>1583.2249999999999</v>
      </c>
      <c r="E347" s="4">
        <v>1583.64</v>
      </c>
      <c r="F347" s="4"/>
      <c r="G347" s="4"/>
      <c r="H347" s="26" t="s">
        <v>1923</v>
      </c>
      <c r="I347" s="4"/>
      <c r="J347" s="6">
        <v>0</v>
      </c>
      <c r="K347" s="29" t="s">
        <v>1767</v>
      </c>
      <c r="L347" s="4"/>
      <c r="M347" s="3"/>
    </row>
    <row r="348" spans="1:13" x14ac:dyDescent="0.3">
      <c r="A348" s="3">
        <v>103</v>
      </c>
      <c r="B348" s="3">
        <v>103</v>
      </c>
      <c r="C348" s="4">
        <v>1583.7629999999999</v>
      </c>
      <c r="D348" s="4">
        <v>1583.64</v>
      </c>
      <c r="E348" s="4">
        <v>1583.886</v>
      </c>
      <c r="F348" s="4"/>
      <c r="G348" s="4"/>
      <c r="H348" s="25" t="s">
        <v>1924</v>
      </c>
      <c r="I348" s="4"/>
      <c r="J348" s="6">
        <v>0</v>
      </c>
      <c r="K348" s="30" t="s">
        <v>1767</v>
      </c>
      <c r="L348" s="4"/>
      <c r="M348" s="3"/>
    </row>
    <row r="349" spans="1:13" x14ac:dyDescent="0.3">
      <c r="A349" s="3">
        <v>103</v>
      </c>
      <c r="B349" s="3">
        <v>103</v>
      </c>
      <c r="C349" s="4">
        <v>1584.1659999999999</v>
      </c>
      <c r="D349" s="4">
        <v>1583.886</v>
      </c>
      <c r="E349" s="4">
        <v>1584.4449999999999</v>
      </c>
      <c r="F349" s="4"/>
      <c r="G349" s="4"/>
      <c r="H349" s="26" t="s">
        <v>1925</v>
      </c>
      <c r="I349" s="4"/>
      <c r="J349" s="6">
        <v>0</v>
      </c>
      <c r="K349" s="29" t="s">
        <v>1767</v>
      </c>
      <c r="L349" s="4"/>
      <c r="M349" s="3"/>
    </row>
    <row r="350" spans="1:13" x14ac:dyDescent="0.3">
      <c r="A350" s="3">
        <v>103</v>
      </c>
      <c r="B350" s="3">
        <v>103</v>
      </c>
      <c r="C350" s="4">
        <v>1584.5550000000001</v>
      </c>
      <c r="D350" s="4">
        <v>1584.4449999999999</v>
      </c>
      <c r="E350" s="4">
        <v>1584.665</v>
      </c>
      <c r="F350" s="4"/>
      <c r="G350" s="4"/>
      <c r="H350" s="25" t="s">
        <v>1926</v>
      </c>
      <c r="I350" s="4"/>
      <c r="J350" s="6">
        <v>0</v>
      </c>
      <c r="K350" s="30" t="s">
        <v>1767</v>
      </c>
      <c r="L350" s="4"/>
      <c r="M350" s="3"/>
    </row>
    <row r="351" spans="1:13" x14ac:dyDescent="0.3">
      <c r="A351" s="3">
        <v>103</v>
      </c>
      <c r="B351" s="3">
        <v>103</v>
      </c>
      <c r="C351" s="4">
        <v>1585.16</v>
      </c>
      <c r="D351" s="4">
        <v>1584.665</v>
      </c>
      <c r="E351" s="4">
        <v>1585.655</v>
      </c>
      <c r="F351" s="4"/>
      <c r="G351" s="4"/>
      <c r="H351" s="26" t="s">
        <v>1927</v>
      </c>
      <c r="I351" s="4"/>
      <c r="J351" s="6">
        <v>0</v>
      </c>
      <c r="K351" s="29" t="s">
        <v>1767</v>
      </c>
      <c r="L351" s="4"/>
      <c r="M351" s="3"/>
    </row>
    <row r="352" spans="1:13" x14ac:dyDescent="0.3">
      <c r="A352" s="3">
        <v>103</v>
      </c>
      <c r="B352" s="3">
        <v>103</v>
      </c>
      <c r="C352" s="4">
        <v>1585.7639999999999</v>
      </c>
      <c r="D352" s="4">
        <v>1585.655</v>
      </c>
      <c r="E352" s="4">
        <v>1585.8720000000001</v>
      </c>
      <c r="F352" s="4"/>
      <c r="G352" s="4"/>
      <c r="H352" s="25" t="s">
        <v>1928</v>
      </c>
      <c r="I352" s="4"/>
      <c r="J352" s="6">
        <v>0</v>
      </c>
      <c r="K352" s="30" t="s">
        <v>1767</v>
      </c>
      <c r="L352" s="4"/>
      <c r="M352" s="3"/>
    </row>
    <row r="353" spans="1:13" x14ac:dyDescent="0.3">
      <c r="A353" s="3">
        <v>103</v>
      </c>
      <c r="B353" s="3">
        <v>103</v>
      </c>
      <c r="C353" s="4">
        <v>1586.211</v>
      </c>
      <c r="D353" s="4">
        <v>1585.8720000000001</v>
      </c>
      <c r="E353" s="4">
        <v>1586.549</v>
      </c>
      <c r="F353" s="4"/>
      <c r="G353" s="4"/>
      <c r="H353" s="26" t="s">
        <v>1929</v>
      </c>
      <c r="I353" s="4"/>
      <c r="J353" s="6">
        <v>0</v>
      </c>
      <c r="K353" s="29" t="s">
        <v>1767</v>
      </c>
      <c r="L353" s="4"/>
      <c r="M353" s="3"/>
    </row>
    <row r="354" spans="1:13" x14ac:dyDescent="0.3">
      <c r="A354" s="3">
        <v>103</v>
      </c>
      <c r="B354" s="3">
        <v>103</v>
      </c>
      <c r="C354" s="4">
        <v>1586.5640000000001</v>
      </c>
      <c r="D354" s="4">
        <v>1586.549</v>
      </c>
      <c r="E354" s="4">
        <v>1586.579</v>
      </c>
      <c r="F354" s="4"/>
      <c r="G354" s="4"/>
      <c r="H354" s="25" t="s">
        <v>1930</v>
      </c>
      <c r="I354" s="4"/>
      <c r="J354" s="6">
        <v>0</v>
      </c>
      <c r="K354" s="30" t="s">
        <v>1767</v>
      </c>
      <c r="L354" s="4"/>
      <c r="M354" s="3"/>
    </row>
    <row r="355" spans="1:13" x14ac:dyDescent="0.3">
      <c r="A355" s="3">
        <v>103</v>
      </c>
      <c r="B355" s="3">
        <v>103</v>
      </c>
      <c r="C355" s="4">
        <v>1587.0309999999999</v>
      </c>
      <c r="D355" s="4">
        <v>1586.579</v>
      </c>
      <c r="E355" s="4">
        <v>1587.482</v>
      </c>
      <c r="F355" s="4"/>
      <c r="G355" s="4"/>
      <c r="H355" s="26" t="s">
        <v>1931</v>
      </c>
      <c r="I355" s="4"/>
      <c r="J355" s="6">
        <v>0</v>
      </c>
      <c r="K355" s="29" t="s">
        <v>1767</v>
      </c>
      <c r="L355" s="4"/>
      <c r="M355" s="3"/>
    </row>
    <row r="356" spans="1:13" x14ac:dyDescent="0.3">
      <c r="A356" s="3">
        <v>103</v>
      </c>
      <c r="B356" s="3">
        <v>103</v>
      </c>
      <c r="C356" s="4">
        <v>1587.903</v>
      </c>
      <c r="D356" s="4">
        <v>1587.482</v>
      </c>
      <c r="E356" s="4">
        <v>1588.3240000000001</v>
      </c>
      <c r="F356" s="4"/>
      <c r="G356" s="4"/>
      <c r="H356" s="25" t="s">
        <v>1932</v>
      </c>
      <c r="I356" s="4"/>
      <c r="J356" s="6">
        <v>0</v>
      </c>
      <c r="K356" s="30" t="s">
        <v>1767</v>
      </c>
      <c r="L356" s="4"/>
      <c r="M356" s="3"/>
    </row>
    <row r="357" spans="1:13" x14ac:dyDescent="0.3">
      <c r="A357" s="3">
        <v>103</v>
      </c>
      <c r="B357" s="3">
        <v>103</v>
      </c>
      <c r="C357" s="4">
        <v>1588.556</v>
      </c>
      <c r="D357" s="4">
        <v>1588.3240000000001</v>
      </c>
      <c r="E357" s="4">
        <v>1588.787</v>
      </c>
      <c r="F357" s="4"/>
      <c r="G357" s="4"/>
      <c r="H357" s="26" t="s">
        <v>1933</v>
      </c>
      <c r="I357" s="4"/>
      <c r="J357" s="6">
        <v>0</v>
      </c>
      <c r="K357" s="29" t="s">
        <v>1767</v>
      </c>
      <c r="L357" s="4"/>
      <c r="M357" s="3"/>
    </row>
    <row r="358" spans="1:13" x14ac:dyDescent="0.3">
      <c r="A358" s="3">
        <v>103</v>
      </c>
      <c r="B358" s="3">
        <v>103</v>
      </c>
      <c r="C358" s="4">
        <v>1588.8219999999999</v>
      </c>
      <c r="D358" s="4">
        <v>1588.787</v>
      </c>
      <c r="E358" s="4">
        <v>1588.856</v>
      </c>
      <c r="F358" s="4"/>
      <c r="G358" s="4"/>
      <c r="H358" s="25" t="s">
        <v>1934</v>
      </c>
      <c r="I358" s="4"/>
      <c r="J358" s="6">
        <v>0</v>
      </c>
      <c r="K358" s="30" t="s">
        <v>1767</v>
      </c>
      <c r="L358" s="4"/>
      <c r="M358" s="3"/>
    </row>
    <row r="359" spans="1:13" x14ac:dyDescent="0.3">
      <c r="A359" s="3">
        <v>103</v>
      </c>
      <c r="B359" s="3">
        <v>103</v>
      </c>
      <c r="C359" s="4">
        <v>1589.1489999999999</v>
      </c>
      <c r="D359" s="4">
        <v>1588.856</v>
      </c>
      <c r="E359" s="4">
        <v>1589.441</v>
      </c>
      <c r="F359" s="4"/>
      <c r="G359" s="4"/>
      <c r="H359" s="26" t="s">
        <v>1935</v>
      </c>
      <c r="I359" s="4"/>
      <c r="J359" s="6">
        <v>0</v>
      </c>
      <c r="K359" s="29" t="s">
        <v>1767</v>
      </c>
      <c r="L359" s="4"/>
      <c r="M359" s="3"/>
    </row>
    <row r="360" spans="1:13" x14ac:dyDescent="0.3">
      <c r="A360" s="3">
        <v>103</v>
      </c>
      <c r="B360" s="3">
        <v>103</v>
      </c>
      <c r="C360" s="4">
        <v>1589.4570000000001</v>
      </c>
      <c r="D360" s="4">
        <v>1589.441</v>
      </c>
      <c r="E360" s="4">
        <v>1589.472</v>
      </c>
      <c r="F360" s="4"/>
      <c r="G360" s="4"/>
      <c r="H360" s="25" t="s">
        <v>1936</v>
      </c>
      <c r="I360" s="4"/>
      <c r="J360" s="6">
        <v>0</v>
      </c>
      <c r="K360" s="30" t="s">
        <v>1767</v>
      </c>
      <c r="L360" s="4"/>
      <c r="M360" s="3"/>
    </row>
    <row r="361" spans="1:13" x14ac:dyDescent="0.3">
      <c r="A361" s="3">
        <v>103</v>
      </c>
      <c r="B361" s="3">
        <v>103</v>
      </c>
      <c r="C361" s="4">
        <v>1589.828</v>
      </c>
      <c r="D361" s="4">
        <v>1589.472</v>
      </c>
      <c r="E361" s="4">
        <v>1590.184</v>
      </c>
      <c r="F361" s="4"/>
      <c r="G361" s="4"/>
      <c r="H361" s="26" t="s">
        <v>1937</v>
      </c>
      <c r="I361" s="4"/>
      <c r="J361" s="6">
        <v>0</v>
      </c>
      <c r="K361" s="29" t="s">
        <v>1767</v>
      </c>
      <c r="L361" s="4"/>
      <c r="M361" s="3"/>
    </row>
    <row r="362" spans="1:13" x14ac:dyDescent="0.3">
      <c r="A362" s="3">
        <v>103</v>
      </c>
      <c r="B362" s="3">
        <v>103</v>
      </c>
      <c r="C362" s="4">
        <v>1590.201</v>
      </c>
      <c r="D362" s="4">
        <v>1590.184</v>
      </c>
      <c r="E362" s="4">
        <v>1590.2180000000001</v>
      </c>
      <c r="F362" s="4"/>
      <c r="G362" s="4"/>
      <c r="H362" s="25" t="s">
        <v>1938</v>
      </c>
      <c r="I362" s="4"/>
      <c r="J362" s="6">
        <v>0</v>
      </c>
      <c r="K362" s="30" t="s">
        <v>1767</v>
      </c>
      <c r="L362" s="4"/>
      <c r="M362" s="3"/>
    </row>
    <row r="363" spans="1:13" x14ac:dyDescent="0.3">
      <c r="A363" s="3">
        <v>103</v>
      </c>
      <c r="B363" s="3">
        <v>103</v>
      </c>
      <c r="C363" s="4">
        <v>1590.616</v>
      </c>
      <c r="D363" s="4">
        <v>1590.2180000000001</v>
      </c>
      <c r="E363" s="4">
        <v>1591.0139999999999</v>
      </c>
      <c r="F363" s="4"/>
      <c r="G363" s="4"/>
      <c r="H363" s="26" t="s">
        <v>1939</v>
      </c>
      <c r="I363" s="4"/>
      <c r="J363" s="6">
        <v>0</v>
      </c>
      <c r="K363" s="29" t="s">
        <v>1767</v>
      </c>
      <c r="L363" s="4"/>
      <c r="M363" s="3"/>
    </row>
    <row r="364" spans="1:13" x14ac:dyDescent="0.3">
      <c r="A364" s="3">
        <v>103</v>
      </c>
      <c r="B364" s="3">
        <v>103</v>
      </c>
      <c r="C364" s="4">
        <v>1591.0319999999999</v>
      </c>
      <c r="D364" s="4">
        <v>1591.0139999999999</v>
      </c>
      <c r="E364" s="4">
        <v>1591.049</v>
      </c>
      <c r="F364" s="4"/>
      <c r="G364" s="4"/>
      <c r="H364" s="25" t="s">
        <v>1940</v>
      </c>
      <c r="I364" s="4"/>
      <c r="J364" s="6">
        <v>0</v>
      </c>
      <c r="K364" s="30" t="s">
        <v>1767</v>
      </c>
      <c r="L364" s="4"/>
      <c r="M364" s="3"/>
    </row>
    <row r="365" spans="1:13" x14ac:dyDescent="0.3">
      <c r="A365" s="3">
        <v>103</v>
      </c>
      <c r="B365" s="3">
        <v>103</v>
      </c>
      <c r="C365" s="4">
        <v>1591.1869999999999</v>
      </c>
      <c r="D365" s="4">
        <v>1591.049</v>
      </c>
      <c r="E365" s="4">
        <v>1591.3240000000001</v>
      </c>
      <c r="F365" s="4"/>
      <c r="G365" s="4"/>
      <c r="H365" s="26" t="s">
        <v>1941</v>
      </c>
      <c r="I365" s="4"/>
      <c r="J365" s="6">
        <v>0</v>
      </c>
      <c r="K365" s="29" t="s">
        <v>1767</v>
      </c>
      <c r="L365" s="4"/>
      <c r="M365" s="3"/>
    </row>
    <row r="366" spans="1:13" x14ac:dyDescent="0.3">
      <c r="A366" s="3">
        <v>103</v>
      </c>
      <c r="B366" s="3">
        <v>103</v>
      </c>
      <c r="C366" s="4">
        <v>1591.34</v>
      </c>
      <c r="D366" s="4">
        <v>1591.3240000000001</v>
      </c>
      <c r="E366" s="4">
        <v>1591.355</v>
      </c>
      <c r="F366" s="4"/>
      <c r="G366" s="4"/>
      <c r="H366" s="25" t="s">
        <v>1942</v>
      </c>
      <c r="I366" s="4"/>
      <c r="J366" s="6">
        <v>0</v>
      </c>
      <c r="K366" s="30" t="s">
        <v>1767</v>
      </c>
      <c r="L366" s="4"/>
      <c r="M366" s="3"/>
    </row>
    <row r="367" spans="1:13" x14ac:dyDescent="0.3">
      <c r="A367" s="3">
        <v>103</v>
      </c>
      <c r="B367" s="3">
        <v>103</v>
      </c>
      <c r="C367" s="4">
        <v>1591.6030000000001</v>
      </c>
      <c r="D367" s="4">
        <v>1591.355</v>
      </c>
      <c r="E367" s="4">
        <v>1591.85</v>
      </c>
      <c r="F367" s="4"/>
      <c r="G367" s="4"/>
      <c r="H367" s="26" t="s">
        <v>1943</v>
      </c>
      <c r="I367" s="4"/>
      <c r="J367" s="6">
        <v>0</v>
      </c>
      <c r="K367" s="29" t="s">
        <v>1767</v>
      </c>
      <c r="L367" s="4"/>
      <c r="M367" s="3"/>
    </row>
    <row r="368" spans="1:13" x14ac:dyDescent="0.3">
      <c r="A368" s="3">
        <v>103</v>
      </c>
      <c r="B368" s="3">
        <v>103</v>
      </c>
      <c r="C368" s="4">
        <v>1591.8679999999999</v>
      </c>
      <c r="D368" s="4">
        <v>1591.85</v>
      </c>
      <c r="E368" s="4">
        <v>1591.886</v>
      </c>
      <c r="F368" s="4"/>
      <c r="G368" s="4"/>
      <c r="H368" s="25" t="s">
        <v>1944</v>
      </c>
      <c r="I368" s="4"/>
      <c r="J368" s="6">
        <v>0</v>
      </c>
      <c r="K368" s="30" t="s">
        <v>1767</v>
      </c>
      <c r="L368" s="4"/>
      <c r="M368" s="3"/>
    </row>
    <row r="369" spans="1:13" x14ac:dyDescent="0.3">
      <c r="A369" s="3">
        <v>103</v>
      </c>
      <c r="B369" s="3">
        <v>103</v>
      </c>
      <c r="C369" s="4">
        <v>1592.09</v>
      </c>
      <c r="D369" s="4">
        <v>1591.886</v>
      </c>
      <c r="E369" s="4">
        <v>1592.2929999999999</v>
      </c>
      <c r="F369" s="4"/>
      <c r="G369" s="4"/>
      <c r="H369" s="26" t="s">
        <v>1945</v>
      </c>
      <c r="I369" s="4"/>
      <c r="J369" s="6">
        <v>0</v>
      </c>
      <c r="K369" s="29" t="s">
        <v>1767</v>
      </c>
      <c r="L369" s="4"/>
      <c r="M369" s="3"/>
    </row>
    <row r="370" spans="1:13" x14ac:dyDescent="0.3">
      <c r="A370" s="3">
        <v>103</v>
      </c>
      <c r="B370" s="3">
        <v>103</v>
      </c>
      <c r="C370" s="4">
        <v>1592.309</v>
      </c>
      <c r="D370" s="4">
        <v>1592.2929999999999</v>
      </c>
      <c r="E370" s="4">
        <v>1592.3240000000001</v>
      </c>
      <c r="F370" s="4"/>
      <c r="G370" s="4"/>
      <c r="H370" s="25" t="s">
        <v>1946</v>
      </c>
      <c r="I370" s="4"/>
      <c r="J370" s="6">
        <v>0</v>
      </c>
      <c r="K370" s="30" t="s">
        <v>1767</v>
      </c>
      <c r="L370" s="4"/>
      <c r="M370" s="3"/>
    </row>
    <row r="371" spans="1:13" x14ac:dyDescent="0.3">
      <c r="A371" s="3">
        <v>103</v>
      </c>
      <c r="B371" s="3">
        <v>103</v>
      </c>
      <c r="C371" s="4">
        <v>1592.549</v>
      </c>
      <c r="D371" s="4">
        <v>1592.3240000000001</v>
      </c>
      <c r="E371" s="4">
        <v>1592.7729999999999</v>
      </c>
      <c r="F371" s="4"/>
      <c r="G371" s="4"/>
      <c r="H371" s="26" t="s">
        <v>1947</v>
      </c>
      <c r="I371" s="4"/>
      <c r="J371" s="6">
        <v>0</v>
      </c>
      <c r="K371" s="29" t="s">
        <v>1767</v>
      </c>
      <c r="L371" s="4"/>
      <c r="M371" s="3"/>
    </row>
    <row r="372" spans="1:13" x14ac:dyDescent="0.3">
      <c r="A372" s="3">
        <v>103</v>
      </c>
      <c r="B372" s="3">
        <v>103</v>
      </c>
      <c r="C372" s="4">
        <v>1592.826</v>
      </c>
      <c r="D372" s="4">
        <v>1592.7729999999999</v>
      </c>
      <c r="E372" s="4">
        <v>1592.8779999999999</v>
      </c>
      <c r="F372" s="4"/>
      <c r="G372" s="4"/>
      <c r="H372" s="25" t="s">
        <v>1948</v>
      </c>
      <c r="I372" s="4"/>
      <c r="J372" s="6">
        <v>0</v>
      </c>
      <c r="K372" s="30" t="s">
        <v>1767</v>
      </c>
      <c r="L372" s="4"/>
      <c r="M372" s="3"/>
    </row>
    <row r="373" spans="1:13" x14ac:dyDescent="0.3">
      <c r="A373" s="3">
        <v>103</v>
      </c>
      <c r="B373" s="3">
        <v>103</v>
      </c>
      <c r="C373" s="4">
        <v>1593.104</v>
      </c>
      <c r="D373" s="4">
        <v>1592.8779999999999</v>
      </c>
      <c r="E373" s="4">
        <v>1593.329</v>
      </c>
      <c r="F373" s="4"/>
      <c r="G373" s="4"/>
      <c r="H373" s="26" t="s">
        <v>1949</v>
      </c>
      <c r="I373" s="4"/>
      <c r="J373" s="6">
        <v>0</v>
      </c>
      <c r="K373" s="29" t="s">
        <v>1767</v>
      </c>
      <c r="L373" s="4"/>
      <c r="M373" s="3"/>
    </row>
    <row r="374" spans="1:13" x14ac:dyDescent="0.3">
      <c r="A374" s="3">
        <v>103</v>
      </c>
      <c r="B374" s="3">
        <v>103</v>
      </c>
      <c r="C374" s="4">
        <v>1593.354</v>
      </c>
      <c r="D374" s="4">
        <v>1593.329</v>
      </c>
      <c r="E374" s="4">
        <v>1593.3779999999999</v>
      </c>
      <c r="F374" s="4"/>
      <c r="G374" s="4"/>
      <c r="H374" s="25" t="s">
        <v>1950</v>
      </c>
      <c r="I374" s="4"/>
      <c r="J374" s="6">
        <v>0</v>
      </c>
      <c r="K374" s="30" t="s">
        <v>1767</v>
      </c>
      <c r="L374" s="4"/>
      <c r="M374" s="3"/>
    </row>
    <row r="375" spans="1:13" x14ac:dyDescent="0.3">
      <c r="A375" s="3">
        <v>103</v>
      </c>
      <c r="B375" s="3">
        <v>103</v>
      </c>
      <c r="C375" s="4">
        <v>1593.7090000000001</v>
      </c>
      <c r="D375" s="4">
        <v>1593.3779999999999</v>
      </c>
      <c r="E375" s="4">
        <v>1594.04</v>
      </c>
      <c r="F375" s="4"/>
      <c r="G375" s="4"/>
      <c r="H375" s="26" t="s">
        <v>1951</v>
      </c>
      <c r="I375" s="4"/>
      <c r="J375" s="6">
        <v>0</v>
      </c>
      <c r="K375" s="29" t="s">
        <v>1767</v>
      </c>
      <c r="L375" s="4"/>
      <c r="M375" s="3"/>
    </row>
    <row r="376" spans="1:13" x14ac:dyDescent="0.3">
      <c r="A376" s="3">
        <v>103</v>
      </c>
      <c r="B376" s="3">
        <v>103</v>
      </c>
      <c r="C376" s="4">
        <v>1594.123</v>
      </c>
      <c r="D376" s="4">
        <v>1594.04</v>
      </c>
      <c r="E376" s="4">
        <v>1594.2059999999999</v>
      </c>
      <c r="F376" s="4"/>
      <c r="G376" s="4"/>
      <c r="H376" s="25" t="s">
        <v>1952</v>
      </c>
      <c r="I376" s="4"/>
      <c r="J376" s="6">
        <v>0</v>
      </c>
      <c r="K376" s="30" t="s">
        <v>1767</v>
      </c>
      <c r="L376" s="4"/>
      <c r="M376" s="3"/>
    </row>
    <row r="377" spans="1:13" x14ac:dyDescent="0.3">
      <c r="A377" s="3">
        <v>103</v>
      </c>
      <c r="B377" s="3">
        <v>103</v>
      </c>
      <c r="C377" s="4">
        <v>1594.652</v>
      </c>
      <c r="D377" s="4">
        <v>1594.2059999999999</v>
      </c>
      <c r="E377" s="4">
        <v>1595.098</v>
      </c>
      <c r="F377" s="4"/>
      <c r="G377" s="4"/>
      <c r="H377" s="26" t="s">
        <v>1953</v>
      </c>
      <c r="I377" s="4"/>
      <c r="J377" s="6">
        <v>0</v>
      </c>
      <c r="K377" s="29" t="s">
        <v>1767</v>
      </c>
      <c r="L377" s="4"/>
      <c r="M377" s="3"/>
    </row>
    <row r="378" spans="1:13" x14ac:dyDescent="0.3">
      <c r="A378" s="3">
        <v>103</v>
      </c>
      <c r="B378" s="3">
        <v>103</v>
      </c>
      <c r="C378" s="4">
        <v>1595.1510000000001</v>
      </c>
      <c r="D378" s="4">
        <v>1595.098</v>
      </c>
      <c r="E378" s="4">
        <v>1595.203</v>
      </c>
      <c r="F378" s="4"/>
      <c r="G378" s="4"/>
      <c r="H378" s="25" t="s">
        <v>1954</v>
      </c>
      <c r="I378" s="4"/>
      <c r="J378" s="6">
        <v>0</v>
      </c>
      <c r="K378" s="30" t="s">
        <v>1767</v>
      </c>
      <c r="L378" s="4"/>
      <c r="M378" s="3"/>
    </row>
    <row r="379" spans="1:13" x14ac:dyDescent="0.3">
      <c r="A379" s="3">
        <v>103</v>
      </c>
      <c r="B379" s="3">
        <v>103</v>
      </c>
      <c r="C379" s="4">
        <v>1595.3889999999999</v>
      </c>
      <c r="D379" s="4">
        <v>1595.203</v>
      </c>
      <c r="E379" s="4">
        <v>1595.5740000000001</v>
      </c>
      <c r="F379" s="4"/>
      <c r="G379" s="4"/>
      <c r="H379" s="26" t="s">
        <v>1955</v>
      </c>
      <c r="I379" s="4"/>
      <c r="J379" s="6">
        <v>0</v>
      </c>
      <c r="K379" s="29" t="s">
        <v>1767</v>
      </c>
      <c r="L379" s="4"/>
      <c r="M379" s="3"/>
    </row>
    <row r="380" spans="1:13" x14ac:dyDescent="0.3">
      <c r="A380" s="3">
        <v>103</v>
      </c>
      <c r="B380" s="3">
        <v>103</v>
      </c>
      <c r="C380" s="4">
        <v>1595.6590000000001</v>
      </c>
      <c r="D380" s="4">
        <v>1595.5740000000001</v>
      </c>
      <c r="E380" s="4">
        <v>1595.7439999999999</v>
      </c>
      <c r="F380" s="4"/>
      <c r="G380" s="4"/>
      <c r="H380" s="25" t="s">
        <v>1956</v>
      </c>
      <c r="I380" s="4"/>
      <c r="J380" s="6">
        <v>0</v>
      </c>
      <c r="K380" s="30" t="s">
        <v>1767</v>
      </c>
      <c r="L380" s="4"/>
      <c r="M380" s="3"/>
    </row>
    <row r="381" spans="1:13" x14ac:dyDescent="0.3">
      <c r="A381" s="3">
        <v>103</v>
      </c>
      <c r="B381" s="3">
        <v>103</v>
      </c>
      <c r="C381" s="4">
        <v>1595.979</v>
      </c>
      <c r="D381" s="4">
        <v>1595.7439999999999</v>
      </c>
      <c r="E381" s="4">
        <v>1596.2139999999999</v>
      </c>
      <c r="F381" s="4"/>
      <c r="G381" s="4"/>
      <c r="H381" s="26" t="s">
        <v>1957</v>
      </c>
      <c r="I381" s="4"/>
      <c r="J381" s="6">
        <v>0</v>
      </c>
      <c r="K381" s="29" t="s">
        <v>1767</v>
      </c>
      <c r="L381" s="4"/>
      <c r="M381" s="3"/>
    </row>
    <row r="382" spans="1:13" x14ac:dyDescent="0.3">
      <c r="A382" s="3">
        <v>103</v>
      </c>
      <c r="B382" s="3">
        <v>103</v>
      </c>
      <c r="C382" s="4">
        <v>1596.261</v>
      </c>
      <c r="D382" s="4">
        <v>1596.2139999999999</v>
      </c>
      <c r="E382" s="4">
        <v>1596.307</v>
      </c>
      <c r="F382" s="4"/>
      <c r="G382" s="4"/>
      <c r="H382" s="25" t="s">
        <v>1958</v>
      </c>
      <c r="I382" s="4"/>
      <c r="J382" s="6">
        <v>0</v>
      </c>
      <c r="K382" s="30" t="s">
        <v>1767</v>
      </c>
      <c r="L382" s="4"/>
      <c r="M382" s="3"/>
    </row>
    <row r="383" spans="1:13" x14ac:dyDescent="0.3">
      <c r="A383" s="3">
        <v>103</v>
      </c>
      <c r="B383" s="3">
        <v>103</v>
      </c>
      <c r="C383" s="4">
        <v>1596.4549999999999</v>
      </c>
      <c r="D383" s="4">
        <v>1596.307</v>
      </c>
      <c r="E383" s="4">
        <v>1596.6020000000001</v>
      </c>
      <c r="F383" s="4"/>
      <c r="G383" s="4"/>
      <c r="H383" s="26" t="s">
        <v>1959</v>
      </c>
      <c r="I383" s="4"/>
      <c r="J383" s="6">
        <v>0</v>
      </c>
      <c r="K383" s="29" t="s">
        <v>1767</v>
      </c>
      <c r="L383" s="4"/>
      <c r="M383" s="3"/>
    </row>
    <row r="384" spans="1:13" x14ac:dyDescent="0.3">
      <c r="A384" s="3">
        <v>103</v>
      </c>
      <c r="B384" s="3">
        <v>103</v>
      </c>
      <c r="C384" s="4">
        <v>1596.6279999999999</v>
      </c>
      <c r="D384" s="4">
        <v>1596.6020000000001</v>
      </c>
      <c r="E384" s="4">
        <v>1596.653</v>
      </c>
      <c r="F384" s="4"/>
      <c r="G384" s="4"/>
      <c r="H384" s="25" t="s">
        <v>1960</v>
      </c>
      <c r="I384" s="4"/>
      <c r="J384" s="6">
        <v>0</v>
      </c>
      <c r="K384" s="30" t="s">
        <v>1767</v>
      </c>
      <c r="L384" s="4"/>
      <c r="M384" s="3"/>
    </row>
    <row r="385" spans="1:13" x14ac:dyDescent="0.3">
      <c r="A385" s="3">
        <v>103</v>
      </c>
      <c r="B385" s="3">
        <v>103</v>
      </c>
      <c r="C385" s="4">
        <v>1597.002</v>
      </c>
      <c r="D385" s="4">
        <v>1596.653</v>
      </c>
      <c r="E385" s="4">
        <v>1597.3510000000001</v>
      </c>
      <c r="F385" s="4"/>
      <c r="G385" s="4"/>
      <c r="H385" s="26" t="s">
        <v>1961</v>
      </c>
      <c r="I385" s="4"/>
      <c r="J385" s="6">
        <v>0</v>
      </c>
      <c r="K385" s="29" t="s">
        <v>1767</v>
      </c>
      <c r="L385" s="4"/>
      <c r="M385" s="3"/>
    </row>
    <row r="386" spans="1:13" x14ac:dyDescent="0.3">
      <c r="A386" s="3">
        <v>103</v>
      </c>
      <c r="B386" s="3">
        <v>103</v>
      </c>
      <c r="C386" s="4">
        <v>1597.527</v>
      </c>
      <c r="D386" s="4">
        <v>1597.3510000000001</v>
      </c>
      <c r="E386" s="4">
        <v>1597.702</v>
      </c>
      <c r="F386" s="4"/>
      <c r="G386" s="4"/>
      <c r="H386" s="25" t="s">
        <v>1962</v>
      </c>
      <c r="I386" s="4"/>
      <c r="J386" s="6">
        <v>0</v>
      </c>
      <c r="K386" s="30" t="s">
        <v>1767</v>
      </c>
      <c r="L386" s="4"/>
      <c r="M386" s="3"/>
    </row>
    <row r="387" spans="1:13" x14ac:dyDescent="0.3">
      <c r="A387" s="3">
        <v>103</v>
      </c>
      <c r="B387" s="3">
        <v>103</v>
      </c>
      <c r="C387" s="4">
        <v>1597.9090000000001</v>
      </c>
      <c r="D387" s="4">
        <v>1597.702</v>
      </c>
      <c r="E387" s="4">
        <v>1598.115</v>
      </c>
      <c r="F387" s="4"/>
      <c r="G387" s="4"/>
      <c r="H387" s="26" t="s">
        <v>1963</v>
      </c>
      <c r="I387" s="4"/>
      <c r="J387" s="6">
        <v>0</v>
      </c>
      <c r="K387" s="29" t="s">
        <v>1767</v>
      </c>
      <c r="L387" s="4"/>
      <c r="M387" s="3"/>
    </row>
    <row r="388" spans="1:13" x14ac:dyDescent="0.3">
      <c r="A388" s="3">
        <v>103</v>
      </c>
      <c r="B388" s="3">
        <v>103</v>
      </c>
      <c r="C388" s="4">
        <v>1598.346</v>
      </c>
      <c r="D388" s="4">
        <v>1598.115</v>
      </c>
      <c r="E388" s="4">
        <v>1598.577</v>
      </c>
      <c r="F388" s="4"/>
      <c r="G388" s="4"/>
      <c r="H388" s="25" t="s">
        <v>1964</v>
      </c>
      <c r="I388" s="4"/>
      <c r="J388" s="6">
        <v>0</v>
      </c>
      <c r="K388" s="30" t="s">
        <v>1767</v>
      </c>
      <c r="L388" s="4"/>
      <c r="M388" s="3"/>
    </row>
    <row r="389" spans="1:13" x14ac:dyDescent="0.3">
      <c r="A389" s="3">
        <v>103</v>
      </c>
      <c r="B389" s="3">
        <v>103</v>
      </c>
      <c r="C389" s="4">
        <v>1598.721</v>
      </c>
      <c r="D389" s="4">
        <v>1598.577</v>
      </c>
      <c r="E389" s="4">
        <v>1598.865</v>
      </c>
      <c r="F389" s="4"/>
      <c r="G389" s="4"/>
      <c r="H389" s="26" t="s">
        <v>1965</v>
      </c>
      <c r="I389" s="4"/>
      <c r="J389" s="6">
        <v>0</v>
      </c>
      <c r="K389" s="29" t="s">
        <v>1767</v>
      </c>
      <c r="L389" s="4"/>
      <c r="M389" s="3"/>
    </row>
    <row r="390" spans="1:13" x14ac:dyDescent="0.3">
      <c r="A390" s="3">
        <v>103</v>
      </c>
      <c r="B390" s="3">
        <v>103</v>
      </c>
      <c r="C390" s="4">
        <v>1599.0070000000001</v>
      </c>
      <c r="D390" s="4">
        <v>1598.865</v>
      </c>
      <c r="E390" s="4">
        <v>1599.1489999999999</v>
      </c>
      <c r="F390" s="4"/>
      <c r="G390" s="4"/>
      <c r="H390" s="25" t="s">
        <v>1966</v>
      </c>
      <c r="I390" s="4"/>
      <c r="J390" s="6">
        <v>0</v>
      </c>
      <c r="K390" s="30" t="s">
        <v>1767</v>
      </c>
      <c r="L390" s="4"/>
      <c r="M390" s="3"/>
    </row>
    <row r="391" spans="1:13" x14ac:dyDescent="0.3">
      <c r="A391" s="3">
        <v>103</v>
      </c>
      <c r="B391" s="3">
        <v>103</v>
      </c>
      <c r="C391" s="4">
        <v>1599.3109999999999</v>
      </c>
      <c r="D391" s="4">
        <v>1599.1489999999999</v>
      </c>
      <c r="E391" s="4">
        <v>1599.473</v>
      </c>
      <c r="F391" s="4"/>
      <c r="G391" s="4"/>
      <c r="H391" s="26" t="s">
        <v>1967</v>
      </c>
      <c r="I391" s="4"/>
      <c r="J391" s="6">
        <v>0</v>
      </c>
      <c r="K391" s="29" t="s">
        <v>1767</v>
      </c>
      <c r="L391" s="4"/>
      <c r="M391" s="3"/>
    </row>
    <row r="392" spans="1:13" x14ac:dyDescent="0.3">
      <c r="A392" s="3">
        <v>103</v>
      </c>
      <c r="B392" s="3">
        <v>103</v>
      </c>
      <c r="C392" s="4">
        <v>1599.5820000000001</v>
      </c>
      <c r="D392" s="4">
        <v>1599.473</v>
      </c>
      <c r="E392" s="4">
        <v>1599.69</v>
      </c>
      <c r="F392" s="4"/>
      <c r="G392" s="4"/>
      <c r="H392" s="25" t="s">
        <v>1968</v>
      </c>
      <c r="I392" s="4"/>
      <c r="J392" s="6">
        <v>0</v>
      </c>
      <c r="K392" s="30" t="s">
        <v>1767</v>
      </c>
      <c r="L392" s="4"/>
      <c r="M392" s="3"/>
    </row>
    <row r="393" spans="1:13" x14ac:dyDescent="0.3">
      <c r="A393" s="3">
        <v>103</v>
      </c>
      <c r="B393" s="3">
        <v>103</v>
      </c>
      <c r="C393" s="4">
        <v>1600.0360000000001</v>
      </c>
      <c r="D393" s="4">
        <v>1599.69</v>
      </c>
      <c r="E393" s="4">
        <v>1600.3810000000001</v>
      </c>
      <c r="F393" s="4"/>
      <c r="G393" s="4"/>
      <c r="H393" s="26" t="s">
        <v>1969</v>
      </c>
      <c r="I393" s="4"/>
      <c r="J393" s="6">
        <v>0</v>
      </c>
      <c r="K393" s="29" t="s">
        <v>1767</v>
      </c>
      <c r="L393" s="4"/>
      <c r="M393" s="3"/>
    </row>
    <row r="394" spans="1:13" x14ac:dyDescent="0.3">
      <c r="A394" s="3">
        <v>103</v>
      </c>
      <c r="B394" s="3">
        <v>103</v>
      </c>
      <c r="C394" s="4">
        <v>1600.5909999999999</v>
      </c>
      <c r="D394" s="4">
        <v>1600.3810000000001</v>
      </c>
      <c r="E394" s="4">
        <v>1600.8009999999999</v>
      </c>
      <c r="F394" s="4"/>
      <c r="G394" s="4"/>
      <c r="H394" s="25" t="s">
        <v>1970</v>
      </c>
      <c r="I394" s="4"/>
      <c r="J394" s="6">
        <v>0</v>
      </c>
      <c r="K394" s="30" t="s">
        <v>1767</v>
      </c>
      <c r="L394" s="4"/>
      <c r="M394" s="3"/>
    </row>
    <row r="395" spans="1:13" x14ac:dyDescent="0.3">
      <c r="A395" s="3">
        <v>103</v>
      </c>
      <c r="B395" s="3">
        <v>103</v>
      </c>
      <c r="C395" s="4">
        <v>1600.9580000000001</v>
      </c>
      <c r="D395" s="4">
        <v>1600.8009999999999</v>
      </c>
      <c r="E395" s="4">
        <v>1601.115</v>
      </c>
      <c r="F395" s="4"/>
      <c r="G395" s="4"/>
      <c r="H395" s="26" t="s">
        <v>1971</v>
      </c>
      <c r="I395" s="4"/>
      <c r="J395" s="6">
        <v>0</v>
      </c>
      <c r="K395" s="29" t="s">
        <v>1767</v>
      </c>
      <c r="L395" s="4"/>
      <c r="M395" s="3"/>
    </row>
    <row r="396" spans="1:13" x14ac:dyDescent="0.3">
      <c r="A396" s="3">
        <v>103</v>
      </c>
      <c r="B396" s="3">
        <v>103</v>
      </c>
      <c r="C396" s="4">
        <v>1601.13</v>
      </c>
      <c r="D396" s="4">
        <v>1601.115</v>
      </c>
      <c r="E396" s="4">
        <v>1601.144</v>
      </c>
      <c r="F396" s="4"/>
      <c r="G396" s="4"/>
      <c r="H396" s="25" t="s">
        <v>1972</v>
      </c>
      <c r="I396" s="4"/>
      <c r="J396" s="6">
        <v>0</v>
      </c>
      <c r="K396" s="30" t="s">
        <v>1767</v>
      </c>
      <c r="L396" s="4"/>
      <c r="M396" s="3"/>
    </row>
    <row r="397" spans="1:13" x14ac:dyDescent="0.3">
      <c r="A397" s="3">
        <v>103</v>
      </c>
      <c r="B397" s="3">
        <v>103</v>
      </c>
      <c r="C397" s="4">
        <v>1601.499</v>
      </c>
      <c r="D397" s="4">
        <v>1601.144</v>
      </c>
      <c r="E397" s="4">
        <v>1601.8530000000001</v>
      </c>
      <c r="F397" s="4"/>
      <c r="G397" s="4"/>
      <c r="H397" s="26" t="s">
        <v>1973</v>
      </c>
      <c r="I397" s="4"/>
      <c r="J397" s="6">
        <v>0</v>
      </c>
      <c r="K397" s="29" t="s">
        <v>1767</v>
      </c>
      <c r="L397" s="4"/>
      <c r="M397" s="3"/>
    </row>
    <row r="398" spans="1:13" x14ac:dyDescent="0.3">
      <c r="A398" s="3">
        <v>103</v>
      </c>
      <c r="B398" s="3">
        <v>103</v>
      </c>
      <c r="C398" s="4">
        <v>1601.8679999999999</v>
      </c>
      <c r="D398" s="4">
        <v>1601.8530000000001</v>
      </c>
      <c r="E398" s="4">
        <v>1601.8820000000001</v>
      </c>
      <c r="F398" s="4"/>
      <c r="G398" s="4"/>
      <c r="H398" s="25" t="s">
        <v>1974</v>
      </c>
      <c r="I398" s="4"/>
      <c r="J398" s="6">
        <v>0</v>
      </c>
      <c r="K398" s="30" t="s">
        <v>1767</v>
      </c>
      <c r="L398" s="4"/>
      <c r="M398" s="3"/>
    </row>
    <row r="399" spans="1:13" x14ac:dyDescent="0.3">
      <c r="A399" s="3">
        <v>103</v>
      </c>
      <c r="B399" s="3">
        <v>103</v>
      </c>
      <c r="C399" s="4">
        <v>1602.098</v>
      </c>
      <c r="D399" s="4">
        <v>1601.8820000000001</v>
      </c>
      <c r="E399" s="4">
        <v>1602.3140000000001</v>
      </c>
      <c r="F399" s="4"/>
      <c r="G399" s="4"/>
      <c r="H399" s="26" t="s">
        <v>1975</v>
      </c>
      <c r="I399" s="4"/>
      <c r="J399" s="6">
        <v>0</v>
      </c>
      <c r="K399" s="29" t="s">
        <v>1767</v>
      </c>
      <c r="L399" s="4"/>
      <c r="M399" s="3"/>
    </row>
    <row r="400" spans="1:13" x14ac:dyDescent="0.3">
      <c r="A400" s="3">
        <v>103</v>
      </c>
      <c r="B400" s="3">
        <v>103</v>
      </c>
      <c r="C400" s="4">
        <v>1602.329</v>
      </c>
      <c r="D400" s="4">
        <v>1602.3140000000001</v>
      </c>
      <c r="E400" s="4">
        <v>1602.3430000000001</v>
      </c>
      <c r="F400" s="4"/>
      <c r="G400" s="4"/>
      <c r="H400" s="25" t="s">
        <v>1976</v>
      </c>
      <c r="I400" s="4"/>
      <c r="J400" s="6">
        <v>0</v>
      </c>
      <c r="K400" s="30" t="s">
        <v>1767</v>
      </c>
      <c r="L400" s="4"/>
      <c r="M400" s="3"/>
    </row>
    <row r="401" spans="1:13" x14ac:dyDescent="0.3">
      <c r="A401" s="3">
        <v>103</v>
      </c>
      <c r="B401" s="3">
        <v>103</v>
      </c>
      <c r="C401" s="4">
        <v>1602.575</v>
      </c>
      <c r="D401" s="4">
        <v>1602.3430000000001</v>
      </c>
      <c r="E401" s="4">
        <v>1602.807</v>
      </c>
      <c r="F401" s="4"/>
      <c r="G401" s="4"/>
      <c r="H401" s="26" t="s">
        <v>1977</v>
      </c>
      <c r="I401" s="4"/>
      <c r="J401" s="6">
        <v>0</v>
      </c>
      <c r="K401" s="29" t="s">
        <v>1767</v>
      </c>
      <c r="L401" s="4"/>
      <c r="M401" s="3"/>
    </row>
    <row r="402" spans="1:13" x14ac:dyDescent="0.3">
      <c r="A402" s="3">
        <v>103</v>
      </c>
      <c r="B402" s="3">
        <v>103</v>
      </c>
      <c r="C402" s="4">
        <v>1602.85</v>
      </c>
      <c r="D402" s="4">
        <v>1602.807</v>
      </c>
      <c r="E402" s="4">
        <v>1602.893</v>
      </c>
      <c r="F402" s="4"/>
      <c r="G402" s="4"/>
      <c r="H402" s="25" t="s">
        <v>1978</v>
      </c>
      <c r="I402" s="4"/>
      <c r="J402" s="6">
        <v>0</v>
      </c>
      <c r="K402" s="30" t="s">
        <v>1767</v>
      </c>
      <c r="L402" s="4"/>
      <c r="M402" s="3"/>
    </row>
    <row r="403" spans="1:13" x14ac:dyDescent="0.3">
      <c r="A403" s="3">
        <v>103</v>
      </c>
      <c r="B403" s="3">
        <v>103</v>
      </c>
      <c r="C403" s="4">
        <v>1603.037</v>
      </c>
      <c r="D403" s="4">
        <v>1602.893</v>
      </c>
      <c r="E403" s="4">
        <v>1603.181</v>
      </c>
      <c r="F403" s="4"/>
      <c r="G403" s="4"/>
      <c r="H403" s="26" t="s">
        <v>1979</v>
      </c>
      <c r="I403" s="4"/>
      <c r="J403" s="6">
        <v>0</v>
      </c>
      <c r="K403" s="29" t="s">
        <v>1767</v>
      </c>
      <c r="L403" s="4"/>
      <c r="M403" s="3"/>
    </row>
    <row r="404" spans="1:13" x14ac:dyDescent="0.3">
      <c r="A404" s="3">
        <v>103</v>
      </c>
      <c r="B404" s="3">
        <v>103</v>
      </c>
      <c r="C404" s="4">
        <v>1603.2059999999999</v>
      </c>
      <c r="D404" s="4">
        <v>1603.181</v>
      </c>
      <c r="E404" s="4">
        <v>1603.23</v>
      </c>
      <c r="F404" s="4"/>
      <c r="G404" s="4"/>
      <c r="H404" s="25" t="s">
        <v>1980</v>
      </c>
      <c r="I404" s="4"/>
      <c r="J404" s="6">
        <v>0</v>
      </c>
      <c r="K404" s="30" t="s">
        <v>1767</v>
      </c>
      <c r="L404" s="4"/>
      <c r="M404" s="3"/>
    </row>
    <row r="405" spans="1:13" x14ac:dyDescent="0.3">
      <c r="A405" s="3">
        <v>103</v>
      </c>
      <c r="B405" s="3">
        <v>103</v>
      </c>
      <c r="C405" s="4">
        <v>1603.52</v>
      </c>
      <c r="D405" s="4">
        <v>1603.23</v>
      </c>
      <c r="E405" s="4">
        <v>1603.81</v>
      </c>
      <c r="F405" s="4"/>
      <c r="G405" s="4"/>
      <c r="H405" s="26" t="s">
        <v>1981</v>
      </c>
      <c r="I405" s="4"/>
      <c r="J405" s="6">
        <v>0</v>
      </c>
      <c r="K405" s="29" t="s">
        <v>1767</v>
      </c>
      <c r="L405" s="4"/>
      <c r="M405" s="3"/>
    </row>
    <row r="406" spans="1:13" x14ac:dyDescent="0.3">
      <c r="A406" s="3">
        <v>103</v>
      </c>
      <c r="B406" s="3">
        <v>103</v>
      </c>
      <c r="C406" s="4">
        <v>1603.8440000000001</v>
      </c>
      <c r="D406" s="4">
        <v>1603.81</v>
      </c>
      <c r="E406" s="4">
        <v>1603.8779999999999</v>
      </c>
      <c r="F406" s="4"/>
      <c r="G406" s="4"/>
      <c r="H406" s="25" t="s">
        <v>1982</v>
      </c>
      <c r="I406" s="4"/>
      <c r="J406" s="6">
        <v>0</v>
      </c>
      <c r="K406" s="30" t="s">
        <v>1767</v>
      </c>
      <c r="L406" s="4"/>
      <c r="M406" s="3"/>
    </row>
    <row r="407" spans="1:13" x14ac:dyDescent="0.3">
      <c r="A407" s="3">
        <v>103</v>
      </c>
      <c r="B407" s="3">
        <v>103</v>
      </c>
      <c r="C407" s="4">
        <v>1604.164</v>
      </c>
      <c r="D407" s="4">
        <v>1603.8779999999999</v>
      </c>
      <c r="E407" s="4">
        <v>1604.45</v>
      </c>
      <c r="F407" s="4"/>
      <c r="G407" s="4"/>
      <c r="H407" s="26" t="s">
        <v>1983</v>
      </c>
      <c r="I407" s="4"/>
      <c r="J407" s="6">
        <v>0</v>
      </c>
      <c r="K407" s="29" t="s">
        <v>1767</v>
      </c>
      <c r="L407" s="4"/>
      <c r="M407" s="3"/>
    </row>
    <row r="408" spans="1:13" x14ac:dyDescent="0.3">
      <c r="A408" s="3">
        <v>103</v>
      </c>
      <c r="B408" s="3">
        <v>103</v>
      </c>
      <c r="C408" s="4">
        <v>1604.473</v>
      </c>
      <c r="D408" s="4">
        <v>1604.45</v>
      </c>
      <c r="E408" s="4">
        <v>1604.4960000000001</v>
      </c>
      <c r="F408" s="4"/>
      <c r="G408" s="4"/>
      <c r="H408" s="25" t="s">
        <v>1984</v>
      </c>
      <c r="I408" s="4"/>
      <c r="J408" s="6">
        <v>0</v>
      </c>
      <c r="K408" s="30" t="s">
        <v>1767</v>
      </c>
      <c r="L408" s="4"/>
      <c r="M408" s="3"/>
    </row>
    <row r="409" spans="1:13" x14ac:dyDescent="0.3">
      <c r="A409" s="3">
        <v>103</v>
      </c>
      <c r="B409" s="3">
        <v>103</v>
      </c>
      <c r="C409" s="4">
        <v>1604.712</v>
      </c>
      <c r="D409" s="4">
        <v>1604.4960000000001</v>
      </c>
      <c r="E409" s="4">
        <v>1604.9269999999999</v>
      </c>
      <c r="F409" s="4"/>
      <c r="G409" s="4"/>
      <c r="H409" s="26" t="s">
        <v>1985</v>
      </c>
      <c r="I409" s="4"/>
      <c r="J409" s="6">
        <v>0</v>
      </c>
      <c r="K409" s="29" t="s">
        <v>1767</v>
      </c>
      <c r="L409" s="4"/>
      <c r="M409" s="3"/>
    </row>
    <row r="410" spans="1:13" x14ac:dyDescent="0.3">
      <c r="A410" s="3">
        <v>103</v>
      </c>
      <c r="B410" s="3">
        <v>103</v>
      </c>
      <c r="C410" s="4">
        <v>1604.9970000000001</v>
      </c>
      <c r="D410" s="4">
        <v>1604.9269999999999</v>
      </c>
      <c r="E410" s="4">
        <v>1605.067</v>
      </c>
      <c r="F410" s="4"/>
      <c r="G410" s="4"/>
      <c r="H410" s="25" t="s">
        <v>1986</v>
      </c>
      <c r="I410" s="4"/>
      <c r="J410" s="6">
        <v>0</v>
      </c>
      <c r="K410" s="30" t="s">
        <v>1767</v>
      </c>
      <c r="L410" s="4"/>
      <c r="M410" s="3"/>
    </row>
    <row r="411" spans="1:13" x14ac:dyDescent="0.3">
      <c r="A411" s="3">
        <v>103</v>
      </c>
      <c r="B411" s="3">
        <v>103</v>
      </c>
      <c r="C411" s="4">
        <v>1605.3979999999999</v>
      </c>
      <c r="D411" s="4">
        <v>1605.067</v>
      </c>
      <c r="E411" s="4">
        <v>1605.729</v>
      </c>
      <c r="F411" s="4"/>
      <c r="G411" s="4"/>
      <c r="H411" s="26" t="s">
        <v>1987</v>
      </c>
      <c r="I411" s="4"/>
      <c r="J411" s="6">
        <v>0</v>
      </c>
      <c r="K411" s="29" t="s">
        <v>1767</v>
      </c>
      <c r="L411" s="4"/>
      <c r="M411" s="3"/>
    </row>
    <row r="412" spans="1:13" x14ac:dyDescent="0.3">
      <c r="A412" s="3">
        <v>103</v>
      </c>
      <c r="B412" s="3">
        <v>103</v>
      </c>
      <c r="C412" s="4">
        <v>1605.7650000000001</v>
      </c>
      <c r="D412" s="4">
        <v>1605.729</v>
      </c>
      <c r="E412" s="4">
        <v>1605.8</v>
      </c>
      <c r="F412" s="4"/>
      <c r="G412" s="4"/>
      <c r="H412" s="25" t="s">
        <v>1988</v>
      </c>
      <c r="I412" s="4"/>
      <c r="J412" s="6">
        <v>0</v>
      </c>
      <c r="K412" s="30" t="s">
        <v>1767</v>
      </c>
      <c r="L412" s="4"/>
      <c r="M412" s="3"/>
    </row>
    <row r="413" spans="1:13" x14ac:dyDescent="0.3">
      <c r="A413" s="3">
        <v>103</v>
      </c>
      <c r="B413" s="3">
        <v>103</v>
      </c>
      <c r="C413" s="4">
        <v>1605.932</v>
      </c>
      <c r="D413" s="4">
        <v>1605.8</v>
      </c>
      <c r="E413" s="4">
        <v>1606.0640000000001</v>
      </c>
      <c r="F413" s="4"/>
      <c r="G413" s="4"/>
      <c r="H413" s="26" t="s">
        <v>1989</v>
      </c>
      <c r="I413" s="4"/>
      <c r="J413" s="6">
        <v>0</v>
      </c>
      <c r="K413" s="29" t="s">
        <v>1767</v>
      </c>
      <c r="L413" s="4"/>
      <c r="M413" s="3"/>
    </row>
    <row r="414" spans="1:13" x14ac:dyDescent="0.3">
      <c r="A414" s="3">
        <v>103</v>
      </c>
      <c r="B414" s="3">
        <v>103</v>
      </c>
      <c r="C414" s="4">
        <v>1606.547</v>
      </c>
      <c r="D414" s="4">
        <v>1606.0640000000001</v>
      </c>
      <c r="E414" s="4">
        <v>1607.03</v>
      </c>
      <c r="F414" s="4"/>
      <c r="G414" s="4"/>
      <c r="H414" s="25" t="s">
        <v>1990</v>
      </c>
      <c r="I414" s="4"/>
      <c r="J414" s="6">
        <v>0</v>
      </c>
      <c r="K414" s="30" t="s">
        <v>1767</v>
      </c>
      <c r="L414" s="4"/>
      <c r="M414" s="3"/>
    </row>
    <row r="415" spans="1:13" x14ac:dyDescent="0.3">
      <c r="A415" s="3">
        <v>103</v>
      </c>
      <c r="B415" s="3">
        <v>103</v>
      </c>
      <c r="C415" s="4">
        <v>1607.31</v>
      </c>
      <c r="D415" s="4">
        <v>1607.03</v>
      </c>
      <c r="E415" s="4">
        <v>1607.59</v>
      </c>
      <c r="F415" s="4"/>
      <c r="G415" s="4"/>
      <c r="H415" s="26" t="s">
        <v>1991</v>
      </c>
      <c r="I415" s="4"/>
      <c r="J415" s="6">
        <v>0</v>
      </c>
      <c r="K415" s="29" t="s">
        <v>1767</v>
      </c>
      <c r="L415" s="4"/>
      <c r="M415" s="3"/>
    </row>
    <row r="416" spans="1:13" x14ac:dyDescent="0.3">
      <c r="A416" s="3">
        <v>103</v>
      </c>
      <c r="B416" s="3">
        <v>103</v>
      </c>
      <c r="C416" s="4">
        <v>1607.7560000000001</v>
      </c>
      <c r="D416" s="4">
        <v>1607.59</v>
      </c>
      <c r="E416" s="4">
        <v>1607.921</v>
      </c>
      <c r="F416" s="4"/>
      <c r="G416" s="4"/>
      <c r="H416" s="25" t="s">
        <v>1992</v>
      </c>
      <c r="I416" s="4"/>
      <c r="J416" s="6">
        <v>0</v>
      </c>
      <c r="K416" s="30" t="s">
        <v>1767</v>
      </c>
      <c r="L416" s="4"/>
      <c r="M416" s="3"/>
    </row>
    <row r="417" spans="1:13" x14ac:dyDescent="0.3">
      <c r="A417" s="3">
        <v>103</v>
      </c>
      <c r="B417" s="3">
        <v>103</v>
      </c>
      <c r="C417" s="4">
        <v>1608.509</v>
      </c>
      <c r="D417" s="4">
        <v>1607.921</v>
      </c>
      <c r="E417" s="4">
        <v>1609.096</v>
      </c>
      <c r="F417" s="4"/>
      <c r="G417" s="4"/>
      <c r="H417" s="26" t="s">
        <v>1993</v>
      </c>
      <c r="I417" s="4"/>
      <c r="J417" s="6">
        <v>0</v>
      </c>
      <c r="K417" s="29" t="s">
        <v>1767</v>
      </c>
      <c r="L417" s="4"/>
      <c r="M417" s="3"/>
    </row>
    <row r="418" spans="1:13" x14ac:dyDescent="0.3">
      <c r="A418" s="3">
        <v>103</v>
      </c>
      <c r="B418" s="3">
        <v>103</v>
      </c>
      <c r="C418" s="4">
        <v>1609.184</v>
      </c>
      <c r="D418" s="4">
        <v>1609.096</v>
      </c>
      <c r="E418" s="4">
        <v>1609.2719999999999</v>
      </c>
      <c r="F418" s="4"/>
      <c r="G418" s="4"/>
      <c r="H418" s="25" t="s">
        <v>1994</v>
      </c>
      <c r="I418" s="4"/>
      <c r="J418" s="6">
        <v>0</v>
      </c>
      <c r="K418" s="30" t="s">
        <v>1767</v>
      </c>
      <c r="L418" s="4"/>
      <c r="M418" s="3"/>
    </row>
    <row r="419" spans="1:13" x14ac:dyDescent="0.3">
      <c r="A419" s="3">
        <v>103</v>
      </c>
      <c r="B419" s="3">
        <v>103</v>
      </c>
      <c r="C419" s="4">
        <v>1609.499</v>
      </c>
      <c r="D419" s="4">
        <v>1609.2719999999999</v>
      </c>
      <c r="E419" s="4">
        <v>1609.7249999999999</v>
      </c>
      <c r="F419" s="4"/>
      <c r="G419" s="4"/>
      <c r="H419" s="26" t="s">
        <v>1995</v>
      </c>
      <c r="I419" s="4"/>
      <c r="J419" s="6">
        <v>0</v>
      </c>
      <c r="K419" s="29" t="s">
        <v>1767</v>
      </c>
      <c r="L419" s="4"/>
      <c r="M419" s="3"/>
    </row>
    <row r="420" spans="1:13" x14ac:dyDescent="0.3">
      <c r="A420" s="3">
        <v>103</v>
      </c>
      <c r="B420" s="3">
        <v>103</v>
      </c>
      <c r="C420" s="4">
        <v>1609.789</v>
      </c>
      <c r="D420" s="4">
        <v>1609.7249999999999</v>
      </c>
      <c r="E420" s="4">
        <v>1609.8530000000001</v>
      </c>
      <c r="F420" s="4"/>
      <c r="G420" s="4"/>
      <c r="H420" s="25" t="s">
        <v>1996</v>
      </c>
      <c r="I420" s="4"/>
      <c r="J420" s="6">
        <v>0</v>
      </c>
      <c r="K420" s="30" t="s">
        <v>1767</v>
      </c>
      <c r="L420" s="4"/>
      <c r="M420" s="3"/>
    </row>
    <row r="421" spans="1:13" x14ac:dyDescent="0.3">
      <c r="A421" s="3">
        <v>103</v>
      </c>
      <c r="B421" s="3">
        <v>103</v>
      </c>
      <c r="C421" s="4">
        <v>1610.2829999999999</v>
      </c>
      <c r="D421" s="4">
        <v>1609.8530000000001</v>
      </c>
      <c r="E421" s="4">
        <v>1610.712</v>
      </c>
      <c r="F421" s="4"/>
      <c r="G421" s="4"/>
      <c r="H421" s="26" t="s">
        <v>1997</v>
      </c>
      <c r="I421" s="4"/>
      <c r="J421" s="6">
        <v>0</v>
      </c>
      <c r="K421" s="29" t="s">
        <v>1767</v>
      </c>
      <c r="L421" s="4"/>
      <c r="M421" s="3"/>
    </row>
    <row r="422" spans="1:13" x14ac:dyDescent="0.3">
      <c r="A422" s="3">
        <v>103</v>
      </c>
      <c r="B422" s="3">
        <v>103</v>
      </c>
      <c r="C422" s="4">
        <v>1610.942</v>
      </c>
      <c r="D422" s="4">
        <v>1610.712</v>
      </c>
      <c r="E422" s="4">
        <v>1611.171</v>
      </c>
      <c r="F422" s="4"/>
      <c r="G422" s="4"/>
      <c r="H422" s="25" t="s">
        <v>1998</v>
      </c>
      <c r="I422" s="4"/>
      <c r="J422" s="6">
        <v>0</v>
      </c>
      <c r="K422" s="30" t="s">
        <v>1767</v>
      </c>
      <c r="L422" s="4"/>
      <c r="M422" s="3"/>
    </row>
    <row r="423" spans="1:13" x14ac:dyDescent="0.3">
      <c r="A423" s="3">
        <v>103</v>
      </c>
      <c r="B423" s="3">
        <v>103</v>
      </c>
      <c r="C423" s="4">
        <v>1611.6030000000001</v>
      </c>
      <c r="D423" s="4">
        <v>1611.171</v>
      </c>
      <c r="E423" s="4">
        <v>1612.0350000000001</v>
      </c>
      <c r="F423" s="4"/>
      <c r="G423" s="4"/>
      <c r="H423" s="26" t="s">
        <v>1999</v>
      </c>
      <c r="I423" s="4"/>
      <c r="J423" s="6">
        <v>0</v>
      </c>
      <c r="K423" s="29" t="s">
        <v>1767</v>
      </c>
      <c r="L423" s="4"/>
      <c r="M423" s="3"/>
    </row>
    <row r="424" spans="1:13" x14ac:dyDescent="0.3">
      <c r="A424" s="3">
        <v>103</v>
      </c>
      <c r="B424" s="3">
        <v>103</v>
      </c>
      <c r="C424" s="4">
        <v>1612.164</v>
      </c>
      <c r="D424" s="4">
        <v>1612.0350000000001</v>
      </c>
      <c r="E424" s="4">
        <v>1612.2919999999999</v>
      </c>
      <c r="F424" s="4"/>
      <c r="G424" s="4"/>
      <c r="H424" s="25" t="s">
        <v>2000</v>
      </c>
      <c r="I424" s="4"/>
      <c r="J424" s="6">
        <v>0</v>
      </c>
      <c r="K424" s="30" t="s">
        <v>1767</v>
      </c>
      <c r="L424" s="4"/>
      <c r="M424" s="3"/>
    </row>
    <row r="425" spans="1:13" x14ac:dyDescent="0.3">
      <c r="A425" s="3">
        <v>103</v>
      </c>
      <c r="B425" s="3">
        <v>103</v>
      </c>
      <c r="C425" s="4">
        <v>1612.4659999999999</v>
      </c>
      <c r="D425" s="4">
        <v>1612.2919999999999</v>
      </c>
      <c r="E425" s="4">
        <v>1612.64</v>
      </c>
      <c r="F425" s="4"/>
      <c r="G425" s="4"/>
      <c r="H425" s="26" t="s">
        <v>2001</v>
      </c>
      <c r="I425" s="4"/>
      <c r="J425" s="6">
        <v>0</v>
      </c>
      <c r="K425" s="29" t="s">
        <v>1767</v>
      </c>
      <c r="L425" s="4"/>
      <c r="M425" s="3"/>
    </row>
    <row r="426" spans="1:13" x14ac:dyDescent="0.3">
      <c r="A426" s="3">
        <v>103</v>
      </c>
      <c r="B426" s="3">
        <v>103</v>
      </c>
      <c r="C426" s="4">
        <v>1612.729</v>
      </c>
      <c r="D426" s="4">
        <v>1612.64</v>
      </c>
      <c r="E426" s="4">
        <v>1612.818</v>
      </c>
      <c r="F426" s="4"/>
      <c r="G426" s="4"/>
      <c r="H426" s="25" t="s">
        <v>2002</v>
      </c>
      <c r="I426" s="4"/>
      <c r="J426" s="6">
        <v>0</v>
      </c>
      <c r="K426" s="30" t="s">
        <v>1767</v>
      </c>
      <c r="L426" s="4"/>
      <c r="M426" s="3"/>
    </row>
    <row r="427" spans="1:13" x14ac:dyDescent="0.3">
      <c r="A427" s="3">
        <v>103</v>
      </c>
      <c r="B427" s="3">
        <v>103</v>
      </c>
      <c r="C427" s="4">
        <v>1613.1410000000001</v>
      </c>
      <c r="D427" s="4">
        <v>1612.818</v>
      </c>
      <c r="E427" s="4">
        <v>1613.463</v>
      </c>
      <c r="F427" s="4"/>
      <c r="G427" s="4"/>
      <c r="H427" s="26" t="s">
        <v>2003</v>
      </c>
      <c r="I427" s="4"/>
      <c r="J427" s="6">
        <v>0</v>
      </c>
      <c r="K427" s="29" t="s">
        <v>1767</v>
      </c>
      <c r="L427" s="4"/>
      <c r="M427" s="3"/>
    </row>
    <row r="428" spans="1:13" x14ac:dyDescent="0.3">
      <c r="A428" s="3">
        <v>103</v>
      </c>
      <c r="B428" s="3">
        <v>103</v>
      </c>
      <c r="C428" s="4">
        <v>1613.913</v>
      </c>
      <c r="D428" s="4">
        <v>1613.463</v>
      </c>
      <c r="E428" s="4">
        <v>1614.3620000000001</v>
      </c>
      <c r="F428" s="4"/>
      <c r="G428" s="4"/>
      <c r="H428" s="25" t="s">
        <v>2004</v>
      </c>
      <c r="I428" s="4"/>
      <c r="J428" s="6">
        <v>0</v>
      </c>
      <c r="K428" s="30" t="s">
        <v>1767</v>
      </c>
      <c r="L428" s="4"/>
      <c r="M428" s="3"/>
    </row>
    <row r="429" spans="1:13" x14ac:dyDescent="0.3">
      <c r="A429" s="3">
        <v>103</v>
      </c>
      <c r="B429" s="3">
        <v>103</v>
      </c>
      <c r="C429" s="4">
        <v>1614.596</v>
      </c>
      <c r="D429" s="4">
        <v>1614.3620000000001</v>
      </c>
      <c r="E429" s="4">
        <v>1614.829</v>
      </c>
      <c r="F429" s="4"/>
      <c r="G429" s="4"/>
      <c r="H429" s="26" t="s">
        <v>2005</v>
      </c>
      <c r="I429" s="4"/>
      <c r="J429" s="6">
        <v>0</v>
      </c>
      <c r="K429" s="29" t="s">
        <v>1767</v>
      </c>
      <c r="L429" s="4"/>
      <c r="M429" s="3"/>
    </row>
    <row r="430" spans="1:13" x14ac:dyDescent="0.3">
      <c r="A430" s="3">
        <v>103</v>
      </c>
      <c r="B430" s="3">
        <v>103</v>
      </c>
      <c r="C430" s="4">
        <v>1614.89</v>
      </c>
      <c r="D430" s="4">
        <v>1614.829</v>
      </c>
      <c r="E430" s="4">
        <v>1614.95</v>
      </c>
      <c r="F430" s="4"/>
      <c r="G430" s="4"/>
      <c r="H430" s="25" t="s">
        <v>2006</v>
      </c>
      <c r="I430" s="4"/>
      <c r="J430" s="6">
        <v>0</v>
      </c>
      <c r="K430" s="30" t="s">
        <v>1767</v>
      </c>
      <c r="L430" s="4"/>
      <c r="M430" s="3"/>
    </row>
    <row r="431" spans="1:13" x14ac:dyDescent="0.3">
      <c r="A431" s="3">
        <v>103</v>
      </c>
      <c r="B431" s="3">
        <v>103</v>
      </c>
      <c r="C431" s="4">
        <v>1615.2070000000001</v>
      </c>
      <c r="D431" s="4">
        <v>1614.95</v>
      </c>
      <c r="E431" s="4">
        <v>1615.463</v>
      </c>
      <c r="F431" s="4"/>
      <c r="G431" s="4"/>
      <c r="H431" s="26" t="s">
        <v>2007</v>
      </c>
      <c r="I431" s="4"/>
      <c r="J431" s="6">
        <v>0</v>
      </c>
      <c r="K431" s="29" t="s">
        <v>1767</v>
      </c>
      <c r="L431" s="4"/>
      <c r="M431" s="3"/>
    </row>
    <row r="432" spans="1:13" x14ac:dyDescent="0.3">
      <c r="A432" s="3">
        <v>103</v>
      </c>
      <c r="B432" s="3">
        <v>103</v>
      </c>
      <c r="C432" s="4">
        <v>1615.7090000000001</v>
      </c>
      <c r="D432" s="4">
        <v>1615.463</v>
      </c>
      <c r="E432" s="4">
        <v>1615.9549999999999</v>
      </c>
      <c r="F432" s="4"/>
      <c r="G432" s="4"/>
      <c r="H432" s="25" t="s">
        <v>2008</v>
      </c>
      <c r="I432" s="4"/>
      <c r="J432" s="6">
        <v>0</v>
      </c>
      <c r="K432" s="30" t="s">
        <v>1767</v>
      </c>
      <c r="L432" s="4"/>
      <c r="M432" s="3"/>
    </row>
    <row r="433" spans="1:13" x14ac:dyDescent="0.3">
      <c r="A433" s="3">
        <v>103</v>
      </c>
      <c r="B433" s="3">
        <v>103</v>
      </c>
      <c r="C433" s="4">
        <v>1616.123</v>
      </c>
      <c r="D433" s="4">
        <v>1615.9549999999999</v>
      </c>
      <c r="E433" s="4">
        <v>1616.2909999999999</v>
      </c>
      <c r="F433" s="4"/>
      <c r="G433" s="4"/>
      <c r="H433" s="26" t="s">
        <v>2009</v>
      </c>
      <c r="I433" s="4"/>
      <c r="J433" s="6">
        <v>0</v>
      </c>
      <c r="K433" s="29" t="s">
        <v>1767</v>
      </c>
      <c r="L433" s="4"/>
      <c r="M433" s="3"/>
    </row>
    <row r="434" spans="1:13" x14ac:dyDescent="0.3">
      <c r="A434" s="3">
        <v>103</v>
      </c>
      <c r="B434" s="3">
        <v>103</v>
      </c>
      <c r="C434" s="4">
        <v>1616.53</v>
      </c>
      <c r="D434" s="4">
        <v>1616.2909999999999</v>
      </c>
      <c r="E434" s="4">
        <v>1616.768</v>
      </c>
      <c r="F434" s="4"/>
      <c r="G434" s="4"/>
      <c r="H434" s="25" t="s">
        <v>2010</v>
      </c>
      <c r="I434" s="4"/>
      <c r="J434" s="6">
        <v>0</v>
      </c>
      <c r="K434" s="30" t="s">
        <v>1767</v>
      </c>
      <c r="L434" s="4"/>
      <c r="M434" s="3"/>
    </row>
    <row r="435" spans="1:13" x14ac:dyDescent="0.3">
      <c r="A435" s="3">
        <v>103</v>
      </c>
      <c r="B435" s="3">
        <v>103</v>
      </c>
      <c r="C435" s="4">
        <v>1616.89</v>
      </c>
      <c r="D435" s="4">
        <v>1616.768</v>
      </c>
      <c r="E435" s="4">
        <v>1617.011</v>
      </c>
      <c r="F435" s="4"/>
      <c r="G435" s="4"/>
      <c r="H435" s="26" t="s">
        <v>2011</v>
      </c>
      <c r="I435" s="4"/>
      <c r="J435" s="6">
        <v>0</v>
      </c>
      <c r="K435" s="29" t="s">
        <v>1767</v>
      </c>
      <c r="L435" s="4"/>
      <c r="M435" s="3"/>
    </row>
    <row r="436" spans="1:13" x14ac:dyDescent="0.3">
      <c r="A436" s="3">
        <v>103</v>
      </c>
      <c r="B436" s="3">
        <v>103</v>
      </c>
      <c r="C436" s="4">
        <v>1617.192</v>
      </c>
      <c r="D436" s="4">
        <v>1617.011</v>
      </c>
      <c r="E436" s="4">
        <v>1617.373</v>
      </c>
      <c r="F436" s="4"/>
      <c r="G436" s="4"/>
      <c r="H436" s="25" t="s">
        <v>2012</v>
      </c>
      <c r="I436" s="4"/>
      <c r="J436" s="6">
        <v>0</v>
      </c>
      <c r="K436" s="30" t="s">
        <v>1767</v>
      </c>
      <c r="L436" s="4"/>
      <c r="M436" s="3"/>
    </row>
    <row r="437" spans="1:13" x14ac:dyDescent="0.3">
      <c r="A437" s="3">
        <v>103</v>
      </c>
      <c r="B437" s="3">
        <v>103</v>
      </c>
      <c r="C437" s="4">
        <v>1617.6790000000001</v>
      </c>
      <c r="D437" s="4">
        <v>1617.373</v>
      </c>
      <c r="E437" s="4">
        <v>1617.9839999999999</v>
      </c>
      <c r="F437" s="4"/>
      <c r="G437" s="4"/>
      <c r="H437" s="26" t="s">
        <v>2013</v>
      </c>
      <c r="I437" s="4"/>
      <c r="J437" s="6">
        <v>0</v>
      </c>
      <c r="K437" s="29" t="s">
        <v>1767</v>
      </c>
      <c r="L437" s="4"/>
      <c r="M437" s="3"/>
    </row>
    <row r="438" spans="1:13" x14ac:dyDescent="0.3">
      <c r="A438" s="3">
        <v>103</v>
      </c>
      <c r="B438" s="3">
        <v>103</v>
      </c>
      <c r="C438" s="4">
        <v>1618</v>
      </c>
      <c r="D438" s="4">
        <v>1617.9839999999999</v>
      </c>
      <c r="E438" s="4">
        <v>1618.0150000000001</v>
      </c>
      <c r="F438" s="4"/>
      <c r="G438" s="4"/>
      <c r="H438" s="25" t="s">
        <v>2014</v>
      </c>
      <c r="I438" s="4"/>
      <c r="J438" s="6">
        <v>0</v>
      </c>
      <c r="K438" s="30" t="s">
        <v>1767</v>
      </c>
      <c r="L438" s="4"/>
      <c r="M438" s="3"/>
    </row>
    <row r="439" spans="1:13" x14ac:dyDescent="0.3">
      <c r="A439" s="3">
        <v>103</v>
      </c>
      <c r="B439" s="3">
        <v>103</v>
      </c>
      <c r="C439" s="4">
        <v>1618.347</v>
      </c>
      <c r="D439" s="4">
        <v>1618.0150000000001</v>
      </c>
      <c r="E439" s="4">
        <v>1618.6780000000001</v>
      </c>
      <c r="F439" s="4"/>
      <c r="G439" s="4"/>
      <c r="H439" s="26" t="s">
        <v>2015</v>
      </c>
      <c r="I439" s="4"/>
      <c r="J439" s="6">
        <v>0</v>
      </c>
      <c r="K439" s="29" t="s">
        <v>1767</v>
      </c>
      <c r="L439" s="4"/>
      <c r="M439" s="3"/>
    </row>
    <row r="440" spans="1:13" x14ac:dyDescent="0.3">
      <c r="A440" s="3">
        <v>103</v>
      </c>
      <c r="B440" s="3">
        <v>103</v>
      </c>
      <c r="C440" s="4">
        <v>1618.7139999999999</v>
      </c>
      <c r="D440" s="4">
        <v>1618.6780000000001</v>
      </c>
      <c r="E440" s="4">
        <v>1618.75</v>
      </c>
      <c r="F440" s="4"/>
      <c r="G440" s="4"/>
      <c r="H440" s="25" t="s">
        <v>2016</v>
      </c>
      <c r="I440" s="4"/>
      <c r="J440" s="6">
        <v>0</v>
      </c>
      <c r="K440" s="30" t="s">
        <v>1767</v>
      </c>
      <c r="L440" s="4"/>
      <c r="M440" s="3"/>
    </row>
    <row r="441" spans="1:13" x14ac:dyDescent="0.3">
      <c r="A441" s="3">
        <v>103</v>
      </c>
      <c r="B441" s="3">
        <v>103</v>
      </c>
      <c r="C441" s="4">
        <v>1618.9290000000001</v>
      </c>
      <c r="D441" s="4">
        <v>1618.75</v>
      </c>
      <c r="E441" s="4">
        <v>1619.1079999999999</v>
      </c>
      <c r="F441" s="4"/>
      <c r="G441" s="4"/>
      <c r="H441" s="26" t="s">
        <v>2017</v>
      </c>
      <c r="I441" s="4"/>
      <c r="J441" s="6">
        <v>0</v>
      </c>
      <c r="K441" s="29" t="s">
        <v>1767</v>
      </c>
      <c r="L441" s="4"/>
      <c r="M441" s="3"/>
    </row>
    <row r="442" spans="1:13" x14ac:dyDescent="0.3">
      <c r="A442" s="3">
        <v>103</v>
      </c>
      <c r="B442" s="3">
        <v>103</v>
      </c>
      <c r="C442" s="4">
        <v>1619.308</v>
      </c>
      <c r="D442" s="4">
        <v>1619.1079999999999</v>
      </c>
      <c r="E442" s="4">
        <v>1619.508</v>
      </c>
      <c r="F442" s="4"/>
      <c r="G442" s="4"/>
      <c r="H442" s="25" t="s">
        <v>2018</v>
      </c>
      <c r="I442" s="4"/>
      <c r="J442" s="6">
        <v>0</v>
      </c>
      <c r="K442" s="30" t="s">
        <v>1767</v>
      </c>
      <c r="L442" s="4"/>
      <c r="M442" s="3"/>
    </row>
    <row r="443" spans="1:13" x14ac:dyDescent="0.3">
      <c r="A443" s="3">
        <v>103</v>
      </c>
      <c r="B443" s="3">
        <v>103</v>
      </c>
      <c r="C443" s="4">
        <v>1619.66</v>
      </c>
      <c r="D443" s="4">
        <v>1619.508</v>
      </c>
      <c r="E443" s="4">
        <v>1619.8109999999999</v>
      </c>
      <c r="F443" s="4"/>
      <c r="G443" s="4"/>
      <c r="H443" s="26" t="s">
        <v>2019</v>
      </c>
      <c r="I443" s="4"/>
      <c r="J443" s="6">
        <v>0</v>
      </c>
      <c r="K443" s="29" t="s">
        <v>1767</v>
      </c>
      <c r="L443" s="4"/>
      <c r="M443" s="3"/>
    </row>
    <row r="444" spans="1:13" x14ac:dyDescent="0.3">
      <c r="A444" s="3">
        <v>103</v>
      </c>
      <c r="B444" s="3">
        <v>103</v>
      </c>
      <c r="C444" s="4">
        <v>1619.875</v>
      </c>
      <c r="D444" s="4">
        <v>1619.8109999999999</v>
      </c>
      <c r="E444" s="4">
        <v>1619.9380000000001</v>
      </c>
      <c r="F444" s="4"/>
      <c r="G444" s="4"/>
      <c r="H444" s="25" t="s">
        <v>2020</v>
      </c>
      <c r="I444" s="4"/>
      <c r="J444" s="6">
        <v>0</v>
      </c>
      <c r="K444" s="30" t="s">
        <v>1767</v>
      </c>
      <c r="L444" s="4"/>
      <c r="M444" s="3"/>
    </row>
    <row r="445" spans="1:13" x14ac:dyDescent="0.3">
      <c r="A445" s="3">
        <v>103</v>
      </c>
      <c r="B445" s="3">
        <v>103</v>
      </c>
      <c r="C445" s="4">
        <v>1620.2729999999999</v>
      </c>
      <c r="D445" s="4">
        <v>1619.9380000000001</v>
      </c>
      <c r="E445" s="4">
        <v>1620.607</v>
      </c>
      <c r="F445" s="4"/>
      <c r="G445" s="4"/>
      <c r="H445" s="26" t="s">
        <v>2021</v>
      </c>
      <c r="I445" s="4"/>
      <c r="J445" s="6">
        <v>0</v>
      </c>
      <c r="K445" s="29" t="s">
        <v>1767</v>
      </c>
      <c r="L445" s="4"/>
      <c r="M445" s="3"/>
    </row>
    <row r="446" spans="1:13" x14ac:dyDescent="0.3">
      <c r="A446" s="3">
        <v>103</v>
      </c>
      <c r="B446" s="3">
        <v>103</v>
      </c>
      <c r="C446" s="4">
        <v>1620.7249999999999</v>
      </c>
      <c r="D446" s="4">
        <v>1620.607</v>
      </c>
      <c r="E446" s="4">
        <v>1620.8430000000001</v>
      </c>
      <c r="F446" s="4"/>
      <c r="G446" s="4"/>
      <c r="H446" s="25" t="s">
        <v>2022</v>
      </c>
      <c r="I446" s="4"/>
      <c r="J446" s="6">
        <v>0</v>
      </c>
      <c r="K446" s="30" t="s">
        <v>1767</v>
      </c>
      <c r="L446" s="4"/>
      <c r="M446" s="3"/>
    </row>
    <row r="447" spans="1:13" x14ac:dyDescent="0.3">
      <c r="A447" s="3">
        <v>103</v>
      </c>
      <c r="B447" s="3">
        <v>103</v>
      </c>
      <c r="C447" s="4">
        <v>1621.068</v>
      </c>
      <c r="D447" s="4">
        <v>1620.8430000000001</v>
      </c>
      <c r="E447" s="4">
        <v>1621.2929999999999</v>
      </c>
      <c r="F447" s="4"/>
      <c r="G447" s="4"/>
      <c r="H447" s="26" t="s">
        <v>2023</v>
      </c>
      <c r="I447" s="4"/>
      <c r="J447" s="6">
        <v>0</v>
      </c>
      <c r="K447" s="29" t="s">
        <v>1767</v>
      </c>
      <c r="L447" s="4"/>
      <c r="M447" s="3"/>
    </row>
    <row r="448" spans="1:13" x14ac:dyDescent="0.3">
      <c r="A448" s="3">
        <v>103</v>
      </c>
      <c r="B448" s="3">
        <v>103</v>
      </c>
      <c r="C448" s="4">
        <v>1621.355</v>
      </c>
      <c r="D448" s="4">
        <v>1621.2929999999999</v>
      </c>
      <c r="E448" s="4">
        <v>1621.4159999999999</v>
      </c>
      <c r="F448" s="4"/>
      <c r="G448" s="4"/>
      <c r="H448" s="25" t="s">
        <v>2024</v>
      </c>
      <c r="I448" s="4"/>
      <c r="J448" s="6">
        <v>0</v>
      </c>
      <c r="K448" s="30" t="s">
        <v>1767</v>
      </c>
      <c r="L448" s="4"/>
      <c r="M448" s="3"/>
    </row>
    <row r="449" spans="1:13" x14ac:dyDescent="0.3">
      <c r="A449" s="3">
        <v>103</v>
      </c>
      <c r="B449" s="3">
        <v>103</v>
      </c>
      <c r="C449" s="4">
        <v>1621.8389999999999</v>
      </c>
      <c r="D449" s="4">
        <v>1621.4159999999999</v>
      </c>
      <c r="E449" s="4">
        <v>1622.261</v>
      </c>
      <c r="F449" s="4"/>
      <c r="G449" s="4"/>
      <c r="H449" s="26" t="s">
        <v>2025</v>
      </c>
      <c r="I449" s="4"/>
      <c r="J449" s="6">
        <v>0</v>
      </c>
      <c r="K449" s="29" t="s">
        <v>1767</v>
      </c>
      <c r="L449" s="4"/>
      <c r="M449" s="3"/>
    </row>
    <row r="450" spans="1:13" x14ac:dyDescent="0.3">
      <c r="A450" s="3">
        <v>103</v>
      </c>
      <c r="B450" s="3">
        <v>103</v>
      </c>
      <c r="C450" s="4">
        <v>1622.277</v>
      </c>
      <c r="D450" s="4">
        <v>1622.261</v>
      </c>
      <c r="E450" s="4">
        <v>1622.2929999999999</v>
      </c>
      <c r="F450" s="4"/>
      <c r="G450" s="4"/>
      <c r="H450" s="25" t="s">
        <v>2026</v>
      </c>
      <c r="I450" s="4"/>
      <c r="J450" s="6">
        <v>0</v>
      </c>
      <c r="K450" s="30" t="s">
        <v>1767</v>
      </c>
      <c r="L450" s="4"/>
      <c r="M450" s="3"/>
    </row>
    <row r="451" spans="1:13" x14ac:dyDescent="0.3">
      <c r="A451" s="3">
        <v>103</v>
      </c>
      <c r="B451" s="3">
        <v>103</v>
      </c>
      <c r="C451" s="4">
        <v>1622.829</v>
      </c>
      <c r="D451" s="4">
        <v>1622.2929999999999</v>
      </c>
      <c r="E451" s="4">
        <v>1623.365</v>
      </c>
      <c r="F451" s="4"/>
      <c r="G451" s="4"/>
      <c r="H451" s="26" t="s">
        <v>2027</v>
      </c>
      <c r="I451" s="4"/>
      <c r="J451" s="6">
        <v>0</v>
      </c>
      <c r="K451" s="29" t="s">
        <v>1767</v>
      </c>
      <c r="L451" s="4"/>
      <c r="M451" s="3"/>
    </row>
    <row r="452" spans="1:13" x14ac:dyDescent="0.3">
      <c r="A452" s="3">
        <v>103</v>
      </c>
      <c r="B452" s="3">
        <v>103</v>
      </c>
      <c r="C452" s="4">
        <v>1623.4949999999999</v>
      </c>
      <c r="D452" s="4">
        <v>1623.365</v>
      </c>
      <c r="E452" s="4">
        <v>1623.624</v>
      </c>
      <c r="F452" s="4"/>
      <c r="G452" s="4"/>
      <c r="H452" s="25" t="s">
        <v>2028</v>
      </c>
      <c r="I452" s="4"/>
      <c r="J452" s="6">
        <v>0</v>
      </c>
      <c r="K452" s="30" t="s">
        <v>1767</v>
      </c>
      <c r="L452" s="4"/>
      <c r="M452" s="3"/>
    </row>
    <row r="453" spans="1:13" x14ac:dyDescent="0.3">
      <c r="A453" s="3">
        <v>103</v>
      </c>
      <c r="B453" s="3">
        <v>103</v>
      </c>
      <c r="C453" s="4">
        <v>1623.7929999999999</v>
      </c>
      <c r="D453" s="4">
        <v>1623.624</v>
      </c>
      <c r="E453" s="4">
        <v>1623.962</v>
      </c>
      <c r="F453" s="4"/>
      <c r="G453" s="4"/>
      <c r="H453" s="26" t="s">
        <v>2029</v>
      </c>
      <c r="I453" s="4"/>
      <c r="J453" s="6">
        <v>0</v>
      </c>
      <c r="K453" s="29" t="s">
        <v>1767</v>
      </c>
      <c r="L453" s="4"/>
      <c r="M453" s="3"/>
    </row>
    <row r="454" spans="1:13" x14ac:dyDescent="0.3">
      <c r="A454" s="3">
        <v>103</v>
      </c>
      <c r="B454" s="3">
        <v>103</v>
      </c>
      <c r="C454" s="4">
        <v>1624.0170000000001</v>
      </c>
      <c r="D454" s="4">
        <v>1623.962</v>
      </c>
      <c r="E454" s="4">
        <v>1624.0709999999999</v>
      </c>
      <c r="F454" s="4"/>
      <c r="G454" s="4"/>
      <c r="H454" s="25" t="s">
        <v>2030</v>
      </c>
      <c r="I454" s="4"/>
      <c r="J454" s="6">
        <v>0</v>
      </c>
      <c r="K454" s="30" t="s">
        <v>1767</v>
      </c>
      <c r="L454" s="4"/>
      <c r="M454" s="3"/>
    </row>
    <row r="455" spans="1:13" x14ac:dyDescent="0.3">
      <c r="A455" s="3">
        <v>103</v>
      </c>
      <c r="B455" s="3">
        <v>103</v>
      </c>
      <c r="C455" s="4">
        <v>1624.3009999999999</v>
      </c>
      <c r="D455" s="4">
        <v>1624.0709999999999</v>
      </c>
      <c r="E455" s="4">
        <v>1624.53</v>
      </c>
      <c r="F455" s="4"/>
      <c r="G455" s="4"/>
      <c r="H455" s="26" t="s">
        <v>2031</v>
      </c>
      <c r="I455" s="4"/>
      <c r="J455" s="6">
        <v>0</v>
      </c>
      <c r="K455" s="29" t="s">
        <v>1767</v>
      </c>
      <c r="L455" s="4"/>
      <c r="M455" s="3"/>
    </row>
    <row r="456" spans="1:13" x14ac:dyDescent="0.3">
      <c r="A456" s="3">
        <v>103</v>
      </c>
      <c r="B456" s="3">
        <v>103</v>
      </c>
      <c r="C456" s="4">
        <v>1624.547</v>
      </c>
      <c r="D456" s="4">
        <v>1624.53</v>
      </c>
      <c r="E456" s="4">
        <v>1624.5630000000001</v>
      </c>
      <c r="F456" s="4"/>
      <c r="G456" s="4"/>
      <c r="H456" s="25" t="s">
        <v>2032</v>
      </c>
      <c r="I456" s="4"/>
      <c r="J456" s="6">
        <v>0</v>
      </c>
      <c r="K456" s="30" t="s">
        <v>1767</v>
      </c>
      <c r="L456" s="4"/>
      <c r="M456" s="3"/>
    </row>
    <row r="457" spans="1:13" x14ac:dyDescent="0.3">
      <c r="A457" s="3">
        <v>103</v>
      </c>
      <c r="B457" s="3">
        <v>103</v>
      </c>
      <c r="C457" s="4">
        <v>1624.9280000000001</v>
      </c>
      <c r="D457" s="4">
        <v>1624.5630000000001</v>
      </c>
      <c r="E457" s="4">
        <v>1625.2919999999999</v>
      </c>
      <c r="F457" s="4"/>
      <c r="G457" s="4"/>
      <c r="H457" s="26" t="s">
        <v>2033</v>
      </c>
      <c r="I457" s="4"/>
      <c r="J457" s="6">
        <v>0</v>
      </c>
      <c r="K457" s="29" t="s">
        <v>1767</v>
      </c>
      <c r="L457" s="4"/>
      <c r="M457" s="3"/>
    </row>
    <row r="458" spans="1:13" x14ac:dyDescent="0.3">
      <c r="A458" s="3">
        <v>103</v>
      </c>
      <c r="B458" s="3">
        <v>103</v>
      </c>
      <c r="C458" s="4">
        <v>1625.3130000000001</v>
      </c>
      <c r="D458" s="4">
        <v>1625.2919999999999</v>
      </c>
      <c r="E458" s="4">
        <v>1625.3330000000001</v>
      </c>
      <c r="F458" s="4"/>
      <c r="G458" s="4"/>
      <c r="H458" s="25" t="s">
        <v>2034</v>
      </c>
      <c r="I458" s="4"/>
      <c r="J458" s="6">
        <v>0</v>
      </c>
      <c r="K458" s="30" t="s">
        <v>1767</v>
      </c>
      <c r="L458" s="4"/>
      <c r="M458" s="3"/>
    </row>
    <row r="459" spans="1:13" x14ac:dyDescent="0.3">
      <c r="A459" s="3">
        <v>103</v>
      </c>
      <c r="B459" s="3">
        <v>103</v>
      </c>
      <c r="C459" s="4">
        <v>1625.604</v>
      </c>
      <c r="D459" s="4">
        <v>1625.3330000000001</v>
      </c>
      <c r="E459" s="4">
        <v>1625.875</v>
      </c>
      <c r="F459" s="4"/>
      <c r="G459" s="4"/>
      <c r="H459" s="26" t="s">
        <v>2035</v>
      </c>
      <c r="I459" s="4"/>
      <c r="J459" s="6">
        <v>0</v>
      </c>
      <c r="K459" s="29" t="s">
        <v>1767</v>
      </c>
      <c r="L459" s="4"/>
      <c r="M459" s="3"/>
    </row>
    <row r="460" spans="1:13" x14ac:dyDescent="0.3">
      <c r="A460" s="3">
        <v>103</v>
      </c>
      <c r="B460" s="3">
        <v>103</v>
      </c>
      <c r="C460" s="4">
        <v>1625.912</v>
      </c>
      <c r="D460" s="4">
        <v>1625.875</v>
      </c>
      <c r="E460" s="4">
        <v>1625.9480000000001</v>
      </c>
      <c r="F460" s="4"/>
      <c r="G460" s="4"/>
      <c r="H460" s="25" t="s">
        <v>2036</v>
      </c>
      <c r="I460" s="4"/>
      <c r="J460" s="6">
        <v>0</v>
      </c>
      <c r="K460" s="30" t="s">
        <v>1767</v>
      </c>
      <c r="L460" s="4"/>
      <c r="M460" s="3"/>
    </row>
    <row r="461" spans="1:13" x14ac:dyDescent="0.3">
      <c r="A461" s="3">
        <v>103</v>
      </c>
      <c r="B461" s="3">
        <v>103</v>
      </c>
      <c r="C461" s="4">
        <v>1626.204</v>
      </c>
      <c r="D461" s="4">
        <v>1625.9480000000001</v>
      </c>
      <c r="E461" s="4">
        <v>1626.4590000000001</v>
      </c>
      <c r="F461" s="4"/>
      <c r="G461" s="4"/>
      <c r="H461" s="26" t="s">
        <v>2037</v>
      </c>
      <c r="I461" s="4"/>
      <c r="J461" s="6">
        <v>0</v>
      </c>
      <c r="K461" s="29" t="s">
        <v>1767</v>
      </c>
      <c r="L461" s="4"/>
      <c r="M461" s="3"/>
    </row>
    <row r="462" spans="1:13" x14ac:dyDescent="0.3">
      <c r="A462" s="3">
        <v>103</v>
      </c>
      <c r="B462" s="3">
        <v>103</v>
      </c>
      <c r="C462" s="4">
        <v>1626.566</v>
      </c>
      <c r="D462" s="4">
        <v>1626.4590000000001</v>
      </c>
      <c r="E462" s="4">
        <v>1626.672</v>
      </c>
      <c r="F462" s="4"/>
      <c r="G462" s="4"/>
      <c r="H462" s="25" t="s">
        <v>2038</v>
      </c>
      <c r="I462" s="4"/>
      <c r="J462" s="6">
        <v>0</v>
      </c>
      <c r="K462" s="30" t="s">
        <v>1767</v>
      </c>
      <c r="L462" s="4"/>
      <c r="M462" s="3"/>
    </row>
    <row r="463" spans="1:13" x14ac:dyDescent="0.3">
      <c r="A463" s="3">
        <v>103</v>
      </c>
      <c r="B463" s="3">
        <v>103</v>
      </c>
      <c r="C463" s="4">
        <v>1626.9179999999999</v>
      </c>
      <c r="D463" s="4">
        <v>1626.672</v>
      </c>
      <c r="E463" s="4">
        <v>1627.163</v>
      </c>
      <c r="F463" s="4"/>
      <c r="G463" s="4"/>
      <c r="H463" s="26" t="s">
        <v>2039</v>
      </c>
      <c r="I463" s="4"/>
      <c r="J463" s="6">
        <v>0</v>
      </c>
      <c r="K463" s="29" t="s">
        <v>1767</v>
      </c>
      <c r="L463" s="4"/>
      <c r="M463" s="3"/>
    </row>
    <row r="464" spans="1:13" x14ac:dyDescent="0.3">
      <c r="A464" s="3">
        <v>103</v>
      </c>
      <c r="B464" s="3">
        <v>103</v>
      </c>
      <c r="C464" s="4">
        <v>1627.222</v>
      </c>
      <c r="D464" s="4">
        <v>1627.163</v>
      </c>
      <c r="E464" s="4">
        <v>1627.28</v>
      </c>
      <c r="F464" s="4"/>
      <c r="G464" s="4"/>
      <c r="H464" s="25" t="s">
        <v>2040</v>
      </c>
      <c r="I464" s="4"/>
      <c r="J464" s="6">
        <v>0</v>
      </c>
      <c r="K464" s="30" t="s">
        <v>1767</v>
      </c>
      <c r="L464" s="4"/>
      <c r="M464" s="3"/>
    </row>
    <row r="465" spans="1:13" x14ac:dyDescent="0.3">
      <c r="A465" s="3">
        <v>103</v>
      </c>
      <c r="B465" s="3">
        <v>103</v>
      </c>
      <c r="C465" s="4">
        <v>1627.5060000000001</v>
      </c>
      <c r="D465" s="4">
        <v>1627.28</v>
      </c>
      <c r="E465" s="4">
        <v>1627.731</v>
      </c>
      <c r="F465" s="4"/>
      <c r="G465" s="4"/>
      <c r="H465" s="26" t="s">
        <v>2041</v>
      </c>
      <c r="I465" s="4"/>
      <c r="J465" s="6">
        <v>0</v>
      </c>
      <c r="K465" s="29" t="s">
        <v>1767</v>
      </c>
      <c r="L465" s="4"/>
      <c r="M465" s="3"/>
    </row>
    <row r="466" spans="1:13" x14ac:dyDescent="0.3">
      <c r="A466" s="3">
        <v>103</v>
      </c>
      <c r="B466" s="3">
        <v>103</v>
      </c>
      <c r="C466" s="4">
        <v>1627.826</v>
      </c>
      <c r="D466" s="4">
        <v>1627.731</v>
      </c>
      <c r="E466" s="4">
        <v>1627.921</v>
      </c>
      <c r="F466" s="4"/>
      <c r="G466" s="4"/>
      <c r="H466" s="25" t="s">
        <v>2042</v>
      </c>
      <c r="I466" s="4"/>
      <c r="J466" s="6">
        <v>0</v>
      </c>
      <c r="K466" s="30" t="s">
        <v>1767</v>
      </c>
      <c r="L466" s="4"/>
      <c r="M466" s="3"/>
    </row>
    <row r="467" spans="1:13" x14ac:dyDescent="0.3">
      <c r="A467" s="3">
        <v>103</v>
      </c>
      <c r="B467" s="3">
        <v>103</v>
      </c>
      <c r="C467" s="4">
        <v>1628.0530000000001</v>
      </c>
      <c r="D467" s="4">
        <v>1627.921</v>
      </c>
      <c r="E467" s="4">
        <v>1628.184</v>
      </c>
      <c r="F467" s="4"/>
      <c r="G467" s="4"/>
      <c r="H467" s="26" t="s">
        <v>2043</v>
      </c>
      <c r="I467" s="4"/>
      <c r="J467" s="6">
        <v>0</v>
      </c>
      <c r="K467" s="29" t="s">
        <v>1767</v>
      </c>
      <c r="L467" s="4"/>
      <c r="M467" s="3"/>
    </row>
    <row r="468" spans="1:13" x14ac:dyDescent="0.3">
      <c r="A468" s="3">
        <v>103</v>
      </c>
      <c r="B468" s="3">
        <v>103</v>
      </c>
      <c r="C468" s="4">
        <v>1628.3409999999999</v>
      </c>
      <c r="D468" s="4">
        <v>1628.184</v>
      </c>
      <c r="E468" s="4">
        <v>1628.498</v>
      </c>
      <c r="F468" s="4"/>
      <c r="G468" s="4"/>
      <c r="H468" s="25" t="s">
        <v>2044</v>
      </c>
      <c r="I468" s="4"/>
      <c r="J468" s="6">
        <v>0</v>
      </c>
      <c r="K468" s="30" t="s">
        <v>1767</v>
      </c>
      <c r="L468" s="4"/>
      <c r="M468" s="3"/>
    </row>
    <row r="469" spans="1:13" x14ac:dyDescent="0.3">
      <c r="A469" s="3">
        <v>103</v>
      </c>
      <c r="B469" s="3">
        <v>103</v>
      </c>
      <c r="C469" s="4">
        <v>1628.7429999999999</v>
      </c>
      <c r="D469" s="4">
        <v>1628.498</v>
      </c>
      <c r="E469" s="4">
        <v>1628.9870000000001</v>
      </c>
      <c r="F469" s="4"/>
      <c r="G469" s="4"/>
      <c r="H469" s="26" t="s">
        <v>2045</v>
      </c>
      <c r="I469" s="4"/>
      <c r="J469" s="6">
        <v>0</v>
      </c>
      <c r="K469" s="29" t="s">
        <v>1767</v>
      </c>
      <c r="L469" s="4"/>
      <c r="M469" s="3"/>
    </row>
    <row r="470" spans="1:13" x14ac:dyDescent="0.3">
      <c r="A470" s="3">
        <v>103</v>
      </c>
      <c r="B470" s="3">
        <v>103</v>
      </c>
      <c r="C470" s="4">
        <v>1629.011</v>
      </c>
      <c r="D470" s="4">
        <v>1628.9870000000001</v>
      </c>
      <c r="E470" s="4">
        <v>1629.0350000000001</v>
      </c>
      <c r="F470" s="4"/>
      <c r="G470" s="4"/>
      <c r="H470" s="25" t="s">
        <v>2046</v>
      </c>
      <c r="I470" s="4"/>
      <c r="J470" s="6">
        <v>0</v>
      </c>
      <c r="K470" s="30" t="s">
        <v>1767</v>
      </c>
      <c r="L470" s="4"/>
      <c r="M470" s="3"/>
    </row>
    <row r="471" spans="1:13" x14ac:dyDescent="0.3">
      <c r="A471" s="3">
        <v>103</v>
      </c>
      <c r="B471" s="3">
        <v>103</v>
      </c>
      <c r="C471" s="4">
        <v>1629.328</v>
      </c>
      <c r="D471" s="4">
        <v>1629.0350000000001</v>
      </c>
      <c r="E471" s="4">
        <v>1629.62</v>
      </c>
      <c r="F471" s="4"/>
      <c r="G471" s="4"/>
      <c r="H471" s="26" t="s">
        <v>2047</v>
      </c>
      <c r="I471" s="4"/>
      <c r="J471" s="6">
        <v>0</v>
      </c>
      <c r="K471" s="29" t="s">
        <v>1767</v>
      </c>
      <c r="L471" s="4"/>
      <c r="M471" s="3"/>
    </row>
    <row r="472" spans="1:13" x14ac:dyDescent="0.3">
      <c r="A472" s="3">
        <v>103</v>
      </c>
      <c r="B472" s="3">
        <v>103</v>
      </c>
      <c r="C472" s="4">
        <v>1630.077</v>
      </c>
      <c r="D472" s="4">
        <v>1629.62</v>
      </c>
      <c r="E472" s="4">
        <v>1630.5340000000001</v>
      </c>
      <c r="F472" s="4"/>
      <c r="G472" s="4"/>
      <c r="H472" s="25" t="s">
        <v>2048</v>
      </c>
      <c r="I472" s="4"/>
      <c r="J472" s="6">
        <v>0</v>
      </c>
      <c r="K472" s="30" t="s">
        <v>1767</v>
      </c>
      <c r="L472" s="4"/>
      <c r="M472" s="3"/>
    </row>
    <row r="473" spans="1:13" x14ac:dyDescent="0.3">
      <c r="A473" s="3">
        <v>103</v>
      </c>
      <c r="B473" s="3">
        <v>103</v>
      </c>
      <c r="C473" s="4">
        <v>1630.973</v>
      </c>
      <c r="D473" s="4">
        <v>1630.5340000000001</v>
      </c>
      <c r="E473" s="4">
        <v>1631.4110000000001</v>
      </c>
      <c r="F473" s="4"/>
      <c r="G473" s="4"/>
      <c r="H473" s="26" t="s">
        <v>2049</v>
      </c>
      <c r="I473" s="4"/>
      <c r="J473" s="6">
        <v>0</v>
      </c>
      <c r="K473" s="29" t="s">
        <v>1767</v>
      </c>
      <c r="L473" s="4"/>
      <c r="M473" s="3"/>
    </row>
    <row r="474" spans="1:13" x14ac:dyDescent="0.3">
      <c r="A474" s="3">
        <v>103</v>
      </c>
      <c r="B474" s="3">
        <v>103</v>
      </c>
      <c r="C474" s="4">
        <v>1632.623</v>
      </c>
      <c r="D474" s="4">
        <v>1631.4110000000001</v>
      </c>
      <c r="E474" s="4">
        <v>1633.8340000000001</v>
      </c>
      <c r="F474" s="4"/>
      <c r="G474" s="4"/>
      <c r="H474" s="25" t="s">
        <v>2050</v>
      </c>
      <c r="I474" s="4"/>
      <c r="J474" s="6">
        <v>0</v>
      </c>
      <c r="K474" s="30" t="s">
        <v>1767</v>
      </c>
      <c r="L474" s="4"/>
      <c r="M474" s="3"/>
    </row>
    <row r="475" spans="1:13" x14ac:dyDescent="0.3">
      <c r="A475" s="3">
        <v>103</v>
      </c>
      <c r="B475" s="3">
        <v>103</v>
      </c>
      <c r="C475" s="4">
        <v>1634.09</v>
      </c>
      <c r="D475" s="4">
        <v>1633.8340000000001</v>
      </c>
      <c r="E475" s="4">
        <v>1634.345</v>
      </c>
      <c r="F475" s="4"/>
      <c r="G475" s="4"/>
      <c r="H475" s="26" t="s">
        <v>2051</v>
      </c>
      <c r="I475" s="4"/>
      <c r="J475" s="6">
        <v>0</v>
      </c>
      <c r="K475" s="29" t="s">
        <v>1767</v>
      </c>
      <c r="L475" s="4"/>
      <c r="M475" s="3"/>
    </row>
    <row r="476" spans="1:13" x14ac:dyDescent="0.3">
      <c r="A476" s="3">
        <v>103</v>
      </c>
      <c r="B476" s="3">
        <v>103</v>
      </c>
      <c r="C476" s="4">
        <v>1634.7850000000001</v>
      </c>
      <c r="D476" s="4">
        <v>1634.345</v>
      </c>
      <c r="E476" s="4">
        <v>1635.2239999999999</v>
      </c>
      <c r="F476" s="4"/>
      <c r="G476" s="4"/>
      <c r="H476" s="25" t="s">
        <v>2052</v>
      </c>
      <c r="I476" s="4"/>
      <c r="J476" s="6">
        <v>0</v>
      </c>
      <c r="K476" s="30" t="s">
        <v>1767</v>
      </c>
      <c r="L476" s="4"/>
      <c r="M476" s="3"/>
    </row>
    <row r="477" spans="1:13" x14ac:dyDescent="0.3">
      <c r="A477" s="3">
        <v>103</v>
      </c>
      <c r="B477" s="3">
        <v>103</v>
      </c>
      <c r="C477" s="4">
        <v>1635.596</v>
      </c>
      <c r="D477" s="4">
        <v>1635.2239999999999</v>
      </c>
      <c r="E477" s="4">
        <v>1635.9680000000001</v>
      </c>
      <c r="F477" s="4"/>
      <c r="G477" s="4"/>
      <c r="H477" s="26" t="s">
        <v>2053</v>
      </c>
      <c r="I477" s="4"/>
      <c r="J477" s="6">
        <v>0</v>
      </c>
      <c r="K477" s="29" t="s">
        <v>1767</v>
      </c>
      <c r="L477" s="4"/>
      <c r="M477" s="3"/>
    </row>
    <row r="478" spans="1:13" x14ac:dyDescent="0.3">
      <c r="A478" s="3">
        <v>103</v>
      </c>
      <c r="B478" s="3">
        <v>103</v>
      </c>
      <c r="C478" s="4">
        <v>1637.2570000000001</v>
      </c>
      <c r="D478" s="4">
        <v>1635.9680000000001</v>
      </c>
      <c r="E478" s="4">
        <v>1638.5450000000001</v>
      </c>
      <c r="F478" s="4"/>
      <c r="G478" s="4"/>
      <c r="H478" s="25" t="s">
        <v>2054</v>
      </c>
      <c r="I478" s="4"/>
      <c r="J478" s="6">
        <v>0</v>
      </c>
      <c r="K478" s="30" t="s">
        <v>1767</v>
      </c>
      <c r="L478" s="4"/>
      <c r="M478" s="3"/>
    </row>
    <row r="479" spans="1:13" x14ac:dyDescent="0.3">
      <c r="A479" s="3">
        <v>103</v>
      </c>
      <c r="B479" s="3">
        <v>103</v>
      </c>
      <c r="C479" s="4">
        <v>1638.7180000000001</v>
      </c>
      <c r="D479" s="4">
        <v>1638.5450000000001</v>
      </c>
      <c r="E479" s="4">
        <v>1638.89</v>
      </c>
      <c r="F479" s="4"/>
      <c r="G479" s="4"/>
      <c r="H479" s="26" t="s">
        <v>2055</v>
      </c>
      <c r="I479" s="4"/>
      <c r="J479" s="6">
        <v>0</v>
      </c>
      <c r="K479" s="29" t="s">
        <v>1767</v>
      </c>
      <c r="L479" s="4"/>
      <c r="M479" s="3"/>
    </row>
    <row r="480" spans="1:13" x14ac:dyDescent="0.3">
      <c r="A480" s="3">
        <v>103</v>
      </c>
      <c r="B480" s="3">
        <v>103</v>
      </c>
      <c r="C480" s="4">
        <v>1638.97</v>
      </c>
      <c r="D480" s="4">
        <v>1638.89</v>
      </c>
      <c r="E480" s="4">
        <v>1639.05</v>
      </c>
      <c r="F480" s="4"/>
      <c r="G480" s="4"/>
      <c r="H480" s="25" t="s">
        <v>2056</v>
      </c>
      <c r="I480" s="4"/>
      <c r="J480" s="6">
        <v>0</v>
      </c>
      <c r="K480" s="30" t="s">
        <v>1767</v>
      </c>
      <c r="L480" s="4"/>
      <c r="M480" s="3"/>
    </row>
    <row r="481" spans="1:13" x14ac:dyDescent="0.3">
      <c r="A481" s="3">
        <v>103</v>
      </c>
      <c r="B481" s="3">
        <v>103</v>
      </c>
      <c r="C481" s="4">
        <v>1639.5319999999999</v>
      </c>
      <c r="D481" s="4">
        <v>1639.05</v>
      </c>
      <c r="E481" s="4">
        <v>1640.0139999999999</v>
      </c>
      <c r="F481" s="4"/>
      <c r="G481" s="4"/>
      <c r="H481" s="26" t="s">
        <v>2057</v>
      </c>
      <c r="I481" s="4"/>
      <c r="J481" s="6">
        <v>0</v>
      </c>
      <c r="K481" s="29" t="s">
        <v>1767</v>
      </c>
      <c r="L481" s="4"/>
      <c r="M481" s="3"/>
    </row>
    <row r="482" spans="1:13" x14ac:dyDescent="0.3">
      <c r="A482" s="3">
        <v>103</v>
      </c>
      <c r="B482" s="3">
        <v>103</v>
      </c>
      <c r="C482" s="4">
        <v>1640.461</v>
      </c>
      <c r="D482" s="4">
        <v>1640.0139999999999</v>
      </c>
      <c r="E482" s="4">
        <v>1640.9069999999999</v>
      </c>
      <c r="F482" s="4"/>
      <c r="G482" s="4"/>
      <c r="H482" s="25" t="s">
        <v>2058</v>
      </c>
      <c r="I482" s="4"/>
      <c r="J482" s="6">
        <v>0</v>
      </c>
      <c r="K482" s="30" t="s">
        <v>1767</v>
      </c>
      <c r="L482" s="4"/>
      <c r="M482" s="3"/>
    </row>
    <row r="483" spans="1:13" x14ac:dyDescent="0.3">
      <c r="A483" s="3">
        <v>103</v>
      </c>
      <c r="B483" s="3">
        <v>103</v>
      </c>
      <c r="C483" s="4">
        <v>1641.3340000000001</v>
      </c>
      <c r="D483" s="4">
        <v>1640.9069999999999</v>
      </c>
      <c r="E483" s="4">
        <v>1641.761</v>
      </c>
      <c r="F483" s="4"/>
      <c r="G483" s="4"/>
      <c r="H483" s="26" t="s">
        <v>2059</v>
      </c>
      <c r="I483" s="4"/>
      <c r="J483" s="6">
        <v>0</v>
      </c>
      <c r="K483" s="29" t="s">
        <v>1767</v>
      </c>
      <c r="L483" s="4"/>
      <c r="M483" s="3"/>
    </row>
    <row r="484" spans="1:13" x14ac:dyDescent="0.3">
      <c r="A484" s="3">
        <v>103</v>
      </c>
      <c r="B484" s="3">
        <v>103</v>
      </c>
      <c r="C484" s="4">
        <v>1641.8409999999999</v>
      </c>
      <c r="D484" s="4">
        <v>1641.761</v>
      </c>
      <c r="E484" s="4">
        <v>1641.92</v>
      </c>
      <c r="F484" s="4"/>
      <c r="G484" s="4"/>
      <c r="H484" s="25" t="s">
        <v>2060</v>
      </c>
      <c r="I484" s="4"/>
      <c r="J484" s="6">
        <v>0</v>
      </c>
      <c r="K484" s="30" t="s">
        <v>1767</v>
      </c>
      <c r="L484" s="4"/>
      <c r="M484" s="3"/>
    </row>
    <row r="485" spans="1:13" x14ac:dyDescent="0.3">
      <c r="A485" s="3">
        <v>103</v>
      </c>
      <c r="B485" s="3">
        <v>103</v>
      </c>
      <c r="C485" s="4">
        <v>1642.144</v>
      </c>
      <c r="D485" s="4">
        <v>1641.92</v>
      </c>
      <c r="E485" s="4">
        <v>1642.367</v>
      </c>
      <c r="F485" s="4"/>
      <c r="G485" s="4"/>
      <c r="H485" s="26" t="s">
        <v>2061</v>
      </c>
      <c r="I485" s="4"/>
      <c r="J485" s="6">
        <v>0</v>
      </c>
      <c r="K485" s="29" t="s">
        <v>1767</v>
      </c>
      <c r="L485" s="4"/>
      <c r="M485" s="3"/>
    </row>
    <row r="486" spans="1:13" x14ac:dyDescent="0.3">
      <c r="A486" s="3">
        <v>103</v>
      </c>
      <c r="B486" s="3">
        <v>103</v>
      </c>
      <c r="C486" s="4">
        <v>1642.384</v>
      </c>
      <c r="D486" s="4">
        <v>1642.367</v>
      </c>
      <c r="E486" s="4">
        <v>1642.4010000000001</v>
      </c>
      <c r="F486" s="4"/>
      <c r="G486" s="4"/>
      <c r="H486" s="25" t="s">
        <v>2062</v>
      </c>
      <c r="I486" s="4"/>
      <c r="J486" s="6">
        <v>0</v>
      </c>
      <c r="K486" s="30" t="s">
        <v>1767</v>
      </c>
      <c r="L486" s="4"/>
      <c r="M486" s="3"/>
    </row>
    <row r="487" spans="1:13" x14ac:dyDescent="0.3">
      <c r="A487" s="3">
        <v>103</v>
      </c>
      <c r="B487" s="3">
        <v>103</v>
      </c>
      <c r="C487" s="4">
        <v>1642.7750000000001</v>
      </c>
      <c r="D487" s="4">
        <v>1642.4010000000001</v>
      </c>
      <c r="E487" s="4">
        <v>1643.1479999999999</v>
      </c>
      <c r="F487" s="4"/>
      <c r="G487" s="4"/>
      <c r="H487" s="26" t="s">
        <v>2063</v>
      </c>
      <c r="I487" s="4"/>
      <c r="J487" s="6">
        <v>0</v>
      </c>
      <c r="K487" s="29" t="s">
        <v>1767</v>
      </c>
      <c r="L487" s="4"/>
      <c r="M487" s="3"/>
    </row>
    <row r="488" spans="1:13" x14ac:dyDescent="0.3">
      <c r="A488" s="3">
        <v>103</v>
      </c>
      <c r="B488" s="3">
        <v>103</v>
      </c>
      <c r="C488" s="4">
        <v>1643.2639999999999</v>
      </c>
      <c r="D488" s="4">
        <v>1643.1479999999999</v>
      </c>
      <c r="E488" s="4">
        <v>1643.3789999999999</v>
      </c>
      <c r="F488" s="4"/>
      <c r="G488" s="4"/>
      <c r="H488" s="25" t="s">
        <v>2064</v>
      </c>
      <c r="I488" s="4"/>
      <c r="J488" s="6">
        <v>0</v>
      </c>
      <c r="K488" s="30" t="s">
        <v>1767</v>
      </c>
      <c r="L488" s="4"/>
      <c r="M488" s="3"/>
    </row>
    <row r="489" spans="1:13" x14ac:dyDescent="0.3">
      <c r="A489" s="3">
        <v>103</v>
      </c>
      <c r="B489" s="3">
        <v>103</v>
      </c>
      <c r="C489" s="4">
        <v>1643.569</v>
      </c>
      <c r="D489" s="4">
        <v>1643.3789999999999</v>
      </c>
      <c r="E489" s="4">
        <v>1643.758</v>
      </c>
      <c r="F489" s="4"/>
      <c r="G489" s="4"/>
      <c r="H489" s="26" t="s">
        <v>2065</v>
      </c>
      <c r="I489" s="4"/>
      <c r="J489" s="6">
        <v>0</v>
      </c>
      <c r="K489" s="29" t="s">
        <v>1767</v>
      </c>
      <c r="L489" s="4"/>
      <c r="M489" s="3"/>
    </row>
    <row r="490" spans="1:13" x14ac:dyDescent="0.3">
      <c r="A490" s="3">
        <v>103</v>
      </c>
      <c r="B490" s="3">
        <v>103</v>
      </c>
      <c r="C490" s="4">
        <v>1643.817</v>
      </c>
      <c r="D490" s="4">
        <v>1643.758</v>
      </c>
      <c r="E490" s="4">
        <v>1643.875</v>
      </c>
      <c r="F490" s="4"/>
      <c r="G490" s="4"/>
      <c r="H490" s="25" t="s">
        <v>2066</v>
      </c>
      <c r="I490" s="4"/>
      <c r="J490" s="6">
        <v>0</v>
      </c>
      <c r="K490" s="30" t="s">
        <v>1767</v>
      </c>
      <c r="L490" s="4"/>
      <c r="M490" s="3"/>
    </row>
    <row r="491" spans="1:13" x14ac:dyDescent="0.3">
      <c r="A491" s="3">
        <v>103</v>
      </c>
      <c r="B491" s="3">
        <v>103</v>
      </c>
      <c r="C491" s="4">
        <v>1644.319</v>
      </c>
      <c r="D491" s="4">
        <v>1643.875</v>
      </c>
      <c r="E491" s="4">
        <v>1644.7619999999999</v>
      </c>
      <c r="F491" s="4"/>
      <c r="G491" s="4"/>
      <c r="H491" s="26" t="s">
        <v>2067</v>
      </c>
      <c r="I491" s="4"/>
      <c r="J491" s="6">
        <v>0</v>
      </c>
      <c r="K491" s="29" t="s">
        <v>1767</v>
      </c>
      <c r="L491" s="4"/>
      <c r="M491" s="3"/>
    </row>
    <row r="492" spans="1:13" x14ac:dyDescent="0.3">
      <c r="A492" s="3">
        <v>103</v>
      </c>
      <c r="B492" s="3">
        <v>103</v>
      </c>
      <c r="C492" s="4">
        <v>1645.066</v>
      </c>
      <c r="D492" s="4">
        <v>1644.7619999999999</v>
      </c>
      <c r="E492" s="4">
        <v>1645.37</v>
      </c>
      <c r="F492" s="4"/>
      <c r="G492" s="4"/>
      <c r="H492" s="25" t="s">
        <v>2068</v>
      </c>
      <c r="I492" s="4"/>
      <c r="J492" s="6">
        <v>0</v>
      </c>
      <c r="K492" s="30" t="s">
        <v>1767</v>
      </c>
      <c r="L492" s="4"/>
      <c r="M492" s="3"/>
    </row>
    <row r="493" spans="1:13" x14ac:dyDescent="0.3">
      <c r="A493" s="3">
        <v>103</v>
      </c>
      <c r="B493" s="3">
        <v>103</v>
      </c>
      <c r="C493" s="4">
        <v>1645.6</v>
      </c>
      <c r="D493" s="4">
        <v>1645.37</v>
      </c>
      <c r="E493" s="4">
        <v>1645.83</v>
      </c>
      <c r="F493" s="4"/>
      <c r="G493" s="4"/>
      <c r="H493" s="26" t="s">
        <v>2069</v>
      </c>
      <c r="I493" s="4"/>
      <c r="J493" s="6">
        <v>0</v>
      </c>
      <c r="K493" s="29" t="s">
        <v>1767</v>
      </c>
      <c r="L493" s="4"/>
      <c r="M493" s="3"/>
    </row>
    <row r="494" spans="1:13" x14ac:dyDescent="0.3">
      <c r="A494" s="3">
        <v>103</v>
      </c>
      <c r="B494" s="3">
        <v>103</v>
      </c>
      <c r="C494" s="4">
        <v>1646.4970000000001</v>
      </c>
      <c r="D494" s="4">
        <v>1645.83</v>
      </c>
      <c r="E494" s="4">
        <v>1647.163</v>
      </c>
      <c r="F494" s="4"/>
      <c r="G494" s="4"/>
      <c r="H494" s="25" t="s">
        <v>2070</v>
      </c>
      <c r="I494" s="4"/>
      <c r="J494" s="6">
        <v>0</v>
      </c>
      <c r="K494" s="30" t="s">
        <v>1767</v>
      </c>
      <c r="L494" s="4"/>
      <c r="M494" s="3"/>
    </row>
    <row r="495" spans="1:13" x14ac:dyDescent="0.3">
      <c r="A495" s="3">
        <v>103</v>
      </c>
      <c r="B495" s="3">
        <v>103</v>
      </c>
      <c r="C495" s="4">
        <v>1647.5909999999999</v>
      </c>
      <c r="D495" s="4">
        <v>1647.163</v>
      </c>
      <c r="E495" s="4">
        <v>1648.019</v>
      </c>
      <c r="F495" s="4"/>
      <c r="G495" s="4"/>
      <c r="H495" s="26" t="s">
        <v>2071</v>
      </c>
      <c r="I495" s="4"/>
      <c r="J495" s="6">
        <v>0</v>
      </c>
      <c r="K495" s="29" t="s">
        <v>1767</v>
      </c>
      <c r="L495" s="4"/>
      <c r="M495" s="3"/>
    </row>
    <row r="496" spans="1:13" x14ac:dyDescent="0.3">
      <c r="A496" s="3">
        <v>103</v>
      </c>
      <c r="B496" s="3">
        <v>103</v>
      </c>
      <c r="C496" s="4">
        <v>1648.152</v>
      </c>
      <c r="D496" s="4">
        <v>1648.019</v>
      </c>
      <c r="E496" s="4">
        <v>1648.2840000000001</v>
      </c>
      <c r="F496" s="4"/>
      <c r="G496" s="4"/>
      <c r="H496" s="25" t="s">
        <v>2072</v>
      </c>
      <c r="I496" s="4"/>
      <c r="J496" s="6">
        <v>0</v>
      </c>
      <c r="K496" s="30" t="s">
        <v>1767</v>
      </c>
      <c r="L496" s="4"/>
      <c r="M496" s="3"/>
    </row>
    <row r="497" spans="1:13" x14ac:dyDescent="0.3">
      <c r="A497" s="3">
        <v>103</v>
      </c>
      <c r="B497" s="3">
        <v>103</v>
      </c>
      <c r="C497" s="4">
        <v>1648.5429999999999</v>
      </c>
      <c r="D497" s="4">
        <v>1648.2840000000001</v>
      </c>
      <c r="E497" s="4">
        <v>1648.8019999999999</v>
      </c>
      <c r="F497" s="4"/>
      <c r="G497" s="4"/>
      <c r="H497" s="26" t="s">
        <v>2073</v>
      </c>
      <c r="I497" s="4"/>
      <c r="J497" s="6">
        <v>0</v>
      </c>
      <c r="K497" s="29" t="s">
        <v>1767</v>
      </c>
      <c r="L497" s="4"/>
      <c r="M497" s="3"/>
    </row>
    <row r="498" spans="1:13" x14ac:dyDescent="0.3">
      <c r="A498" s="3">
        <v>103</v>
      </c>
      <c r="B498" s="3">
        <v>103</v>
      </c>
      <c r="C498" s="4">
        <v>1648.904</v>
      </c>
      <c r="D498" s="4">
        <v>1648.8019999999999</v>
      </c>
      <c r="E498" s="4">
        <v>1649.0060000000001</v>
      </c>
      <c r="F498" s="4"/>
      <c r="G498" s="4"/>
      <c r="H498" s="25" t="s">
        <v>2074</v>
      </c>
      <c r="I498" s="4"/>
      <c r="J498" s="6">
        <v>0</v>
      </c>
      <c r="K498" s="30" t="s">
        <v>1767</v>
      </c>
      <c r="L498" s="4"/>
      <c r="M498" s="3"/>
    </row>
    <row r="499" spans="1:13" x14ac:dyDescent="0.3">
      <c r="A499" s="3">
        <v>103</v>
      </c>
      <c r="B499" s="3">
        <v>103</v>
      </c>
      <c r="C499" s="4">
        <v>1649.2529999999999</v>
      </c>
      <c r="D499" s="4">
        <v>1649.0060000000001</v>
      </c>
      <c r="E499" s="4">
        <v>1649.5</v>
      </c>
      <c r="F499" s="4"/>
      <c r="G499" s="4"/>
      <c r="H499" s="26" t="s">
        <v>2075</v>
      </c>
      <c r="I499" s="4"/>
      <c r="J499" s="6">
        <v>0</v>
      </c>
      <c r="K499" s="29" t="s">
        <v>1767</v>
      </c>
      <c r="L499" s="4"/>
      <c r="M499" s="3"/>
    </row>
    <row r="500" spans="1:13" x14ac:dyDescent="0.3">
      <c r="A500" s="3">
        <v>103</v>
      </c>
      <c r="B500" s="3">
        <v>103</v>
      </c>
      <c r="C500" s="4">
        <v>1649.6179999999999</v>
      </c>
      <c r="D500" s="4">
        <v>1649.5</v>
      </c>
      <c r="E500" s="4">
        <v>1649.7349999999999</v>
      </c>
      <c r="F500" s="4"/>
      <c r="G500" s="4"/>
      <c r="H500" s="25" t="s">
        <v>2076</v>
      </c>
      <c r="I500" s="4"/>
      <c r="J500" s="6">
        <v>0</v>
      </c>
      <c r="K500" s="30" t="s">
        <v>1767</v>
      </c>
      <c r="L500" s="4"/>
      <c r="M500" s="3"/>
    </row>
    <row r="501" spans="1:13" x14ac:dyDescent="0.3">
      <c r="A501" s="3">
        <v>103</v>
      </c>
      <c r="B501" s="3">
        <v>103</v>
      </c>
      <c r="C501" s="4">
        <v>1650.0619999999999</v>
      </c>
      <c r="D501" s="4">
        <v>1649.7349999999999</v>
      </c>
      <c r="E501" s="4">
        <v>1650.3889999999999</v>
      </c>
      <c r="F501" s="4"/>
      <c r="G501" s="4"/>
      <c r="H501" s="26" t="s">
        <v>2077</v>
      </c>
      <c r="I501" s="4"/>
      <c r="J501" s="6">
        <v>0</v>
      </c>
      <c r="K501" s="29" t="s">
        <v>1767</v>
      </c>
      <c r="L501" s="4"/>
      <c r="M501" s="3"/>
    </row>
    <row r="502" spans="1:13" x14ac:dyDescent="0.3">
      <c r="A502" s="3">
        <v>103</v>
      </c>
      <c r="B502" s="3">
        <v>103</v>
      </c>
      <c r="C502" s="4">
        <v>1650.674</v>
      </c>
      <c r="D502" s="4">
        <v>1650.3889999999999</v>
      </c>
      <c r="E502" s="4">
        <v>1650.9590000000001</v>
      </c>
      <c r="F502" s="4"/>
      <c r="G502" s="4"/>
      <c r="H502" s="25" t="s">
        <v>2078</v>
      </c>
      <c r="I502" s="4"/>
      <c r="J502" s="6">
        <v>0</v>
      </c>
      <c r="K502" s="30" t="s">
        <v>1767</v>
      </c>
      <c r="L502" s="4"/>
      <c r="M502" s="3"/>
    </row>
    <row r="503" spans="1:13" x14ac:dyDescent="0.3">
      <c r="A503" s="3">
        <v>103</v>
      </c>
      <c r="B503" s="3">
        <v>103</v>
      </c>
      <c r="C503" s="4">
        <v>1651.393</v>
      </c>
      <c r="D503" s="4">
        <v>1650.9590000000001</v>
      </c>
      <c r="E503" s="4">
        <v>1651.827</v>
      </c>
      <c r="F503" s="4"/>
      <c r="G503" s="4"/>
      <c r="H503" s="26" t="s">
        <v>2079</v>
      </c>
      <c r="I503" s="4"/>
      <c r="J503" s="6">
        <v>0</v>
      </c>
      <c r="K503" s="29" t="s">
        <v>1767</v>
      </c>
      <c r="L503" s="4"/>
      <c r="M503" s="3"/>
    </row>
    <row r="504" spans="1:13" x14ac:dyDescent="0.3">
      <c r="A504" s="3">
        <v>103</v>
      </c>
      <c r="B504" s="3">
        <v>103</v>
      </c>
      <c r="C504" s="4">
        <v>1651.874</v>
      </c>
      <c r="D504" s="4">
        <v>1651.827</v>
      </c>
      <c r="E504" s="4">
        <v>1651.921</v>
      </c>
      <c r="F504" s="4"/>
      <c r="G504" s="4"/>
      <c r="H504" s="25" t="s">
        <v>2080</v>
      </c>
      <c r="I504" s="4"/>
      <c r="J504" s="6">
        <v>0</v>
      </c>
      <c r="K504" s="30" t="s">
        <v>1767</v>
      </c>
      <c r="L504" s="4"/>
      <c r="M504" s="3"/>
    </row>
    <row r="505" spans="1:13" x14ac:dyDescent="0.3">
      <c r="A505" s="3">
        <v>103</v>
      </c>
      <c r="B505" s="3">
        <v>103</v>
      </c>
      <c r="C505" s="4">
        <v>1652.2049999999999</v>
      </c>
      <c r="D505" s="4">
        <v>1651.921</v>
      </c>
      <c r="E505" s="4">
        <v>1652.489</v>
      </c>
      <c r="F505" s="4"/>
      <c r="G505" s="4"/>
      <c r="H505" s="26" t="s">
        <v>2081</v>
      </c>
      <c r="I505" s="4"/>
      <c r="J505" s="6">
        <v>0</v>
      </c>
      <c r="K505" s="29" t="s">
        <v>1767</v>
      </c>
      <c r="L505" s="4"/>
      <c r="M505" s="3"/>
    </row>
    <row r="506" spans="1:13" x14ac:dyDescent="0.3">
      <c r="A506" s="3">
        <v>103</v>
      </c>
      <c r="B506" s="3">
        <v>103</v>
      </c>
      <c r="C506" s="4">
        <v>1652.9110000000001</v>
      </c>
      <c r="D506" s="4">
        <v>1652.489</v>
      </c>
      <c r="E506" s="4">
        <v>1653.3330000000001</v>
      </c>
      <c r="F506" s="4"/>
      <c r="G506" s="4"/>
      <c r="H506" s="25" t="s">
        <v>2082</v>
      </c>
      <c r="I506" s="4"/>
      <c r="J506" s="6">
        <v>0</v>
      </c>
      <c r="K506" s="30" t="s">
        <v>1767</v>
      </c>
      <c r="L506" s="4"/>
      <c r="M506" s="3"/>
    </row>
    <row r="507" spans="1:13" x14ac:dyDescent="0.3">
      <c r="A507" s="3">
        <v>103</v>
      </c>
      <c r="B507" s="3">
        <v>103</v>
      </c>
      <c r="C507" s="4">
        <v>1653.568</v>
      </c>
      <c r="D507" s="4">
        <v>1653.3330000000001</v>
      </c>
      <c r="E507" s="4">
        <v>1653.8019999999999</v>
      </c>
      <c r="F507" s="4"/>
      <c r="G507" s="4"/>
      <c r="H507" s="26" t="s">
        <v>2083</v>
      </c>
      <c r="I507" s="4"/>
      <c r="J507" s="6">
        <v>0</v>
      </c>
      <c r="K507" s="29" t="s">
        <v>1767</v>
      </c>
      <c r="L507" s="4"/>
      <c r="M507" s="3"/>
    </row>
    <row r="508" spans="1:13" x14ac:dyDescent="0.3">
      <c r="A508" s="3">
        <v>103</v>
      </c>
      <c r="B508" s="3">
        <v>103</v>
      </c>
      <c r="C508" s="4">
        <v>1653.8489999999999</v>
      </c>
      <c r="D508" s="4">
        <v>1653.8019999999999</v>
      </c>
      <c r="E508" s="4">
        <v>1653.895</v>
      </c>
      <c r="F508" s="4"/>
      <c r="G508" s="4"/>
      <c r="H508" s="25" t="s">
        <v>2084</v>
      </c>
      <c r="I508" s="4"/>
      <c r="J508" s="6">
        <v>0</v>
      </c>
      <c r="K508" s="30" t="s">
        <v>1767</v>
      </c>
      <c r="L508" s="4"/>
      <c r="M508" s="3"/>
    </row>
    <row r="509" spans="1:13" x14ac:dyDescent="0.3">
      <c r="A509" s="3">
        <v>103</v>
      </c>
      <c r="B509" s="3">
        <v>103</v>
      </c>
      <c r="C509" s="4">
        <v>1654.3979999999999</v>
      </c>
      <c r="D509" s="4">
        <v>1653.895</v>
      </c>
      <c r="E509" s="4">
        <v>1654.9</v>
      </c>
      <c r="F509" s="4"/>
      <c r="G509" s="4"/>
      <c r="H509" s="26" t="s">
        <v>2085</v>
      </c>
      <c r="I509" s="4"/>
      <c r="J509" s="6">
        <v>0</v>
      </c>
      <c r="K509" s="29" t="s">
        <v>1767</v>
      </c>
      <c r="L509" s="4"/>
      <c r="M509" s="3"/>
    </row>
    <row r="510" spans="1:13" x14ac:dyDescent="0.3">
      <c r="A510" s="3">
        <v>103</v>
      </c>
      <c r="B510" s="3">
        <v>103</v>
      </c>
      <c r="C510" s="4">
        <v>1654.9169999999999</v>
      </c>
      <c r="D510" s="4">
        <v>1654.9</v>
      </c>
      <c r="E510" s="4">
        <v>1654.934</v>
      </c>
      <c r="F510" s="4"/>
      <c r="G510" s="4"/>
      <c r="H510" s="25" t="s">
        <v>2086</v>
      </c>
      <c r="I510" s="4"/>
      <c r="J510" s="6">
        <v>0</v>
      </c>
      <c r="K510" s="30" t="s">
        <v>1767</v>
      </c>
      <c r="L510" s="4"/>
      <c r="M510" s="3"/>
    </row>
    <row r="511" spans="1:13" x14ac:dyDescent="0.3">
      <c r="A511" s="3">
        <v>103</v>
      </c>
      <c r="B511" s="3">
        <v>103</v>
      </c>
      <c r="C511" s="4">
        <v>1655.3779999999999</v>
      </c>
      <c r="D511" s="4">
        <v>1654.934</v>
      </c>
      <c r="E511" s="4">
        <v>1655.8209999999999</v>
      </c>
      <c r="F511" s="4"/>
      <c r="G511" s="4"/>
      <c r="H511" s="26" t="s">
        <v>2087</v>
      </c>
      <c r="I511" s="4"/>
      <c r="J511" s="6">
        <v>0</v>
      </c>
      <c r="K511" s="29" t="s">
        <v>1767</v>
      </c>
      <c r="L511" s="4"/>
      <c r="M511" s="3"/>
    </row>
    <row r="512" spans="1:13" x14ac:dyDescent="0.3">
      <c r="A512" s="3">
        <v>103</v>
      </c>
      <c r="B512" s="3">
        <v>103</v>
      </c>
      <c r="C512" s="4">
        <v>1656.144</v>
      </c>
      <c r="D512" s="4">
        <v>1655.8209999999999</v>
      </c>
      <c r="E512" s="4">
        <v>1656.4670000000001</v>
      </c>
      <c r="F512" s="4"/>
      <c r="G512" s="4"/>
      <c r="H512" s="25" t="s">
        <v>2088</v>
      </c>
      <c r="I512" s="4"/>
      <c r="J512" s="6">
        <v>0</v>
      </c>
      <c r="K512" s="30" t="s">
        <v>1767</v>
      </c>
      <c r="L512" s="4"/>
      <c r="M512" s="3"/>
    </row>
    <row r="513" spans="1:13" x14ac:dyDescent="0.3">
      <c r="A513" s="3">
        <v>103</v>
      </c>
      <c r="B513" s="3">
        <v>103</v>
      </c>
      <c r="C513" s="4">
        <v>1656.8130000000001</v>
      </c>
      <c r="D513" s="4">
        <v>1656.4670000000001</v>
      </c>
      <c r="E513" s="4">
        <v>1657.1579999999999</v>
      </c>
      <c r="F513" s="4"/>
      <c r="G513" s="4"/>
      <c r="H513" s="26" t="s">
        <v>2089</v>
      </c>
      <c r="I513" s="4"/>
      <c r="J513" s="6">
        <v>0</v>
      </c>
      <c r="K513" s="29" t="s">
        <v>1767</v>
      </c>
      <c r="L513" s="4"/>
      <c r="M513" s="3"/>
    </row>
    <row r="514" spans="1:13" x14ac:dyDescent="0.3">
      <c r="A514" s="3">
        <v>103</v>
      </c>
      <c r="B514" s="3">
        <v>103</v>
      </c>
      <c r="C514" s="4">
        <v>1657.3969999999999</v>
      </c>
      <c r="D514" s="4">
        <v>1657.1579999999999</v>
      </c>
      <c r="E514" s="4">
        <v>1657.636</v>
      </c>
      <c r="F514" s="4"/>
      <c r="G514" s="4"/>
      <c r="H514" s="25" t="s">
        <v>2090</v>
      </c>
      <c r="I514" s="4"/>
      <c r="J514" s="6">
        <v>0</v>
      </c>
      <c r="K514" s="30" t="s">
        <v>1767</v>
      </c>
      <c r="L514" s="4"/>
      <c r="M514" s="3"/>
    </row>
    <row r="515" spans="1:13" x14ac:dyDescent="0.3">
      <c r="A515" s="3">
        <v>103</v>
      </c>
      <c r="B515" s="3">
        <v>103</v>
      </c>
      <c r="C515" s="4">
        <v>1657.797</v>
      </c>
      <c r="D515" s="4">
        <v>1657.636</v>
      </c>
      <c r="E515" s="4">
        <v>1657.9580000000001</v>
      </c>
      <c r="F515" s="4"/>
      <c r="G515" s="4"/>
      <c r="H515" s="26" t="s">
        <v>2091</v>
      </c>
      <c r="I515" s="4"/>
      <c r="J515" s="6">
        <v>0</v>
      </c>
      <c r="K515" s="29" t="s">
        <v>1767</v>
      </c>
      <c r="L515" s="4"/>
      <c r="M515" s="3"/>
    </row>
    <row r="516" spans="1:13" x14ac:dyDescent="0.3">
      <c r="A516" s="3">
        <v>103</v>
      </c>
      <c r="B516" s="3">
        <v>103</v>
      </c>
      <c r="C516" s="4">
        <v>1658.501</v>
      </c>
      <c r="D516" s="4">
        <v>1657.9580000000001</v>
      </c>
      <c r="E516" s="4">
        <v>1659.0429999999999</v>
      </c>
      <c r="F516" s="4"/>
      <c r="G516" s="4"/>
      <c r="H516" s="25" t="s">
        <v>2092</v>
      </c>
      <c r="I516" s="4"/>
      <c r="J516" s="6">
        <v>0</v>
      </c>
      <c r="K516" s="30" t="s">
        <v>1767</v>
      </c>
      <c r="L516" s="4"/>
      <c r="M516" s="3"/>
    </row>
    <row r="517" spans="1:13" x14ac:dyDescent="0.3">
      <c r="A517" s="3">
        <v>103</v>
      </c>
      <c r="B517" s="3">
        <v>103</v>
      </c>
      <c r="C517" s="4">
        <v>1659.318</v>
      </c>
      <c r="D517" s="4">
        <v>1659.0429999999999</v>
      </c>
      <c r="E517" s="4">
        <v>1659.5920000000001</v>
      </c>
      <c r="F517" s="4"/>
      <c r="G517" s="4"/>
      <c r="H517" s="26" t="s">
        <v>2093</v>
      </c>
      <c r="I517" s="4"/>
      <c r="J517" s="6">
        <v>0</v>
      </c>
      <c r="K517" s="29" t="s">
        <v>1767</v>
      </c>
      <c r="L517" s="4"/>
      <c r="M517" s="3"/>
    </row>
    <row r="518" spans="1:13" x14ac:dyDescent="0.3">
      <c r="A518" s="3">
        <v>103</v>
      </c>
      <c r="B518" s="3">
        <v>103</v>
      </c>
      <c r="C518" s="4">
        <v>1659.6659999999999</v>
      </c>
      <c r="D518" s="4">
        <v>1659.5920000000001</v>
      </c>
      <c r="E518" s="4">
        <v>1659.74</v>
      </c>
      <c r="F518" s="4"/>
      <c r="G518" s="4"/>
      <c r="H518" s="25" t="s">
        <v>2094</v>
      </c>
      <c r="I518" s="4"/>
      <c r="J518" s="6">
        <v>0</v>
      </c>
      <c r="K518" s="30" t="s">
        <v>1767</v>
      </c>
      <c r="L518" s="4"/>
      <c r="M518" s="3"/>
    </row>
    <row r="519" spans="1:13" x14ac:dyDescent="0.3">
      <c r="A519" s="3">
        <v>103</v>
      </c>
      <c r="B519" s="3">
        <v>103</v>
      </c>
      <c r="C519" s="4">
        <v>1660.068</v>
      </c>
      <c r="D519" s="4">
        <v>1659.74</v>
      </c>
      <c r="E519" s="4">
        <v>1660.396</v>
      </c>
      <c r="F519" s="4"/>
      <c r="G519" s="4"/>
      <c r="H519" s="26" t="s">
        <v>2095</v>
      </c>
      <c r="I519" s="4"/>
      <c r="J519" s="6">
        <v>0</v>
      </c>
      <c r="K519" s="29" t="s">
        <v>1767</v>
      </c>
      <c r="L519" s="4"/>
      <c r="M519" s="3"/>
    </row>
    <row r="520" spans="1:13" x14ac:dyDescent="0.3">
      <c r="A520" s="3">
        <v>103</v>
      </c>
      <c r="B520" s="3">
        <v>103</v>
      </c>
      <c r="C520" s="4">
        <v>1660.4680000000001</v>
      </c>
      <c r="D520" s="4">
        <v>1660.396</v>
      </c>
      <c r="E520" s="4">
        <v>1660.539</v>
      </c>
      <c r="F520" s="4"/>
      <c r="G520" s="4"/>
      <c r="H520" s="25" t="s">
        <v>2096</v>
      </c>
      <c r="I520" s="4"/>
      <c r="J520" s="6">
        <v>0</v>
      </c>
      <c r="K520" s="30" t="s">
        <v>1767</v>
      </c>
      <c r="L520" s="4"/>
      <c r="M520" s="3"/>
    </row>
    <row r="521" spans="1:13" x14ac:dyDescent="0.3">
      <c r="A521" s="3">
        <v>103</v>
      </c>
      <c r="B521" s="3">
        <v>103</v>
      </c>
      <c r="C521" s="4">
        <v>1660.8879999999999</v>
      </c>
      <c r="D521" s="4">
        <v>1660.539</v>
      </c>
      <c r="E521" s="4">
        <v>1661.2360000000001</v>
      </c>
      <c r="F521" s="4"/>
      <c r="G521" s="4"/>
      <c r="H521" s="26" t="s">
        <v>2097</v>
      </c>
      <c r="I521" s="4"/>
      <c r="J521" s="6">
        <v>0</v>
      </c>
      <c r="K521" s="29" t="s">
        <v>1767</v>
      </c>
      <c r="L521" s="4"/>
      <c r="M521" s="3"/>
    </row>
    <row r="522" spans="1:13" x14ac:dyDescent="0.3">
      <c r="A522" s="3">
        <v>103</v>
      </c>
      <c r="B522" s="3">
        <v>103</v>
      </c>
      <c r="C522" s="4">
        <v>1661.3610000000001</v>
      </c>
      <c r="D522" s="4">
        <v>1661.2360000000001</v>
      </c>
      <c r="E522" s="4">
        <v>1661.4849999999999</v>
      </c>
      <c r="F522" s="4"/>
      <c r="G522" s="4"/>
      <c r="H522" s="25" t="s">
        <v>2098</v>
      </c>
      <c r="I522" s="4"/>
      <c r="J522" s="6">
        <v>0</v>
      </c>
      <c r="K522" s="30" t="s">
        <v>1767</v>
      </c>
      <c r="L522" s="4"/>
      <c r="M522" s="3"/>
    </row>
    <row r="523" spans="1:13" x14ac:dyDescent="0.3">
      <c r="A523" s="3">
        <v>103</v>
      </c>
      <c r="B523" s="3">
        <v>103</v>
      </c>
      <c r="C523" s="4">
        <v>1661.769</v>
      </c>
      <c r="D523" s="4">
        <v>1661.4849999999999</v>
      </c>
      <c r="E523" s="4">
        <v>1662.0530000000001</v>
      </c>
      <c r="F523" s="4"/>
      <c r="G523" s="4"/>
      <c r="H523" s="26" t="s">
        <v>2099</v>
      </c>
      <c r="I523" s="4"/>
      <c r="J523" s="6">
        <v>0</v>
      </c>
      <c r="K523" s="29" t="s">
        <v>1767</v>
      </c>
      <c r="L523" s="4"/>
      <c r="M523" s="3"/>
    </row>
    <row r="524" spans="1:13" x14ac:dyDescent="0.3">
      <c r="A524" s="3">
        <v>103</v>
      </c>
      <c r="B524" s="3">
        <v>103</v>
      </c>
      <c r="C524" s="4">
        <v>1662.3489999999999</v>
      </c>
      <c r="D524" s="4">
        <v>1662.0530000000001</v>
      </c>
      <c r="E524" s="4">
        <v>1662.644</v>
      </c>
      <c r="F524" s="4"/>
      <c r="G524" s="4"/>
      <c r="H524" s="25" t="s">
        <v>2100</v>
      </c>
      <c r="I524" s="4"/>
      <c r="J524" s="6">
        <v>0</v>
      </c>
      <c r="K524" s="30" t="s">
        <v>1767</v>
      </c>
      <c r="L524" s="4"/>
      <c r="M524" s="3"/>
    </row>
    <row r="525" spans="1:13" x14ac:dyDescent="0.3">
      <c r="A525" s="3">
        <v>103</v>
      </c>
      <c r="B525" s="3">
        <v>103</v>
      </c>
      <c r="C525" s="4">
        <v>1663.318</v>
      </c>
      <c r="D525" s="4">
        <v>1662.644</v>
      </c>
      <c r="E525" s="4">
        <v>1663.991</v>
      </c>
      <c r="F525" s="4"/>
      <c r="G525" s="4"/>
      <c r="H525" s="26" t="s">
        <v>2101</v>
      </c>
      <c r="I525" s="4"/>
      <c r="J525" s="6">
        <v>0</v>
      </c>
      <c r="K525" s="29" t="s">
        <v>1767</v>
      </c>
      <c r="L525" s="4"/>
      <c r="M525" s="3"/>
    </row>
    <row r="526" spans="1:13" x14ac:dyDescent="0.3">
      <c r="A526" s="3">
        <v>103</v>
      </c>
      <c r="B526" s="3">
        <v>103</v>
      </c>
      <c r="C526" s="4">
        <v>1664.09</v>
      </c>
      <c r="D526" s="4">
        <v>1663.991</v>
      </c>
      <c r="E526" s="4">
        <v>1664.1890000000001</v>
      </c>
      <c r="F526" s="4"/>
      <c r="G526" s="4"/>
      <c r="H526" s="25" t="s">
        <v>2102</v>
      </c>
      <c r="I526" s="4"/>
      <c r="J526" s="6">
        <v>0</v>
      </c>
      <c r="K526" s="30" t="s">
        <v>1767</v>
      </c>
      <c r="L526" s="4"/>
      <c r="M526" s="3"/>
    </row>
    <row r="527" spans="1:13" x14ac:dyDescent="0.3">
      <c r="A527" s="3">
        <v>103</v>
      </c>
      <c r="B527" s="3">
        <v>103</v>
      </c>
      <c r="C527" s="4">
        <v>1664.4449999999999</v>
      </c>
      <c r="D527" s="4">
        <v>1664.1890000000001</v>
      </c>
      <c r="E527" s="4">
        <v>1664.7</v>
      </c>
      <c r="F527" s="4"/>
      <c r="G527" s="4"/>
      <c r="H527" s="26" t="s">
        <v>2103</v>
      </c>
      <c r="I527" s="4"/>
      <c r="J527" s="6">
        <v>0</v>
      </c>
      <c r="K527" s="29" t="s">
        <v>1767</v>
      </c>
      <c r="L527" s="4"/>
      <c r="M527" s="3"/>
    </row>
    <row r="528" spans="1:13" x14ac:dyDescent="0.3">
      <c r="A528" s="3">
        <v>103</v>
      </c>
      <c r="B528" s="3">
        <v>103</v>
      </c>
      <c r="C528" s="4">
        <v>1664.998</v>
      </c>
      <c r="D528" s="4">
        <v>1664.7</v>
      </c>
      <c r="E528" s="4">
        <v>1665.296</v>
      </c>
      <c r="F528" s="4"/>
      <c r="G528" s="4"/>
      <c r="H528" s="25" t="s">
        <v>2104</v>
      </c>
      <c r="I528" s="4"/>
      <c r="J528" s="6">
        <v>0</v>
      </c>
      <c r="K528" s="30" t="s">
        <v>1767</v>
      </c>
      <c r="L528" s="4"/>
      <c r="M528" s="3"/>
    </row>
    <row r="529" spans="1:13" x14ac:dyDescent="0.3">
      <c r="A529" s="3">
        <v>103</v>
      </c>
      <c r="B529" s="3">
        <v>103</v>
      </c>
      <c r="C529" s="4">
        <v>1665.6020000000001</v>
      </c>
      <c r="D529" s="4">
        <v>1665.296</v>
      </c>
      <c r="E529" s="4">
        <v>1665.9079999999999</v>
      </c>
      <c r="F529" s="4"/>
      <c r="G529" s="4"/>
      <c r="H529" s="26" t="s">
        <v>2105</v>
      </c>
      <c r="I529" s="4"/>
      <c r="J529" s="6">
        <v>0</v>
      </c>
      <c r="K529" s="29" t="s">
        <v>1767</v>
      </c>
      <c r="L529" s="4"/>
      <c r="M529" s="3"/>
    </row>
    <row r="530" spans="1:13" x14ac:dyDescent="0.3">
      <c r="A530" s="3">
        <v>103</v>
      </c>
      <c r="B530" s="3">
        <v>103</v>
      </c>
      <c r="C530" s="4">
        <v>1665.9559999999999</v>
      </c>
      <c r="D530" s="4">
        <v>1665.9079999999999</v>
      </c>
      <c r="E530" s="4">
        <v>1666.0029999999999</v>
      </c>
      <c r="F530" s="4"/>
      <c r="G530" s="4"/>
      <c r="H530" s="25" t="s">
        <v>2106</v>
      </c>
      <c r="I530" s="4"/>
      <c r="J530" s="6">
        <v>0</v>
      </c>
      <c r="K530" s="30" t="s">
        <v>1767</v>
      </c>
      <c r="L530" s="4"/>
      <c r="M530" s="3"/>
    </row>
    <row r="531" spans="1:13" x14ac:dyDescent="0.3">
      <c r="A531" s="3">
        <v>103</v>
      </c>
      <c r="B531" s="3">
        <v>103</v>
      </c>
      <c r="C531" s="4">
        <v>1666.3409999999999</v>
      </c>
      <c r="D531" s="4">
        <v>1666.0029999999999</v>
      </c>
      <c r="E531" s="4">
        <v>1666.6790000000001</v>
      </c>
      <c r="F531" s="4"/>
      <c r="G531" s="4"/>
      <c r="H531" s="26" t="s">
        <v>2107</v>
      </c>
      <c r="I531" s="4"/>
      <c r="J531" s="6">
        <v>0</v>
      </c>
      <c r="K531" s="29" t="s">
        <v>1767</v>
      </c>
      <c r="L531" s="4"/>
      <c r="M531" s="3"/>
    </row>
    <row r="532" spans="1:13" x14ac:dyDescent="0.3">
      <c r="A532" s="3">
        <v>103</v>
      </c>
      <c r="B532" s="3">
        <v>103</v>
      </c>
      <c r="C532" s="4">
        <v>1666.9570000000001</v>
      </c>
      <c r="D532" s="4">
        <v>1666.6790000000001</v>
      </c>
      <c r="E532" s="4">
        <v>1667.2349999999999</v>
      </c>
      <c r="F532" s="4"/>
      <c r="G532" s="4"/>
      <c r="H532" s="25" t="s">
        <v>2108</v>
      </c>
      <c r="I532" s="4"/>
      <c r="J532" s="6">
        <v>0</v>
      </c>
      <c r="K532" s="30" t="s">
        <v>1767</v>
      </c>
      <c r="L532" s="4"/>
      <c r="M532" s="3"/>
    </row>
    <row r="533" spans="1:13" x14ac:dyDescent="0.3">
      <c r="A533" s="3">
        <v>103</v>
      </c>
      <c r="B533" s="3">
        <v>103</v>
      </c>
      <c r="C533" s="4">
        <v>1667.579</v>
      </c>
      <c r="D533" s="4">
        <v>1667.2349999999999</v>
      </c>
      <c r="E533" s="4">
        <v>1667.923</v>
      </c>
      <c r="F533" s="4"/>
      <c r="G533" s="4"/>
      <c r="H533" s="26" t="s">
        <v>2109</v>
      </c>
      <c r="I533" s="4"/>
      <c r="J533" s="6">
        <v>0</v>
      </c>
      <c r="K533" s="29" t="s">
        <v>1767</v>
      </c>
      <c r="L533" s="4"/>
      <c r="M533" s="3"/>
    </row>
    <row r="534" spans="1:13" x14ac:dyDescent="0.3">
      <c r="A534" s="3">
        <v>103</v>
      </c>
      <c r="B534" s="3">
        <v>103</v>
      </c>
      <c r="C534" s="4">
        <v>1668.0150000000001</v>
      </c>
      <c r="D534" s="4">
        <v>1667.923</v>
      </c>
      <c r="E534" s="4">
        <v>1668.107</v>
      </c>
      <c r="F534" s="4"/>
      <c r="G534" s="4"/>
      <c r="H534" s="25" t="s">
        <v>2110</v>
      </c>
      <c r="I534" s="4"/>
      <c r="J534" s="6">
        <v>0</v>
      </c>
      <c r="K534" s="30" t="s">
        <v>1767</v>
      </c>
      <c r="L534" s="4"/>
      <c r="M534" s="3"/>
    </row>
    <row r="535" spans="1:13" x14ac:dyDescent="0.3">
      <c r="A535" s="3">
        <v>103</v>
      </c>
      <c r="B535" s="3">
        <v>103</v>
      </c>
      <c r="C535" s="4">
        <v>1668.432</v>
      </c>
      <c r="D535" s="4">
        <v>1668.107</v>
      </c>
      <c r="E535" s="4">
        <v>1668.7570000000001</v>
      </c>
      <c r="F535" s="4"/>
      <c r="G535" s="4"/>
      <c r="H535" s="26" t="s">
        <v>2111</v>
      </c>
      <c r="I535" s="4"/>
      <c r="J535" s="6">
        <v>0</v>
      </c>
      <c r="K535" s="29" t="s">
        <v>1767</v>
      </c>
      <c r="L535" s="4"/>
      <c r="M535" s="3"/>
    </row>
    <row r="536" spans="1:13" x14ac:dyDescent="0.3">
      <c r="A536" s="3">
        <v>103</v>
      </c>
      <c r="B536" s="3">
        <v>103</v>
      </c>
      <c r="C536" s="4">
        <v>1669.0309999999999</v>
      </c>
      <c r="D536" s="4">
        <v>1668.7570000000001</v>
      </c>
      <c r="E536" s="4">
        <v>1669.3050000000001</v>
      </c>
      <c r="F536" s="4"/>
      <c r="G536" s="4"/>
      <c r="H536" s="25" t="s">
        <v>2112</v>
      </c>
      <c r="I536" s="4"/>
      <c r="J536" s="6">
        <v>0</v>
      </c>
      <c r="K536" s="30" t="s">
        <v>1767</v>
      </c>
      <c r="L536" s="4"/>
      <c r="M536" s="3"/>
    </row>
    <row r="537" spans="1:13" x14ac:dyDescent="0.3">
      <c r="A537" s="3">
        <v>103</v>
      </c>
      <c r="B537" s="3">
        <v>103</v>
      </c>
      <c r="C537" s="4">
        <v>1669.787</v>
      </c>
      <c r="D537" s="4">
        <v>1669.3050000000001</v>
      </c>
      <c r="E537" s="4">
        <v>1670.268</v>
      </c>
      <c r="F537" s="4"/>
      <c r="G537" s="4"/>
      <c r="H537" s="26" t="s">
        <v>2113</v>
      </c>
      <c r="I537" s="4"/>
      <c r="J537" s="6">
        <v>0</v>
      </c>
      <c r="K537" s="29" t="s">
        <v>1767</v>
      </c>
      <c r="L537" s="4"/>
      <c r="M537" s="3"/>
    </row>
    <row r="538" spans="1:13" x14ac:dyDescent="0.3">
      <c r="A538" s="3">
        <v>103</v>
      </c>
      <c r="B538" s="3">
        <v>103</v>
      </c>
      <c r="C538" s="4">
        <v>1670.7449999999999</v>
      </c>
      <c r="D538" s="4">
        <v>1670.268</v>
      </c>
      <c r="E538" s="4">
        <v>1671.221</v>
      </c>
      <c r="F538" s="4"/>
      <c r="G538" s="4"/>
      <c r="H538" s="25" t="s">
        <v>2114</v>
      </c>
      <c r="I538" s="4"/>
      <c r="J538" s="6">
        <v>0</v>
      </c>
      <c r="K538" s="30" t="s">
        <v>1767</v>
      </c>
      <c r="L538" s="4"/>
      <c r="M538" s="3"/>
    </row>
    <row r="539" spans="1:13" x14ac:dyDescent="0.3">
      <c r="A539" s="3">
        <v>103</v>
      </c>
      <c r="B539" s="3">
        <v>103</v>
      </c>
      <c r="C539" s="4">
        <v>1671.5820000000001</v>
      </c>
      <c r="D539" s="4">
        <v>1671.221</v>
      </c>
      <c r="E539" s="4">
        <v>1671.942</v>
      </c>
      <c r="F539" s="4"/>
      <c r="G539" s="4"/>
      <c r="H539" s="26" t="s">
        <v>2115</v>
      </c>
      <c r="I539" s="4"/>
      <c r="J539" s="6">
        <v>0</v>
      </c>
      <c r="K539" s="29" t="s">
        <v>1767</v>
      </c>
      <c r="L539" s="4"/>
      <c r="M539" s="3"/>
    </row>
    <row r="540" spans="1:13" x14ac:dyDescent="0.3">
      <c r="A540" s="3">
        <v>103</v>
      </c>
      <c r="B540" s="3">
        <v>103</v>
      </c>
      <c r="C540" s="4">
        <v>1672.037</v>
      </c>
      <c r="D540" s="4">
        <v>1671.942</v>
      </c>
      <c r="E540" s="4">
        <v>1672.1310000000001</v>
      </c>
      <c r="F540" s="4"/>
      <c r="G540" s="4"/>
      <c r="H540" s="25" t="s">
        <v>2116</v>
      </c>
      <c r="I540" s="4"/>
      <c r="J540" s="6">
        <v>0</v>
      </c>
      <c r="K540" s="30" t="s">
        <v>1767</v>
      </c>
      <c r="L540" s="4"/>
      <c r="M540" s="3"/>
    </row>
    <row r="541" spans="1:13" x14ac:dyDescent="0.3">
      <c r="A541" s="3">
        <v>103</v>
      </c>
      <c r="B541" s="3">
        <v>103</v>
      </c>
      <c r="C541" s="4">
        <v>1672.328</v>
      </c>
      <c r="D541" s="4">
        <v>1672.1310000000001</v>
      </c>
      <c r="E541" s="4">
        <v>1672.5250000000001</v>
      </c>
      <c r="F541" s="4"/>
      <c r="G541" s="4"/>
      <c r="H541" s="26" t="s">
        <v>2117</v>
      </c>
      <c r="I541" s="4"/>
      <c r="J541" s="6">
        <v>0</v>
      </c>
      <c r="K541" s="29" t="s">
        <v>1767</v>
      </c>
      <c r="L541" s="4"/>
      <c r="M541" s="3"/>
    </row>
    <row r="542" spans="1:13" x14ac:dyDescent="0.3">
      <c r="A542" s="3">
        <v>103</v>
      </c>
      <c r="B542" s="3">
        <v>103</v>
      </c>
      <c r="C542" s="4">
        <v>1673.0989999999999</v>
      </c>
      <c r="D542" s="4">
        <v>1672.5250000000001</v>
      </c>
      <c r="E542" s="4">
        <v>1673.672</v>
      </c>
      <c r="F542" s="4"/>
      <c r="G542" s="4"/>
      <c r="H542" s="25" t="s">
        <v>2118</v>
      </c>
      <c r="I542" s="4"/>
      <c r="J542" s="6">
        <v>0</v>
      </c>
      <c r="K542" s="30" t="s">
        <v>1767</v>
      </c>
      <c r="L542" s="4"/>
      <c r="M542" s="3"/>
    </row>
    <row r="543" spans="1:13" x14ac:dyDescent="0.3">
      <c r="A543" s="3">
        <v>103</v>
      </c>
      <c r="B543" s="3">
        <v>103</v>
      </c>
      <c r="C543" s="4">
        <v>1673.866</v>
      </c>
      <c r="D543" s="4">
        <v>1673.672</v>
      </c>
      <c r="E543" s="4">
        <v>1674.06</v>
      </c>
      <c r="F543" s="4"/>
      <c r="G543" s="4"/>
      <c r="H543" s="26" t="s">
        <v>2119</v>
      </c>
      <c r="I543" s="4"/>
      <c r="J543" s="6">
        <v>0</v>
      </c>
      <c r="K543" s="29" t="s">
        <v>1767</v>
      </c>
      <c r="L543" s="4"/>
      <c r="M543" s="3"/>
    </row>
    <row r="544" spans="1:13" x14ac:dyDescent="0.3">
      <c r="A544" s="3">
        <v>103</v>
      </c>
      <c r="B544" s="3">
        <v>103</v>
      </c>
      <c r="C544" s="4">
        <v>1674.1289999999999</v>
      </c>
      <c r="D544" s="4">
        <v>1674.06</v>
      </c>
      <c r="E544" s="4">
        <v>1674.1980000000001</v>
      </c>
      <c r="F544" s="4"/>
      <c r="G544" s="4"/>
      <c r="H544" s="25" t="s">
        <v>2120</v>
      </c>
      <c r="I544" s="4"/>
      <c r="J544" s="6">
        <v>0</v>
      </c>
      <c r="K544" s="30" t="s">
        <v>1767</v>
      </c>
      <c r="L544" s="4"/>
      <c r="M544" s="3"/>
    </row>
    <row r="545" spans="1:13" x14ac:dyDescent="0.3">
      <c r="A545" s="3">
        <v>103</v>
      </c>
      <c r="B545" s="3">
        <v>103</v>
      </c>
      <c r="C545" s="4">
        <v>1674.6020000000001</v>
      </c>
      <c r="D545" s="4">
        <v>1674.1980000000001</v>
      </c>
      <c r="E545" s="4">
        <v>1675.0060000000001</v>
      </c>
      <c r="F545" s="4"/>
      <c r="G545" s="4"/>
      <c r="H545" s="26" t="s">
        <v>2121</v>
      </c>
      <c r="I545" s="4"/>
      <c r="J545" s="6">
        <v>0</v>
      </c>
      <c r="K545" s="29" t="s">
        <v>1767</v>
      </c>
      <c r="L545" s="4"/>
      <c r="M545" s="3"/>
    </row>
    <row r="546" spans="1:13" x14ac:dyDescent="0.3">
      <c r="A546" s="3">
        <v>103</v>
      </c>
      <c r="B546" s="3">
        <v>103</v>
      </c>
      <c r="C546" s="4">
        <v>1675.127</v>
      </c>
      <c r="D546" s="4">
        <v>1675.0060000000001</v>
      </c>
      <c r="E546" s="4">
        <v>1675.248</v>
      </c>
      <c r="F546" s="4"/>
      <c r="G546" s="4"/>
      <c r="H546" s="25" t="s">
        <v>2122</v>
      </c>
      <c r="I546" s="4"/>
      <c r="J546" s="6">
        <v>0</v>
      </c>
      <c r="K546" s="30" t="s">
        <v>1767</v>
      </c>
      <c r="L546" s="4"/>
      <c r="M546" s="3"/>
    </row>
    <row r="547" spans="1:13" x14ac:dyDescent="0.3">
      <c r="A547" s="3">
        <v>103</v>
      </c>
      <c r="B547" s="3">
        <v>103</v>
      </c>
      <c r="C547" s="4">
        <v>1675.787</v>
      </c>
      <c r="D547" s="4">
        <v>1675.248</v>
      </c>
      <c r="E547" s="4">
        <v>1676.325</v>
      </c>
      <c r="F547" s="4"/>
      <c r="G547" s="4"/>
      <c r="H547" s="26" t="s">
        <v>2123</v>
      </c>
      <c r="I547" s="4"/>
      <c r="J547" s="6">
        <v>0</v>
      </c>
      <c r="K547" s="29" t="s">
        <v>1767</v>
      </c>
      <c r="L547" s="4"/>
      <c r="M547" s="3"/>
    </row>
    <row r="548" spans="1:13" x14ac:dyDescent="0.3">
      <c r="A548" s="3">
        <v>103</v>
      </c>
      <c r="B548" s="3">
        <v>103</v>
      </c>
      <c r="C548" s="4">
        <v>1676.444</v>
      </c>
      <c r="D548" s="4">
        <v>1676.325</v>
      </c>
      <c r="E548" s="4">
        <v>1676.5619999999999</v>
      </c>
      <c r="F548" s="4"/>
      <c r="G548" s="4"/>
      <c r="H548" s="25" t="s">
        <v>2124</v>
      </c>
      <c r="I548" s="4"/>
      <c r="J548" s="6">
        <v>0</v>
      </c>
      <c r="K548" s="30" t="s">
        <v>1767</v>
      </c>
      <c r="L548" s="4"/>
      <c r="M548" s="3"/>
    </row>
    <row r="549" spans="1:13" x14ac:dyDescent="0.3">
      <c r="A549" s="3">
        <v>103</v>
      </c>
      <c r="B549" s="3">
        <v>103</v>
      </c>
      <c r="C549" s="4">
        <v>1676.98</v>
      </c>
      <c r="D549" s="4">
        <v>1676.5619999999999</v>
      </c>
      <c r="E549" s="4">
        <v>1677.3979999999999</v>
      </c>
      <c r="F549" s="4"/>
      <c r="G549" s="4"/>
      <c r="H549" s="26" t="s">
        <v>2125</v>
      </c>
      <c r="I549" s="4"/>
      <c r="J549" s="6">
        <v>0</v>
      </c>
      <c r="K549" s="29" t="s">
        <v>1767</v>
      </c>
      <c r="L549" s="4"/>
      <c r="M549" s="3"/>
    </row>
    <row r="550" spans="1:13" x14ac:dyDescent="0.3">
      <c r="A550" s="3">
        <v>103</v>
      </c>
      <c r="B550" s="3">
        <v>103</v>
      </c>
      <c r="C550" s="4">
        <v>1677.501</v>
      </c>
      <c r="D550" s="4">
        <v>1677.3979999999999</v>
      </c>
      <c r="E550" s="4">
        <v>1677.6030000000001</v>
      </c>
      <c r="F550" s="4"/>
      <c r="G550" s="4"/>
      <c r="H550" s="25" t="s">
        <v>2126</v>
      </c>
      <c r="I550" s="4"/>
      <c r="J550" s="6">
        <v>0</v>
      </c>
      <c r="K550" s="30" t="s">
        <v>1767</v>
      </c>
      <c r="L550" s="4"/>
      <c r="M550" s="3"/>
    </row>
    <row r="551" spans="1:13" x14ac:dyDescent="0.3">
      <c r="A551" s="3">
        <v>103</v>
      </c>
      <c r="B551" s="3">
        <v>103</v>
      </c>
      <c r="C551" s="4">
        <v>1677.8610000000001</v>
      </c>
      <c r="D551" s="4">
        <v>1677.6030000000001</v>
      </c>
      <c r="E551" s="4">
        <v>1678.1179999999999</v>
      </c>
      <c r="F551" s="4"/>
      <c r="G551" s="4"/>
      <c r="H551" s="26" t="s">
        <v>2127</v>
      </c>
      <c r="I551" s="4"/>
      <c r="J551" s="6">
        <v>0</v>
      </c>
      <c r="K551" s="29" t="s">
        <v>1767</v>
      </c>
      <c r="L551" s="4"/>
      <c r="M551" s="3"/>
    </row>
    <row r="552" spans="1:13" x14ac:dyDescent="0.3">
      <c r="A552" s="3">
        <v>103</v>
      </c>
      <c r="B552" s="3">
        <v>103</v>
      </c>
      <c r="C552" s="4">
        <v>1678.2670000000001</v>
      </c>
      <c r="D552" s="4">
        <v>1678.1179999999999</v>
      </c>
      <c r="E552" s="4">
        <v>1678.415</v>
      </c>
      <c r="F552" s="4"/>
      <c r="G552" s="4"/>
      <c r="H552" s="25" t="s">
        <v>2128</v>
      </c>
      <c r="I552" s="4"/>
      <c r="J552" s="6">
        <v>0</v>
      </c>
      <c r="K552" s="30" t="s">
        <v>1767</v>
      </c>
      <c r="L552" s="4"/>
      <c r="M552" s="3"/>
    </row>
    <row r="553" spans="1:13" x14ac:dyDescent="0.3">
      <c r="A553" s="3">
        <v>103</v>
      </c>
      <c r="B553" s="3">
        <v>103</v>
      </c>
      <c r="C553" s="4">
        <v>1678.693</v>
      </c>
      <c r="D553" s="4">
        <v>1678.415</v>
      </c>
      <c r="E553" s="4">
        <v>1678.97</v>
      </c>
      <c r="F553" s="4"/>
      <c r="G553" s="4"/>
      <c r="H553" s="26" t="s">
        <v>2129</v>
      </c>
      <c r="I553" s="4"/>
      <c r="J553" s="6">
        <v>0</v>
      </c>
      <c r="K553" s="29" t="s">
        <v>1767</v>
      </c>
      <c r="L553" s="4"/>
      <c r="M553" s="3"/>
    </row>
    <row r="554" spans="1:13" x14ac:dyDescent="0.3">
      <c r="A554" s="3">
        <v>103</v>
      </c>
      <c r="B554" s="3">
        <v>103</v>
      </c>
      <c r="C554" s="4">
        <v>1679.086</v>
      </c>
      <c r="D554" s="4">
        <v>1678.97</v>
      </c>
      <c r="E554" s="4">
        <v>1679.202</v>
      </c>
      <c r="F554" s="4"/>
      <c r="G554" s="4"/>
      <c r="H554" s="25" t="s">
        <v>2130</v>
      </c>
      <c r="I554" s="4"/>
      <c r="J554" s="6">
        <v>0</v>
      </c>
      <c r="K554" s="30" t="s">
        <v>1767</v>
      </c>
      <c r="L554" s="4"/>
      <c r="M554" s="3"/>
    </row>
    <row r="555" spans="1:13" x14ac:dyDescent="0.3">
      <c r="A555" s="3">
        <v>103</v>
      </c>
      <c r="B555" s="3">
        <v>103</v>
      </c>
      <c r="C555" s="4">
        <v>1679.5830000000001</v>
      </c>
      <c r="D555" s="4">
        <v>1679.202</v>
      </c>
      <c r="E555" s="4">
        <v>1679.963</v>
      </c>
      <c r="F555" s="4"/>
      <c r="G555" s="4"/>
      <c r="H555" s="26" t="s">
        <v>2131</v>
      </c>
      <c r="I555" s="4"/>
      <c r="J555" s="6">
        <v>0</v>
      </c>
      <c r="K555" s="29" t="s">
        <v>1767</v>
      </c>
      <c r="L555" s="4"/>
      <c r="M555" s="3"/>
    </row>
    <row r="556" spans="1:13" x14ac:dyDescent="0.3">
      <c r="A556" s="3">
        <v>103</v>
      </c>
      <c r="B556" s="3">
        <v>103</v>
      </c>
      <c r="C556" s="4">
        <v>1680.0329999999999</v>
      </c>
      <c r="D556" s="4">
        <v>1679.963</v>
      </c>
      <c r="E556" s="4">
        <v>1680.1020000000001</v>
      </c>
      <c r="F556" s="4"/>
      <c r="G556" s="4"/>
      <c r="H556" s="25" t="s">
        <v>2132</v>
      </c>
      <c r="I556" s="4"/>
      <c r="J556" s="6">
        <v>0</v>
      </c>
      <c r="K556" s="30" t="s">
        <v>1767</v>
      </c>
      <c r="L556" s="4"/>
      <c r="M556" s="3"/>
    </row>
    <row r="557" spans="1:13" x14ac:dyDescent="0.3">
      <c r="A557" s="3">
        <v>103</v>
      </c>
      <c r="B557" s="3">
        <v>103</v>
      </c>
      <c r="C557" s="4">
        <v>1680.4760000000001</v>
      </c>
      <c r="D557" s="4">
        <v>1680.1020000000001</v>
      </c>
      <c r="E557" s="4">
        <v>1680.85</v>
      </c>
      <c r="F557" s="4"/>
      <c r="G557" s="4"/>
      <c r="H557" s="26" t="s">
        <v>2133</v>
      </c>
      <c r="I557" s="4"/>
      <c r="J557" s="6">
        <v>0</v>
      </c>
      <c r="K557" s="29" t="s">
        <v>1767</v>
      </c>
      <c r="L557" s="4"/>
      <c r="M557" s="3"/>
    </row>
    <row r="558" spans="1:13" x14ac:dyDescent="0.3">
      <c r="A558" s="3">
        <v>103</v>
      </c>
      <c r="B558" s="3">
        <v>103</v>
      </c>
      <c r="C558" s="4">
        <v>1680.883</v>
      </c>
      <c r="D558" s="4">
        <v>1680.85</v>
      </c>
      <c r="E558" s="4">
        <v>1680.9159999999999</v>
      </c>
      <c r="F558" s="4"/>
      <c r="G558" s="4"/>
      <c r="H558" s="25" t="s">
        <v>2134</v>
      </c>
      <c r="I558" s="4"/>
      <c r="J558" s="6">
        <v>0</v>
      </c>
      <c r="K558" s="30" t="s">
        <v>1767</v>
      </c>
      <c r="L558" s="4"/>
      <c r="M558" s="3"/>
    </row>
    <row r="559" spans="1:13" x14ac:dyDescent="0.3">
      <c r="A559" s="3">
        <v>103</v>
      </c>
      <c r="B559" s="3">
        <v>103</v>
      </c>
      <c r="C559" s="4">
        <v>1681.1110000000001</v>
      </c>
      <c r="D559" s="4">
        <v>1680.9159999999999</v>
      </c>
      <c r="E559" s="4">
        <v>1681.3050000000001</v>
      </c>
      <c r="F559" s="4"/>
      <c r="G559" s="4"/>
      <c r="H559" s="26" t="s">
        <v>2135</v>
      </c>
      <c r="I559" s="4"/>
      <c r="J559" s="6">
        <v>0</v>
      </c>
      <c r="K559" s="29" t="s">
        <v>1767</v>
      </c>
      <c r="L559" s="4"/>
      <c r="M559" s="3"/>
    </row>
    <row r="560" spans="1:13" x14ac:dyDescent="0.3">
      <c r="A560" s="3">
        <v>103</v>
      </c>
      <c r="B560" s="3">
        <v>103</v>
      </c>
      <c r="C560" s="4">
        <v>1681.4090000000001</v>
      </c>
      <c r="D560" s="4">
        <v>1681.3050000000001</v>
      </c>
      <c r="E560" s="4">
        <v>1681.5129999999999</v>
      </c>
      <c r="F560" s="4"/>
      <c r="G560" s="4"/>
      <c r="H560" s="25" t="s">
        <v>2136</v>
      </c>
      <c r="I560" s="4"/>
      <c r="J560" s="6">
        <v>0</v>
      </c>
      <c r="K560" s="30" t="s">
        <v>1767</v>
      </c>
      <c r="L560" s="4"/>
      <c r="M560" s="3"/>
    </row>
    <row r="561" spans="1:13" x14ac:dyDescent="0.3">
      <c r="A561" s="3">
        <v>103</v>
      </c>
      <c r="B561" s="3">
        <v>103</v>
      </c>
      <c r="C561" s="4">
        <v>1681.7560000000001</v>
      </c>
      <c r="D561" s="4">
        <v>1681.5129999999999</v>
      </c>
      <c r="E561" s="4">
        <v>1681.999</v>
      </c>
      <c r="F561" s="4"/>
      <c r="G561" s="4"/>
      <c r="H561" s="26" t="s">
        <v>2137</v>
      </c>
      <c r="I561" s="4"/>
      <c r="J561" s="6">
        <v>0</v>
      </c>
      <c r="K561" s="29" t="s">
        <v>1767</v>
      </c>
      <c r="L561" s="4"/>
      <c r="M561" s="3"/>
    </row>
    <row r="562" spans="1:13" x14ac:dyDescent="0.3">
      <c r="A562" s="3">
        <v>103</v>
      </c>
      <c r="B562" s="3">
        <v>103</v>
      </c>
      <c r="C562" s="4">
        <v>1682.3910000000001</v>
      </c>
      <c r="D562" s="4">
        <v>1681.999</v>
      </c>
      <c r="E562" s="4">
        <v>1682.7819999999999</v>
      </c>
      <c r="F562" s="4"/>
      <c r="G562" s="4"/>
      <c r="H562" s="25" t="s">
        <v>2138</v>
      </c>
      <c r="I562" s="4"/>
      <c r="J562" s="6">
        <v>0</v>
      </c>
      <c r="K562" s="30" t="s">
        <v>1767</v>
      </c>
      <c r="L562" s="4"/>
      <c r="M562" s="3"/>
    </row>
    <row r="563" spans="1:13" x14ac:dyDescent="0.3">
      <c r="A563" s="3">
        <v>103</v>
      </c>
      <c r="B563" s="3">
        <v>103</v>
      </c>
      <c r="C563" s="4">
        <v>1683.192</v>
      </c>
      <c r="D563" s="4">
        <v>1682.7819999999999</v>
      </c>
      <c r="E563" s="4">
        <v>1683.6020000000001</v>
      </c>
      <c r="F563" s="4"/>
      <c r="G563" s="4"/>
      <c r="H563" s="26" t="s">
        <v>2139</v>
      </c>
      <c r="I563" s="4"/>
      <c r="J563" s="6">
        <v>0</v>
      </c>
      <c r="K563" s="29" t="s">
        <v>1767</v>
      </c>
      <c r="L563" s="4"/>
      <c r="M563" s="3"/>
    </row>
    <row r="564" spans="1:13" x14ac:dyDescent="0.3">
      <c r="A564" s="3">
        <v>103</v>
      </c>
      <c r="B564" s="3">
        <v>103</v>
      </c>
      <c r="C564" s="4">
        <v>1683.7829999999999</v>
      </c>
      <c r="D564" s="4">
        <v>1683.6020000000001</v>
      </c>
      <c r="E564" s="4">
        <v>1683.963</v>
      </c>
      <c r="F564" s="4"/>
      <c r="G564" s="4"/>
      <c r="H564" s="25" t="s">
        <v>2140</v>
      </c>
      <c r="I564" s="4"/>
      <c r="J564" s="6">
        <v>0</v>
      </c>
      <c r="K564" s="30" t="s">
        <v>1767</v>
      </c>
      <c r="L564" s="4"/>
      <c r="M564" s="3"/>
    </row>
    <row r="565" spans="1:13" x14ac:dyDescent="0.3">
      <c r="A565" s="3">
        <v>103</v>
      </c>
      <c r="B565" s="3">
        <v>103</v>
      </c>
      <c r="C565" s="4">
        <v>1684.384</v>
      </c>
      <c r="D565" s="4">
        <v>1683.963</v>
      </c>
      <c r="E565" s="4">
        <v>1684.8040000000001</v>
      </c>
      <c r="F565" s="4"/>
      <c r="G565" s="4"/>
      <c r="H565" s="26" t="s">
        <v>2141</v>
      </c>
      <c r="I565" s="4"/>
      <c r="J565" s="6">
        <v>0</v>
      </c>
      <c r="K565" s="29" t="s">
        <v>1767</v>
      </c>
      <c r="L565" s="4"/>
      <c r="M565" s="3"/>
    </row>
    <row r="566" spans="1:13" x14ac:dyDescent="0.3">
      <c r="A566" s="3">
        <v>103</v>
      </c>
      <c r="B566" s="3">
        <v>103</v>
      </c>
      <c r="C566" s="4">
        <v>1685.4449999999999</v>
      </c>
      <c r="D566" s="4">
        <v>1684.8040000000001</v>
      </c>
      <c r="E566" s="4">
        <v>1686.086</v>
      </c>
      <c r="F566" s="4"/>
      <c r="G566" s="4"/>
      <c r="H566" s="25" t="s">
        <v>2142</v>
      </c>
      <c r="I566" s="4"/>
      <c r="J566" s="6">
        <v>0</v>
      </c>
      <c r="K566" s="30" t="s">
        <v>1767</v>
      </c>
      <c r="L566" s="4"/>
      <c r="M566" s="3"/>
    </row>
    <row r="567" spans="1:13" x14ac:dyDescent="0.3">
      <c r="A567" s="3">
        <v>103</v>
      </c>
      <c r="B567" s="3">
        <v>103</v>
      </c>
      <c r="C567" s="4">
        <v>1686.308</v>
      </c>
      <c r="D567" s="4">
        <v>1686.086</v>
      </c>
      <c r="E567" s="4">
        <v>1686.53</v>
      </c>
      <c r="F567" s="4"/>
      <c r="G567" s="4"/>
      <c r="H567" s="26" t="s">
        <v>2143</v>
      </c>
      <c r="I567" s="4"/>
      <c r="J567" s="6">
        <v>0</v>
      </c>
      <c r="K567" s="29" t="s">
        <v>1767</v>
      </c>
      <c r="L567" s="4"/>
      <c r="M567" s="3"/>
    </row>
    <row r="568" spans="1:13" x14ac:dyDescent="0.3">
      <c r="A568" s="3">
        <v>103</v>
      </c>
      <c r="B568" s="3">
        <v>103</v>
      </c>
      <c r="C568" s="4">
        <v>1687.329</v>
      </c>
      <c r="D568" s="4">
        <v>1686.53</v>
      </c>
      <c r="E568" s="4">
        <v>1688.127</v>
      </c>
      <c r="F568" s="4"/>
      <c r="G568" s="4"/>
      <c r="H568" s="25" t="s">
        <v>2144</v>
      </c>
      <c r="I568" s="4"/>
      <c r="J568" s="6">
        <v>0</v>
      </c>
      <c r="K568" s="30" t="s">
        <v>1767</v>
      </c>
      <c r="L568" s="4"/>
      <c r="M568" s="3"/>
    </row>
    <row r="569" spans="1:13" x14ac:dyDescent="0.3">
      <c r="A569" s="3">
        <v>103</v>
      </c>
      <c r="B569" s="3">
        <v>103</v>
      </c>
      <c r="C569" s="4">
        <v>1688.712</v>
      </c>
      <c r="D569" s="4">
        <v>1688.127</v>
      </c>
      <c r="E569" s="4">
        <v>1689.297</v>
      </c>
      <c r="F569" s="4"/>
      <c r="G569" s="4"/>
      <c r="H569" s="26" t="s">
        <v>2145</v>
      </c>
      <c r="I569" s="4"/>
      <c r="J569" s="6">
        <v>0</v>
      </c>
      <c r="K569" s="29" t="s">
        <v>1767</v>
      </c>
      <c r="L569" s="4"/>
      <c r="M569" s="3"/>
    </row>
    <row r="570" spans="1:13" x14ac:dyDescent="0.3">
      <c r="A570" s="3">
        <v>103</v>
      </c>
      <c r="B570" s="3">
        <v>103</v>
      </c>
      <c r="C570" s="4">
        <v>1689.606</v>
      </c>
      <c r="D570" s="4">
        <v>1689.297</v>
      </c>
      <c r="E570" s="4">
        <v>1689.914</v>
      </c>
      <c r="F570" s="4"/>
      <c r="G570" s="4"/>
      <c r="H570" s="25" t="s">
        <v>2146</v>
      </c>
      <c r="I570" s="4"/>
      <c r="J570" s="6">
        <v>0</v>
      </c>
      <c r="K570" s="30" t="s">
        <v>1767</v>
      </c>
      <c r="L570" s="4"/>
      <c r="M570" s="3"/>
    </row>
    <row r="571" spans="1:13" x14ac:dyDescent="0.3">
      <c r="A571" s="3">
        <v>103</v>
      </c>
      <c r="B571" s="3">
        <v>103</v>
      </c>
      <c r="C571" s="4">
        <v>1690.3979999999999</v>
      </c>
      <c r="D571" s="4">
        <v>1689.914</v>
      </c>
      <c r="E571" s="4">
        <v>1690.8810000000001</v>
      </c>
      <c r="F571" s="4"/>
      <c r="G571" s="4"/>
      <c r="H571" s="26" t="s">
        <v>2147</v>
      </c>
      <c r="I571" s="4"/>
      <c r="J571" s="6">
        <v>0</v>
      </c>
      <c r="K571" s="29" t="s">
        <v>1767</v>
      </c>
      <c r="L571" s="4"/>
      <c r="M571" s="3"/>
    </row>
    <row r="572" spans="1:13" x14ac:dyDescent="0.3">
      <c r="A572" s="3">
        <v>103</v>
      </c>
      <c r="B572" s="3">
        <v>103</v>
      </c>
      <c r="C572" s="4">
        <v>1690.9549999999999</v>
      </c>
      <c r="D572" s="4">
        <v>1690.8810000000001</v>
      </c>
      <c r="E572" s="4">
        <v>1691.029</v>
      </c>
      <c r="F572" s="4"/>
      <c r="G572" s="4"/>
      <c r="H572" s="25" t="s">
        <v>2148</v>
      </c>
      <c r="I572" s="4"/>
      <c r="J572" s="6">
        <v>0</v>
      </c>
      <c r="K572" s="30" t="s">
        <v>1767</v>
      </c>
      <c r="L572" s="4"/>
      <c r="M572" s="3"/>
    </row>
    <row r="573" spans="1:13" x14ac:dyDescent="0.3">
      <c r="A573" s="3">
        <v>103</v>
      </c>
      <c r="B573" s="3">
        <v>103</v>
      </c>
      <c r="C573" s="4">
        <v>1691.405</v>
      </c>
      <c r="D573" s="4">
        <v>1691.029</v>
      </c>
      <c r="E573" s="4">
        <v>1691.7809999999999</v>
      </c>
      <c r="F573" s="4"/>
      <c r="G573" s="4"/>
      <c r="H573" s="26" t="s">
        <v>2149</v>
      </c>
      <c r="I573" s="4"/>
      <c r="J573" s="6">
        <v>0</v>
      </c>
      <c r="K573" s="29" t="s">
        <v>1767</v>
      </c>
      <c r="L573" s="4"/>
      <c r="M573" s="3"/>
    </row>
    <row r="574" spans="1:13" x14ac:dyDescent="0.3">
      <c r="A574" s="3">
        <v>103</v>
      </c>
      <c r="B574" s="3">
        <v>103</v>
      </c>
      <c r="C574" s="4">
        <v>1692.009</v>
      </c>
      <c r="D574" s="4">
        <v>1691.7809999999999</v>
      </c>
      <c r="E574" s="4">
        <v>1692.2370000000001</v>
      </c>
      <c r="F574" s="4"/>
      <c r="G574" s="4"/>
      <c r="H574" s="25" t="s">
        <v>2150</v>
      </c>
      <c r="I574" s="4"/>
      <c r="J574" s="6">
        <v>0</v>
      </c>
      <c r="K574" s="30" t="s">
        <v>1767</v>
      </c>
      <c r="L574" s="4"/>
      <c r="M574" s="3"/>
    </row>
    <row r="575" spans="1:13" x14ac:dyDescent="0.3">
      <c r="A575" s="3">
        <v>103</v>
      </c>
      <c r="B575" s="3">
        <v>103</v>
      </c>
      <c r="C575" s="4">
        <v>1692.489</v>
      </c>
      <c r="D575" s="4">
        <v>1692.2370000000001</v>
      </c>
      <c r="E575" s="4">
        <v>1692.741</v>
      </c>
      <c r="F575" s="4"/>
      <c r="G575" s="4"/>
      <c r="H575" s="26" t="s">
        <v>2151</v>
      </c>
      <c r="I575" s="4"/>
      <c r="J575" s="6">
        <v>0</v>
      </c>
      <c r="K575" s="29" t="s">
        <v>1767</v>
      </c>
      <c r="L575" s="4"/>
      <c r="M575" s="3"/>
    </row>
    <row r="576" spans="1:13" x14ac:dyDescent="0.3">
      <c r="A576" s="3">
        <v>103</v>
      </c>
      <c r="B576" s="3">
        <v>103</v>
      </c>
      <c r="C576" s="4">
        <v>1693.048</v>
      </c>
      <c r="D576" s="4">
        <v>1692.741</v>
      </c>
      <c r="E576" s="4">
        <v>1693.354</v>
      </c>
      <c r="F576" s="4"/>
      <c r="G576" s="4"/>
      <c r="H576" s="25" t="s">
        <v>2152</v>
      </c>
      <c r="I576" s="4"/>
      <c r="J576" s="6">
        <v>0</v>
      </c>
      <c r="K576" s="30" t="s">
        <v>1767</v>
      </c>
      <c r="L576" s="4"/>
      <c r="M576" s="3"/>
    </row>
    <row r="577" spans="1:13" x14ac:dyDescent="0.3">
      <c r="A577" s="3">
        <v>103</v>
      </c>
      <c r="B577" s="3">
        <v>103</v>
      </c>
      <c r="C577" s="4">
        <v>1693.576</v>
      </c>
      <c r="D577" s="4">
        <v>1693.354</v>
      </c>
      <c r="E577" s="4">
        <v>1693.797</v>
      </c>
      <c r="F577" s="4"/>
      <c r="G577" s="4"/>
      <c r="H577" s="26" t="s">
        <v>2153</v>
      </c>
      <c r="I577" s="4"/>
      <c r="J577" s="6">
        <v>0</v>
      </c>
      <c r="K577" s="29" t="s">
        <v>1767</v>
      </c>
      <c r="L577" s="4"/>
      <c r="M577" s="3"/>
    </row>
    <row r="578" spans="1:13" x14ac:dyDescent="0.3">
      <c r="A578" s="3">
        <v>103</v>
      </c>
      <c r="B578" s="3">
        <v>103</v>
      </c>
      <c r="C578" s="4">
        <v>1693.9580000000001</v>
      </c>
      <c r="D578" s="4">
        <v>1693.797</v>
      </c>
      <c r="E578" s="4">
        <v>1694.1189999999999</v>
      </c>
      <c r="F578" s="4"/>
      <c r="G578" s="4"/>
      <c r="H578" s="25" t="s">
        <v>2154</v>
      </c>
      <c r="I578" s="4"/>
      <c r="J578" s="6">
        <v>0</v>
      </c>
      <c r="K578" s="30" t="s">
        <v>1767</v>
      </c>
      <c r="L578" s="4"/>
      <c r="M578" s="3"/>
    </row>
    <row r="579" spans="1:13" x14ac:dyDescent="0.3">
      <c r="A579" s="3">
        <v>103</v>
      </c>
      <c r="B579" s="3">
        <v>103</v>
      </c>
      <c r="C579" s="4">
        <v>1694.357</v>
      </c>
      <c r="D579" s="4">
        <v>1694.1189999999999</v>
      </c>
      <c r="E579" s="4">
        <v>1694.595</v>
      </c>
      <c r="F579" s="4"/>
      <c r="G579" s="4"/>
      <c r="H579" s="26" t="s">
        <v>2155</v>
      </c>
      <c r="I579" s="4"/>
      <c r="J579" s="6">
        <v>0</v>
      </c>
      <c r="K579" s="29" t="s">
        <v>1767</v>
      </c>
      <c r="L579" s="4"/>
      <c r="M579" s="3"/>
    </row>
    <row r="580" spans="1:13" x14ac:dyDescent="0.3">
      <c r="A580" s="3">
        <v>103</v>
      </c>
      <c r="B580" s="3">
        <v>103</v>
      </c>
      <c r="C580" s="4">
        <v>1694.9190000000001</v>
      </c>
      <c r="D580" s="4">
        <v>1694.595</v>
      </c>
      <c r="E580" s="4">
        <v>1695.2429999999999</v>
      </c>
      <c r="F580" s="4"/>
      <c r="G580" s="4"/>
      <c r="H580" s="25" t="s">
        <v>2156</v>
      </c>
      <c r="I580" s="4"/>
      <c r="J580" s="6">
        <v>0</v>
      </c>
      <c r="K580" s="30" t="s">
        <v>1767</v>
      </c>
      <c r="L580" s="4"/>
      <c r="M580" s="3"/>
    </row>
    <row r="581" spans="1:13" x14ac:dyDescent="0.3">
      <c r="A581" s="3">
        <v>103</v>
      </c>
      <c r="B581" s="3">
        <v>103</v>
      </c>
      <c r="C581" s="4">
        <v>1695.5360000000001</v>
      </c>
      <c r="D581" s="4">
        <v>1695.2429999999999</v>
      </c>
      <c r="E581" s="4">
        <v>1695.829</v>
      </c>
      <c r="F581" s="4"/>
      <c r="G581" s="4"/>
      <c r="H581" s="26" t="s">
        <v>2157</v>
      </c>
      <c r="I581" s="4"/>
      <c r="J581" s="6">
        <v>0</v>
      </c>
      <c r="K581" s="29" t="s">
        <v>1767</v>
      </c>
      <c r="L581" s="4"/>
      <c r="M581" s="3"/>
    </row>
    <row r="582" spans="1:13" x14ac:dyDescent="0.3">
      <c r="A582" s="3">
        <v>103</v>
      </c>
      <c r="B582" s="3">
        <v>103</v>
      </c>
      <c r="C582" s="4">
        <v>1696.5239999999999</v>
      </c>
      <c r="D582" s="4">
        <v>1695.829</v>
      </c>
      <c r="E582" s="4">
        <v>1697.2190000000001</v>
      </c>
      <c r="F582" s="4"/>
      <c r="G582" s="4"/>
      <c r="H582" s="25" t="s">
        <v>2158</v>
      </c>
      <c r="I582" s="4"/>
      <c r="J582" s="6">
        <v>0</v>
      </c>
      <c r="K582" s="30" t="s">
        <v>1767</v>
      </c>
      <c r="L582" s="4"/>
      <c r="M582" s="3"/>
    </row>
    <row r="583" spans="1:13" x14ac:dyDescent="0.3">
      <c r="A583" s="3">
        <v>103</v>
      </c>
      <c r="B583" s="3">
        <v>103</v>
      </c>
      <c r="C583" s="4">
        <v>1697.6969999999999</v>
      </c>
      <c r="D583" s="4">
        <v>1697.2190000000001</v>
      </c>
      <c r="E583" s="4">
        <v>1698.175</v>
      </c>
      <c r="F583" s="4"/>
      <c r="G583" s="4"/>
      <c r="H583" s="26" t="s">
        <v>2159</v>
      </c>
      <c r="I583" s="4"/>
      <c r="J583" s="6">
        <v>0</v>
      </c>
      <c r="K583" s="29" t="s">
        <v>1767</v>
      </c>
      <c r="L583" s="4"/>
      <c r="M583" s="3"/>
    </row>
    <row r="584" spans="1:13" x14ac:dyDescent="0.3">
      <c r="A584" s="3">
        <v>103</v>
      </c>
      <c r="B584" s="3">
        <v>103</v>
      </c>
      <c r="C584" s="4">
        <v>1698.7539999999999</v>
      </c>
      <c r="D584" s="4">
        <v>1698.175</v>
      </c>
      <c r="E584" s="4">
        <v>1699.3320000000001</v>
      </c>
      <c r="F584" s="4"/>
      <c r="G584" s="4"/>
      <c r="H584" s="25" t="s">
        <v>2160</v>
      </c>
      <c r="I584" s="4"/>
      <c r="J584" s="6">
        <v>0</v>
      </c>
      <c r="K584" s="30" t="s">
        <v>1767</v>
      </c>
      <c r="L584" s="4"/>
      <c r="M584" s="3"/>
    </row>
    <row r="585" spans="1:13" x14ac:dyDescent="0.3">
      <c r="A585" s="3">
        <v>103</v>
      </c>
      <c r="B585" s="3">
        <v>103</v>
      </c>
      <c r="C585" s="4">
        <v>1699.741</v>
      </c>
      <c r="D585" s="4">
        <v>1699.3320000000001</v>
      </c>
      <c r="E585" s="4">
        <v>1700.15</v>
      </c>
      <c r="F585" s="4"/>
      <c r="G585" s="4"/>
      <c r="H585" s="26" t="s">
        <v>2161</v>
      </c>
      <c r="I585" s="4"/>
      <c r="J585" s="6">
        <v>0</v>
      </c>
      <c r="K585" s="29" t="s">
        <v>1767</v>
      </c>
      <c r="L585" s="4"/>
      <c r="M585" s="3"/>
    </row>
    <row r="586" spans="1:13" x14ac:dyDescent="0.3">
      <c r="A586" s="3">
        <v>103</v>
      </c>
      <c r="B586" s="3">
        <v>103</v>
      </c>
      <c r="C586" s="4">
        <v>1700.4659999999999</v>
      </c>
      <c r="D586" s="4">
        <v>1700.15</v>
      </c>
      <c r="E586" s="4">
        <v>1700.7809999999999</v>
      </c>
      <c r="F586" s="4"/>
      <c r="G586" s="4"/>
      <c r="H586" s="25" t="s">
        <v>2162</v>
      </c>
      <c r="I586" s="4"/>
      <c r="J586" s="6">
        <v>0</v>
      </c>
      <c r="K586" s="30" t="s">
        <v>1767</v>
      </c>
      <c r="L586" s="4"/>
      <c r="M586" s="3"/>
    </row>
    <row r="587" spans="1:13" x14ac:dyDescent="0.3">
      <c r="A587" s="3">
        <v>103</v>
      </c>
      <c r="B587" s="3">
        <v>103</v>
      </c>
      <c r="C587" s="4">
        <v>1700.922</v>
      </c>
      <c r="D587" s="4">
        <v>1700.7809999999999</v>
      </c>
      <c r="E587" s="4">
        <v>1701.0619999999999</v>
      </c>
      <c r="F587" s="4"/>
      <c r="G587" s="4"/>
      <c r="H587" s="26" t="s">
        <v>2163</v>
      </c>
      <c r="I587" s="4"/>
      <c r="J587" s="6">
        <v>0</v>
      </c>
      <c r="K587" s="29" t="s">
        <v>1767</v>
      </c>
      <c r="L587" s="4"/>
      <c r="M587" s="3"/>
    </row>
    <row r="588" spans="1:13" x14ac:dyDescent="0.3">
      <c r="A588" s="3">
        <v>103</v>
      </c>
      <c r="B588" s="3">
        <v>103</v>
      </c>
      <c r="C588" s="4">
        <v>1701.577</v>
      </c>
      <c r="D588" s="4">
        <v>1701.0619999999999</v>
      </c>
      <c r="E588" s="4">
        <v>1702.0920000000001</v>
      </c>
      <c r="F588" s="4"/>
      <c r="G588" s="4"/>
      <c r="H588" s="25" t="s">
        <v>2164</v>
      </c>
      <c r="I588" s="4"/>
      <c r="J588" s="6">
        <v>0</v>
      </c>
      <c r="K588" s="30" t="s">
        <v>1767</v>
      </c>
      <c r="L588" s="4"/>
      <c r="M588" s="3"/>
    </row>
    <row r="589" spans="1:13" x14ac:dyDescent="0.3">
      <c r="A589" s="3">
        <v>103</v>
      </c>
      <c r="B589" s="3">
        <v>103</v>
      </c>
      <c r="C589" s="4">
        <v>1702.2809999999999</v>
      </c>
      <c r="D589" s="4">
        <v>1702.0920000000001</v>
      </c>
      <c r="E589" s="4">
        <v>1702.4690000000001</v>
      </c>
      <c r="F589" s="4"/>
      <c r="G589" s="4"/>
      <c r="H589" s="26" t="s">
        <v>2165</v>
      </c>
      <c r="I589" s="4"/>
      <c r="J589" s="6">
        <v>0</v>
      </c>
      <c r="K589" s="29" t="s">
        <v>1767</v>
      </c>
      <c r="L589" s="4"/>
      <c r="M589" s="3"/>
    </row>
    <row r="590" spans="1:13" x14ac:dyDescent="0.3">
      <c r="A590" s="3">
        <v>103</v>
      </c>
      <c r="B590" s="3">
        <v>103</v>
      </c>
      <c r="C590" s="4">
        <v>1703.1489999999999</v>
      </c>
      <c r="D590" s="4">
        <v>1702.4690000000001</v>
      </c>
      <c r="E590" s="4">
        <v>1703.828</v>
      </c>
      <c r="F590" s="4"/>
      <c r="G590" s="4"/>
      <c r="H590" s="25" t="s">
        <v>2166</v>
      </c>
      <c r="I590" s="4"/>
      <c r="J590" s="6">
        <v>0</v>
      </c>
      <c r="K590" s="30" t="s">
        <v>1767</v>
      </c>
      <c r="L590" s="4"/>
      <c r="M590" s="3"/>
    </row>
    <row r="591" spans="1:13" x14ac:dyDescent="0.3">
      <c r="A591" s="3">
        <v>103</v>
      </c>
      <c r="B591" s="3">
        <v>103</v>
      </c>
      <c r="C591" s="4">
        <v>1704.327</v>
      </c>
      <c r="D591" s="4">
        <v>1703.828</v>
      </c>
      <c r="E591" s="4">
        <v>1704.825</v>
      </c>
      <c r="F591" s="4"/>
      <c r="G591" s="4"/>
      <c r="H591" s="26" t="s">
        <v>2167</v>
      </c>
      <c r="I591" s="4"/>
      <c r="J591" s="6">
        <v>0</v>
      </c>
      <c r="K591" s="29" t="s">
        <v>1767</v>
      </c>
      <c r="L591" s="4"/>
      <c r="M591" s="3"/>
    </row>
    <row r="592" spans="1:13" x14ac:dyDescent="0.3">
      <c r="A592" s="3">
        <v>103</v>
      </c>
      <c r="B592" s="3">
        <v>103</v>
      </c>
      <c r="C592" s="4">
        <v>1705.0070000000001</v>
      </c>
      <c r="D592" s="4">
        <v>1704.825</v>
      </c>
      <c r="E592" s="4">
        <v>1705.1880000000001</v>
      </c>
      <c r="F592" s="4"/>
      <c r="G592" s="4"/>
      <c r="H592" s="25" t="s">
        <v>2168</v>
      </c>
      <c r="I592" s="4"/>
      <c r="J592" s="6">
        <v>0</v>
      </c>
      <c r="K592" s="30" t="s">
        <v>1767</v>
      </c>
      <c r="L592" s="4"/>
      <c r="M592" s="3"/>
    </row>
    <row r="593" spans="1:13" x14ac:dyDescent="0.3">
      <c r="A593" s="3">
        <v>103</v>
      </c>
      <c r="B593" s="3">
        <v>103</v>
      </c>
      <c r="C593" s="4">
        <v>1705.6410000000001</v>
      </c>
      <c r="D593" s="4">
        <v>1705.1880000000001</v>
      </c>
      <c r="E593" s="4">
        <v>1706.0940000000001</v>
      </c>
      <c r="F593" s="4"/>
      <c r="G593" s="4"/>
      <c r="H593" s="26" t="s">
        <v>2169</v>
      </c>
      <c r="I593" s="4"/>
      <c r="J593" s="6">
        <v>0</v>
      </c>
      <c r="K593" s="29" t="s">
        <v>1767</v>
      </c>
      <c r="L593" s="4"/>
      <c r="M593" s="3"/>
    </row>
    <row r="594" spans="1:13" x14ac:dyDescent="0.3">
      <c r="A594" s="3">
        <v>103</v>
      </c>
      <c r="B594" s="3">
        <v>103</v>
      </c>
      <c r="C594" s="4">
        <v>1706.175</v>
      </c>
      <c r="D594" s="4">
        <v>1706.0940000000001</v>
      </c>
      <c r="E594" s="4">
        <v>1706.2560000000001</v>
      </c>
      <c r="F594" s="4"/>
      <c r="G594" s="4"/>
      <c r="H594" s="25" t="s">
        <v>2170</v>
      </c>
      <c r="I594" s="4"/>
      <c r="J594" s="6">
        <v>0</v>
      </c>
      <c r="K594" s="30" t="s">
        <v>1767</v>
      </c>
      <c r="L594" s="4"/>
      <c r="M594" s="3"/>
    </row>
    <row r="595" spans="1:13" x14ac:dyDescent="0.3">
      <c r="A595" s="3">
        <v>103</v>
      </c>
      <c r="B595" s="3">
        <v>103</v>
      </c>
      <c r="C595" s="4">
        <v>1706.6679999999999</v>
      </c>
      <c r="D595" s="4">
        <v>1706.2560000000001</v>
      </c>
      <c r="E595" s="4">
        <v>1707.08</v>
      </c>
      <c r="F595" s="4"/>
      <c r="G595" s="4"/>
      <c r="H595" s="26" t="s">
        <v>2171</v>
      </c>
      <c r="I595" s="4"/>
      <c r="J595" s="6">
        <v>0</v>
      </c>
      <c r="K595" s="29" t="s">
        <v>1767</v>
      </c>
      <c r="L595" s="4"/>
      <c r="M595" s="3"/>
    </row>
    <row r="596" spans="1:13" x14ac:dyDescent="0.3">
      <c r="A596" s="3">
        <v>103</v>
      </c>
      <c r="B596" s="3">
        <v>103</v>
      </c>
      <c r="C596" s="4">
        <v>1707.3789999999999</v>
      </c>
      <c r="D596" s="4">
        <v>1707.08</v>
      </c>
      <c r="E596" s="4">
        <v>1707.6780000000001</v>
      </c>
      <c r="F596" s="4"/>
      <c r="G596" s="4"/>
      <c r="H596" s="25" t="s">
        <v>2172</v>
      </c>
      <c r="I596" s="4"/>
      <c r="J596" s="6">
        <v>0</v>
      </c>
      <c r="K596" s="30" t="s">
        <v>1767</v>
      </c>
      <c r="L596" s="4"/>
      <c r="M596" s="3"/>
    </row>
    <row r="597" spans="1:13" x14ac:dyDescent="0.3">
      <c r="A597" s="3">
        <v>103</v>
      </c>
      <c r="B597" s="3">
        <v>103</v>
      </c>
      <c r="C597" s="4">
        <v>1708.069</v>
      </c>
      <c r="D597" s="4">
        <v>1707.6780000000001</v>
      </c>
      <c r="E597" s="4">
        <v>1708.4590000000001</v>
      </c>
      <c r="F597" s="4"/>
      <c r="G597" s="4"/>
      <c r="H597" s="26" t="s">
        <v>2173</v>
      </c>
      <c r="I597" s="4"/>
      <c r="J597" s="6">
        <v>0</v>
      </c>
      <c r="K597" s="29" t="s">
        <v>1767</v>
      </c>
      <c r="L597" s="4"/>
      <c r="M597" s="3"/>
    </row>
    <row r="598" spans="1:13" x14ac:dyDescent="0.3">
      <c r="A598" s="3">
        <v>103</v>
      </c>
      <c r="B598" s="3">
        <v>103</v>
      </c>
      <c r="C598" s="4">
        <v>1708.633</v>
      </c>
      <c r="D598" s="4">
        <v>1708.4590000000001</v>
      </c>
      <c r="E598" s="4">
        <v>1708.806</v>
      </c>
      <c r="F598" s="4"/>
      <c r="G598" s="4"/>
      <c r="H598" s="25" t="s">
        <v>2174</v>
      </c>
      <c r="I598" s="4"/>
      <c r="J598" s="6">
        <v>0</v>
      </c>
      <c r="K598" s="30" t="s">
        <v>1767</v>
      </c>
      <c r="L598" s="4"/>
      <c r="M598" s="3"/>
    </row>
    <row r="599" spans="1:13" x14ac:dyDescent="0.3">
      <c r="A599" s="3">
        <v>103</v>
      </c>
      <c r="B599" s="3">
        <v>103</v>
      </c>
      <c r="C599" s="4">
        <v>1709.242</v>
      </c>
      <c r="D599" s="4">
        <v>1708.806</v>
      </c>
      <c r="E599" s="4">
        <v>1709.6780000000001</v>
      </c>
      <c r="F599" s="4"/>
      <c r="G599" s="4"/>
      <c r="H599" s="26" t="s">
        <v>2175</v>
      </c>
      <c r="I599" s="4"/>
      <c r="J599" s="6">
        <v>0</v>
      </c>
      <c r="K599" s="29" t="s">
        <v>1767</v>
      </c>
      <c r="L599" s="4"/>
      <c r="M599" s="3"/>
    </row>
    <row r="600" spans="1:13" x14ac:dyDescent="0.3">
      <c r="A600" s="3">
        <v>103</v>
      </c>
      <c r="B600" s="3">
        <v>103</v>
      </c>
      <c r="C600" s="4">
        <v>1709.85</v>
      </c>
      <c r="D600" s="4">
        <v>1709.6780000000001</v>
      </c>
      <c r="E600" s="4">
        <v>1710.021</v>
      </c>
      <c r="F600" s="4"/>
      <c r="G600" s="4"/>
      <c r="H600" s="25" t="s">
        <v>2176</v>
      </c>
      <c r="I600" s="4"/>
      <c r="J600" s="6">
        <v>0</v>
      </c>
      <c r="K600" s="30" t="s">
        <v>1767</v>
      </c>
      <c r="L600" s="4"/>
      <c r="M600" s="3"/>
    </row>
    <row r="601" spans="1:13" x14ac:dyDescent="0.3">
      <c r="A601" s="3">
        <v>103</v>
      </c>
      <c r="B601" s="3">
        <v>103</v>
      </c>
      <c r="C601" s="4">
        <v>1710.306</v>
      </c>
      <c r="D601" s="4">
        <v>1710.021</v>
      </c>
      <c r="E601" s="4">
        <v>1710.59</v>
      </c>
      <c r="F601" s="4"/>
      <c r="G601" s="4"/>
      <c r="H601" s="26" t="s">
        <v>2177</v>
      </c>
      <c r="I601" s="4"/>
      <c r="J601" s="6">
        <v>0</v>
      </c>
      <c r="K601" s="29" t="s">
        <v>1767</v>
      </c>
      <c r="L601" s="4"/>
      <c r="M601" s="3"/>
    </row>
    <row r="602" spans="1:13" x14ac:dyDescent="0.3">
      <c r="A602" s="3">
        <v>103</v>
      </c>
      <c r="B602" s="3">
        <v>103</v>
      </c>
      <c r="C602" s="4">
        <v>1710.8689999999999</v>
      </c>
      <c r="D602" s="4">
        <v>1710.59</v>
      </c>
      <c r="E602" s="4">
        <v>1711.1469999999999</v>
      </c>
      <c r="F602" s="4"/>
      <c r="G602" s="4"/>
      <c r="H602" s="25" t="s">
        <v>2178</v>
      </c>
      <c r="I602" s="4"/>
      <c r="J602" s="6">
        <v>0</v>
      </c>
      <c r="K602" s="30" t="s">
        <v>1767</v>
      </c>
      <c r="L602" s="4"/>
      <c r="M602" s="3"/>
    </row>
    <row r="603" spans="1:13" x14ac:dyDescent="0.3">
      <c r="A603" s="3">
        <v>103</v>
      </c>
      <c r="B603" s="3">
        <v>103</v>
      </c>
      <c r="C603" s="4">
        <v>1711.4970000000001</v>
      </c>
      <c r="D603" s="4">
        <v>1711.1469999999999</v>
      </c>
      <c r="E603" s="4">
        <v>1711.847</v>
      </c>
      <c r="F603" s="4"/>
      <c r="G603" s="4"/>
      <c r="H603" s="26" t="s">
        <v>2179</v>
      </c>
      <c r="I603" s="4"/>
      <c r="J603" s="6">
        <v>0</v>
      </c>
      <c r="K603" s="29" t="s">
        <v>1767</v>
      </c>
      <c r="L603" s="4"/>
      <c r="M603" s="3"/>
    </row>
    <row r="604" spans="1:13" x14ac:dyDescent="0.3">
      <c r="A604" s="3">
        <v>103</v>
      </c>
      <c r="B604" s="3">
        <v>103</v>
      </c>
      <c r="C604" s="4">
        <v>1712.0070000000001</v>
      </c>
      <c r="D604" s="4">
        <v>1711.847</v>
      </c>
      <c r="E604" s="4">
        <v>1712.1669999999999</v>
      </c>
      <c r="F604" s="4"/>
      <c r="G604" s="4"/>
      <c r="H604" s="25" t="s">
        <v>2180</v>
      </c>
      <c r="I604" s="4"/>
      <c r="J604" s="6">
        <v>0</v>
      </c>
      <c r="K604" s="30" t="s">
        <v>1767</v>
      </c>
      <c r="L604" s="4"/>
      <c r="M604" s="3"/>
    </row>
    <row r="605" spans="1:13" x14ac:dyDescent="0.3">
      <c r="A605" s="3">
        <v>103</v>
      </c>
      <c r="B605" s="3">
        <v>103</v>
      </c>
      <c r="C605" s="4">
        <v>1712.5920000000001</v>
      </c>
      <c r="D605" s="4">
        <v>1712.1669999999999</v>
      </c>
      <c r="E605" s="4">
        <v>1713.0160000000001</v>
      </c>
      <c r="F605" s="4"/>
      <c r="G605" s="4"/>
      <c r="H605" s="26" t="s">
        <v>2181</v>
      </c>
      <c r="I605" s="4"/>
      <c r="J605" s="6">
        <v>0</v>
      </c>
      <c r="K605" s="29" t="s">
        <v>1767</v>
      </c>
      <c r="L605" s="4"/>
      <c r="M605" s="3"/>
    </row>
    <row r="606" spans="1:13" x14ac:dyDescent="0.3">
      <c r="A606" s="3">
        <v>103</v>
      </c>
      <c r="B606" s="3">
        <v>103</v>
      </c>
      <c r="C606" s="4">
        <v>1713.155</v>
      </c>
      <c r="D606" s="4">
        <v>1713.0160000000001</v>
      </c>
      <c r="E606" s="4">
        <v>1713.2940000000001</v>
      </c>
      <c r="F606" s="4"/>
      <c r="G606" s="4"/>
      <c r="H606" s="25" t="s">
        <v>2182</v>
      </c>
      <c r="I606" s="4"/>
      <c r="J606" s="6">
        <v>0</v>
      </c>
      <c r="K606" s="30" t="s">
        <v>1767</v>
      </c>
      <c r="L606" s="4"/>
      <c r="M606" s="3"/>
    </row>
    <row r="607" spans="1:13" x14ac:dyDescent="0.3">
      <c r="A607" s="3">
        <v>103</v>
      </c>
      <c r="B607" s="3">
        <v>103</v>
      </c>
      <c r="C607" s="4">
        <v>1713.931</v>
      </c>
      <c r="D607" s="4">
        <v>1713.2940000000001</v>
      </c>
      <c r="E607" s="4">
        <v>1714.568</v>
      </c>
      <c r="F607" s="4"/>
      <c r="G607" s="4"/>
      <c r="H607" s="26" t="s">
        <v>2183</v>
      </c>
      <c r="I607" s="4"/>
      <c r="J607" s="6">
        <v>0</v>
      </c>
      <c r="K607" s="29" t="s">
        <v>1767</v>
      </c>
      <c r="L607" s="4"/>
      <c r="M607" s="3"/>
    </row>
    <row r="608" spans="1:13" x14ac:dyDescent="0.3">
      <c r="A608" s="3">
        <v>103</v>
      </c>
      <c r="B608" s="3">
        <v>103</v>
      </c>
      <c r="C608" s="4">
        <v>1714.6410000000001</v>
      </c>
      <c r="D608" s="4">
        <v>1714.568</v>
      </c>
      <c r="E608" s="4">
        <v>1714.713</v>
      </c>
      <c r="F608" s="4"/>
      <c r="G608" s="4"/>
      <c r="H608" s="25" t="s">
        <v>2184</v>
      </c>
      <c r="I608" s="4"/>
      <c r="J608" s="6">
        <v>0</v>
      </c>
      <c r="K608" s="30" t="s">
        <v>1767</v>
      </c>
      <c r="L608" s="4"/>
      <c r="M608" s="3"/>
    </row>
    <row r="609" spans="1:13" x14ac:dyDescent="0.3">
      <c r="A609" s="3">
        <v>103</v>
      </c>
      <c r="B609" s="3">
        <v>103</v>
      </c>
      <c r="C609" s="4">
        <v>1715.0840000000001</v>
      </c>
      <c r="D609" s="4">
        <v>1714.713</v>
      </c>
      <c r="E609" s="4">
        <v>1715.4549999999999</v>
      </c>
      <c r="F609" s="4"/>
      <c r="G609" s="4"/>
      <c r="H609" s="26" t="s">
        <v>2185</v>
      </c>
      <c r="I609" s="4"/>
      <c r="J609" s="6">
        <v>0</v>
      </c>
      <c r="K609" s="29" t="s">
        <v>1767</v>
      </c>
      <c r="L609" s="4"/>
      <c r="M609" s="3"/>
    </row>
    <row r="610" spans="1:13" x14ac:dyDescent="0.3">
      <c r="A610" s="3">
        <v>103</v>
      </c>
      <c r="B610" s="3">
        <v>103</v>
      </c>
      <c r="C610" s="4">
        <v>1715.877</v>
      </c>
      <c r="D610" s="4">
        <v>1715.4549999999999</v>
      </c>
      <c r="E610" s="4">
        <v>1716.299</v>
      </c>
      <c r="F610" s="4"/>
      <c r="G610" s="4"/>
      <c r="H610" s="25" t="s">
        <v>2186</v>
      </c>
      <c r="I610" s="4"/>
      <c r="J610" s="6">
        <v>0</v>
      </c>
      <c r="K610" s="30" t="s">
        <v>1767</v>
      </c>
      <c r="L610" s="4"/>
      <c r="M610" s="3"/>
    </row>
    <row r="611" spans="1:13" x14ac:dyDescent="0.3">
      <c r="A611" s="3">
        <v>103</v>
      </c>
      <c r="B611" s="3">
        <v>103</v>
      </c>
      <c r="C611" s="4">
        <v>1716.626</v>
      </c>
      <c r="D611" s="4">
        <v>1716.299</v>
      </c>
      <c r="E611" s="4">
        <v>1716.952</v>
      </c>
      <c r="F611" s="4"/>
      <c r="G611" s="4"/>
      <c r="H611" s="26" t="s">
        <v>2187</v>
      </c>
      <c r="I611" s="4"/>
      <c r="J611" s="6">
        <v>0</v>
      </c>
      <c r="K611" s="29" t="s">
        <v>1767</v>
      </c>
      <c r="L611" s="4"/>
      <c r="M611" s="3"/>
    </row>
    <row r="612" spans="1:13" x14ac:dyDescent="0.3">
      <c r="A612" s="3">
        <v>103</v>
      </c>
      <c r="B612" s="3">
        <v>103</v>
      </c>
      <c r="C612" s="4">
        <v>1717.249</v>
      </c>
      <c r="D612" s="4">
        <v>1716.952</v>
      </c>
      <c r="E612" s="4">
        <v>1717.5450000000001</v>
      </c>
      <c r="F612" s="4"/>
      <c r="G612" s="4"/>
      <c r="H612" s="25" t="s">
        <v>2188</v>
      </c>
      <c r="I612" s="4"/>
      <c r="J612" s="6">
        <v>0</v>
      </c>
      <c r="K612" s="30" t="s">
        <v>1767</v>
      </c>
      <c r="L612" s="4"/>
      <c r="M612" s="3"/>
    </row>
    <row r="613" spans="1:13" x14ac:dyDescent="0.3">
      <c r="A613" s="3">
        <v>103</v>
      </c>
      <c r="B613" s="3">
        <v>103</v>
      </c>
      <c r="C613" s="4">
        <v>1717.9369999999999</v>
      </c>
      <c r="D613" s="4">
        <v>1717.5450000000001</v>
      </c>
      <c r="E613" s="4">
        <v>1718.328</v>
      </c>
      <c r="F613" s="4"/>
      <c r="G613" s="4"/>
      <c r="H613" s="26" t="s">
        <v>2189</v>
      </c>
      <c r="I613" s="4"/>
      <c r="J613" s="6">
        <v>0</v>
      </c>
      <c r="K613" s="29" t="s">
        <v>1767</v>
      </c>
      <c r="L613" s="4"/>
      <c r="M613" s="3"/>
    </row>
    <row r="614" spans="1:13" x14ac:dyDescent="0.3">
      <c r="A614" s="3">
        <v>103</v>
      </c>
      <c r="B614" s="3">
        <v>103</v>
      </c>
      <c r="C614" s="4">
        <v>1718.595</v>
      </c>
      <c r="D614" s="4">
        <v>1718.328</v>
      </c>
      <c r="E614" s="4">
        <v>1718.8620000000001</v>
      </c>
      <c r="F614" s="4"/>
      <c r="G614" s="4"/>
      <c r="H614" s="25" t="s">
        <v>2190</v>
      </c>
      <c r="I614" s="4"/>
      <c r="J614" s="6">
        <v>0</v>
      </c>
      <c r="K614" s="30" t="s">
        <v>1767</v>
      </c>
      <c r="L614" s="4"/>
      <c r="M614" s="3"/>
    </row>
    <row r="615" spans="1:13" x14ac:dyDescent="0.3">
      <c r="A615" s="3">
        <v>103</v>
      </c>
      <c r="B615" s="3">
        <v>103</v>
      </c>
      <c r="C615" s="4">
        <v>1719.202</v>
      </c>
      <c r="D615" s="4">
        <v>1718.8620000000001</v>
      </c>
      <c r="E615" s="4">
        <v>1719.5409999999999</v>
      </c>
      <c r="F615" s="4"/>
      <c r="G615" s="4"/>
      <c r="H615" s="26" t="s">
        <v>2191</v>
      </c>
      <c r="I615" s="4"/>
      <c r="J615" s="6">
        <v>0</v>
      </c>
      <c r="K615" s="29" t="s">
        <v>1767</v>
      </c>
      <c r="L615" s="4"/>
      <c r="M615" s="3"/>
    </row>
    <row r="616" spans="1:13" x14ac:dyDescent="0.3">
      <c r="A616" s="3">
        <v>103</v>
      </c>
      <c r="B616" s="3">
        <v>103</v>
      </c>
      <c r="C616" s="4">
        <v>1720.3330000000001</v>
      </c>
      <c r="D616" s="4">
        <v>1719.5409999999999</v>
      </c>
      <c r="E616" s="4">
        <v>1721.125</v>
      </c>
      <c r="F616" s="4"/>
      <c r="G616" s="4"/>
      <c r="H616" s="25" t="s">
        <v>2192</v>
      </c>
      <c r="I616" s="4"/>
      <c r="J616" s="6">
        <v>0</v>
      </c>
      <c r="K616" s="30" t="s">
        <v>1767</v>
      </c>
      <c r="L616" s="4"/>
      <c r="M616" s="3"/>
    </row>
    <row r="617" spans="1:13" x14ac:dyDescent="0.3">
      <c r="A617" s="3">
        <v>103</v>
      </c>
      <c r="B617" s="3">
        <v>103</v>
      </c>
      <c r="C617" s="4">
        <v>1721.425</v>
      </c>
      <c r="D617" s="4">
        <v>1721.125</v>
      </c>
      <c r="E617" s="4">
        <v>1721.7239999999999</v>
      </c>
      <c r="F617" s="4"/>
      <c r="G617" s="4"/>
      <c r="H617" s="26" t="s">
        <v>2193</v>
      </c>
      <c r="I617" s="4"/>
      <c r="J617" s="6">
        <v>0</v>
      </c>
      <c r="K617" s="29" t="s">
        <v>1767</v>
      </c>
      <c r="L617" s="4"/>
      <c r="M617" s="3"/>
    </row>
    <row r="618" spans="1:13" x14ac:dyDescent="0.3">
      <c r="A618" s="3">
        <v>103</v>
      </c>
      <c r="B618" s="3">
        <v>103</v>
      </c>
      <c r="C618" s="4">
        <v>1722.356</v>
      </c>
      <c r="D618" s="4">
        <v>1721.7239999999999</v>
      </c>
      <c r="E618" s="4">
        <v>1722.9880000000001</v>
      </c>
      <c r="F618" s="4"/>
      <c r="G618" s="4"/>
      <c r="H618" s="25" t="s">
        <v>2194</v>
      </c>
      <c r="I618" s="4"/>
      <c r="J618" s="6">
        <v>0</v>
      </c>
      <c r="K618" s="30" t="s">
        <v>1767</v>
      </c>
      <c r="L618" s="4"/>
      <c r="M618" s="3"/>
    </row>
    <row r="619" spans="1:13" x14ac:dyDescent="0.3">
      <c r="A619" s="3">
        <v>103</v>
      </c>
      <c r="B619" s="3">
        <v>103</v>
      </c>
      <c r="C619" s="4">
        <v>1723.1959999999999</v>
      </c>
      <c r="D619" s="4">
        <v>1722.9880000000001</v>
      </c>
      <c r="E619" s="4">
        <v>1723.403</v>
      </c>
      <c r="F619" s="4"/>
      <c r="G619" s="4"/>
      <c r="H619" s="26" t="s">
        <v>2195</v>
      </c>
      <c r="I619" s="4"/>
      <c r="J619" s="6">
        <v>0</v>
      </c>
      <c r="K619" s="29" t="s">
        <v>1767</v>
      </c>
      <c r="L619" s="4"/>
      <c r="M619" s="3"/>
    </row>
    <row r="620" spans="1:13" x14ac:dyDescent="0.3">
      <c r="A620" s="3">
        <v>103</v>
      </c>
      <c r="B620" s="3">
        <v>103</v>
      </c>
      <c r="C620" s="4">
        <v>1724.491</v>
      </c>
      <c r="D620" s="4">
        <v>1723.403</v>
      </c>
      <c r="E620" s="4">
        <v>1725.578</v>
      </c>
      <c r="F620" s="4"/>
      <c r="G620" s="4"/>
      <c r="H620" s="25" t="s">
        <v>2196</v>
      </c>
      <c r="I620" s="4"/>
      <c r="J620" s="6">
        <v>0</v>
      </c>
      <c r="K620" s="30" t="s">
        <v>1767</v>
      </c>
      <c r="L620" s="4"/>
      <c r="M620" s="3"/>
    </row>
    <row r="621" spans="1:13" x14ac:dyDescent="0.3">
      <c r="A621" s="3">
        <v>103</v>
      </c>
      <c r="B621" s="3">
        <v>103</v>
      </c>
      <c r="C621" s="4">
        <v>1725.856</v>
      </c>
      <c r="D621" s="4">
        <v>1725.578</v>
      </c>
      <c r="E621" s="4">
        <v>1726.134</v>
      </c>
      <c r="F621" s="4"/>
      <c r="G621" s="4"/>
      <c r="H621" s="26" t="s">
        <v>2197</v>
      </c>
      <c r="I621" s="4"/>
      <c r="J621" s="6">
        <v>0</v>
      </c>
      <c r="K621" s="29" t="s">
        <v>1767</v>
      </c>
      <c r="L621" s="4"/>
      <c r="M621" s="3"/>
    </row>
    <row r="622" spans="1:13" x14ac:dyDescent="0.3">
      <c r="A622" s="3">
        <v>103</v>
      </c>
      <c r="B622" s="3">
        <v>103</v>
      </c>
      <c r="C622" s="4">
        <v>1726.703</v>
      </c>
      <c r="D622" s="4">
        <v>1726.134</v>
      </c>
      <c r="E622" s="4">
        <v>1727.2719999999999</v>
      </c>
      <c r="F622" s="4"/>
      <c r="G622" s="4"/>
      <c r="H622" s="25" t="s">
        <v>2198</v>
      </c>
      <c r="I622" s="4"/>
      <c r="J622" s="6">
        <v>0</v>
      </c>
      <c r="K622" s="30" t="s">
        <v>1767</v>
      </c>
      <c r="L622" s="4"/>
      <c r="M622" s="3"/>
    </row>
    <row r="623" spans="1:13" x14ac:dyDescent="0.3">
      <c r="A623" s="3">
        <v>103</v>
      </c>
      <c r="B623" s="3">
        <v>103</v>
      </c>
      <c r="C623" s="4">
        <v>1727.55</v>
      </c>
      <c r="D623" s="4">
        <v>1727.2719999999999</v>
      </c>
      <c r="E623" s="4">
        <v>1727.827</v>
      </c>
      <c r="F623" s="4"/>
      <c r="G623" s="4"/>
      <c r="H623" s="26" t="s">
        <v>2199</v>
      </c>
      <c r="I623" s="4"/>
      <c r="J623" s="6">
        <v>0</v>
      </c>
      <c r="K623" s="29" t="s">
        <v>1767</v>
      </c>
      <c r="L623" s="4"/>
      <c r="M623" s="3"/>
    </row>
    <row r="624" spans="1:13" x14ac:dyDescent="0.3">
      <c r="A624" s="3">
        <v>103</v>
      </c>
      <c r="B624" s="3">
        <v>103</v>
      </c>
      <c r="C624" s="4">
        <v>1728.0419999999999</v>
      </c>
      <c r="D624" s="4">
        <v>1727.827</v>
      </c>
      <c r="E624" s="4">
        <v>1728.2560000000001</v>
      </c>
      <c r="F624" s="4"/>
      <c r="G624" s="4"/>
      <c r="H624" s="25" t="s">
        <v>2200</v>
      </c>
      <c r="I624" s="4"/>
      <c r="J624" s="6">
        <v>0</v>
      </c>
      <c r="K624" s="30" t="s">
        <v>1767</v>
      </c>
      <c r="L624" s="4"/>
      <c r="M624" s="3"/>
    </row>
    <row r="625" spans="1:13" x14ac:dyDescent="0.3">
      <c r="A625" s="3">
        <v>103</v>
      </c>
      <c r="B625" s="3">
        <v>103</v>
      </c>
      <c r="C625" s="4">
        <v>1728.723</v>
      </c>
      <c r="D625" s="4">
        <v>1728.2560000000001</v>
      </c>
      <c r="E625" s="4">
        <v>1729.19</v>
      </c>
      <c r="F625" s="4"/>
      <c r="G625" s="4"/>
      <c r="H625" s="26" t="s">
        <v>2201</v>
      </c>
      <c r="I625" s="4"/>
      <c r="J625" s="6">
        <v>0</v>
      </c>
      <c r="K625" s="29" t="s">
        <v>1767</v>
      </c>
      <c r="L625" s="4"/>
      <c r="M625" s="3"/>
    </row>
    <row r="626" spans="1:13" x14ac:dyDescent="0.3">
      <c r="A626" s="3">
        <v>103</v>
      </c>
      <c r="B626" s="3">
        <v>103</v>
      </c>
      <c r="C626" s="4">
        <v>1729.809</v>
      </c>
      <c r="D626" s="4">
        <v>1729.19</v>
      </c>
      <c r="E626" s="4">
        <v>1730.4280000000001</v>
      </c>
      <c r="F626" s="4"/>
      <c r="G626" s="4"/>
      <c r="H626" s="25" t="s">
        <v>2202</v>
      </c>
      <c r="I626" s="4"/>
      <c r="J626" s="6">
        <v>0</v>
      </c>
      <c r="K626" s="30" t="s">
        <v>1767</v>
      </c>
      <c r="L626" s="4"/>
      <c r="M626" s="3"/>
    </row>
    <row r="627" spans="1:13" x14ac:dyDescent="0.3">
      <c r="A627" s="3">
        <v>103</v>
      </c>
      <c r="B627" s="3">
        <v>103</v>
      </c>
      <c r="C627" s="4">
        <v>1731.0989999999999</v>
      </c>
      <c r="D627" s="4">
        <v>1730.4280000000001</v>
      </c>
      <c r="E627" s="4">
        <v>1731.769</v>
      </c>
      <c r="F627" s="4"/>
      <c r="G627" s="4"/>
      <c r="H627" s="26" t="s">
        <v>2203</v>
      </c>
      <c r="I627" s="4"/>
      <c r="J627" s="6">
        <v>0</v>
      </c>
      <c r="K627" s="29" t="s">
        <v>1767</v>
      </c>
      <c r="L627" s="4"/>
      <c r="M627" s="3"/>
    </row>
    <row r="628" spans="1:13" x14ac:dyDescent="0.3">
      <c r="A628" s="3">
        <v>103</v>
      </c>
      <c r="B628" s="3">
        <v>103</v>
      </c>
      <c r="C628" s="4">
        <v>1731.9670000000001</v>
      </c>
      <c r="D628" s="4">
        <v>1731.769</v>
      </c>
      <c r="E628" s="4">
        <v>1732.164</v>
      </c>
      <c r="F628" s="4"/>
      <c r="G628" s="4"/>
      <c r="H628" s="25" t="s">
        <v>2204</v>
      </c>
      <c r="I628" s="4"/>
      <c r="J628" s="6">
        <v>0</v>
      </c>
      <c r="K628" s="30" t="s">
        <v>1767</v>
      </c>
      <c r="L628" s="4"/>
      <c r="M628" s="3"/>
    </row>
    <row r="629" spans="1:13" x14ac:dyDescent="0.3">
      <c r="A629" s="3">
        <v>103</v>
      </c>
      <c r="B629" s="3">
        <v>103</v>
      </c>
      <c r="C629" s="4">
        <v>1732.8119999999999</v>
      </c>
      <c r="D629" s="4">
        <v>1732.164</v>
      </c>
      <c r="E629" s="4">
        <v>1733.46</v>
      </c>
      <c r="F629" s="4"/>
      <c r="G629" s="4"/>
      <c r="H629" s="26" t="s">
        <v>2205</v>
      </c>
      <c r="I629" s="4"/>
      <c r="J629" s="6">
        <v>0</v>
      </c>
      <c r="K629" s="29" t="s">
        <v>1767</v>
      </c>
      <c r="L629" s="4"/>
      <c r="M629" s="3"/>
    </row>
    <row r="630" spans="1:13" x14ac:dyDescent="0.3">
      <c r="A630" s="3">
        <v>103</v>
      </c>
      <c r="B630" s="3">
        <v>103</v>
      </c>
      <c r="C630" s="4">
        <v>1733.5820000000001</v>
      </c>
      <c r="D630" s="4">
        <v>1733.46</v>
      </c>
      <c r="E630" s="4">
        <v>1733.703</v>
      </c>
      <c r="F630" s="4"/>
      <c r="G630" s="4"/>
      <c r="H630" s="25" t="s">
        <v>2206</v>
      </c>
      <c r="I630" s="4"/>
      <c r="J630" s="6">
        <v>0</v>
      </c>
      <c r="K630" s="30" t="s">
        <v>1767</v>
      </c>
      <c r="L630" s="4"/>
      <c r="M630" s="3"/>
    </row>
    <row r="631" spans="1:13" x14ac:dyDescent="0.3">
      <c r="A631" s="3">
        <v>103</v>
      </c>
      <c r="B631" s="3">
        <v>103</v>
      </c>
      <c r="C631" s="4">
        <v>1734.0329999999999</v>
      </c>
      <c r="D631" s="4">
        <v>1733.703</v>
      </c>
      <c r="E631" s="4">
        <v>1734.3630000000001</v>
      </c>
      <c r="F631" s="4"/>
      <c r="G631" s="4"/>
      <c r="H631" s="26" t="s">
        <v>2207</v>
      </c>
      <c r="I631" s="4"/>
      <c r="J631" s="6">
        <v>0</v>
      </c>
      <c r="K631" s="29" t="s">
        <v>1767</v>
      </c>
      <c r="L631" s="4"/>
      <c r="M631" s="3"/>
    </row>
    <row r="632" spans="1:13" x14ac:dyDescent="0.3">
      <c r="A632" s="3">
        <v>103</v>
      </c>
      <c r="B632" s="3">
        <v>103</v>
      </c>
      <c r="C632" s="4">
        <v>1734.5909999999999</v>
      </c>
      <c r="D632" s="4">
        <v>1734.3630000000001</v>
      </c>
      <c r="E632" s="4">
        <v>1734.819</v>
      </c>
      <c r="F632" s="4"/>
      <c r="G632" s="4"/>
      <c r="H632" s="25" t="s">
        <v>2208</v>
      </c>
      <c r="I632" s="4"/>
      <c r="J632" s="6">
        <v>0</v>
      </c>
      <c r="K632" s="30" t="s">
        <v>1767</v>
      </c>
      <c r="L632" s="4"/>
      <c r="M632" s="3"/>
    </row>
    <row r="633" spans="1:13" x14ac:dyDescent="0.3">
      <c r="A633" s="3">
        <v>103</v>
      </c>
      <c r="B633" s="3">
        <v>103</v>
      </c>
      <c r="C633" s="4">
        <v>1735.162</v>
      </c>
      <c r="D633" s="4">
        <v>1734.819</v>
      </c>
      <c r="E633" s="4">
        <v>1735.5039999999999</v>
      </c>
      <c r="F633" s="4"/>
      <c r="G633" s="4"/>
      <c r="H633" s="26" t="s">
        <v>2209</v>
      </c>
      <c r="I633" s="4"/>
      <c r="J633" s="6">
        <v>0</v>
      </c>
      <c r="K633" s="29" t="s">
        <v>1767</v>
      </c>
      <c r="L633" s="4"/>
      <c r="M633" s="3"/>
    </row>
    <row r="634" spans="1:13" x14ac:dyDescent="0.3">
      <c r="A634" s="3">
        <v>103</v>
      </c>
      <c r="B634" s="3">
        <v>103</v>
      </c>
      <c r="C634" s="4">
        <v>1735.5640000000001</v>
      </c>
      <c r="D634" s="4">
        <v>1735.5039999999999</v>
      </c>
      <c r="E634" s="4">
        <v>1735.624</v>
      </c>
      <c r="F634" s="4"/>
      <c r="G634" s="4"/>
      <c r="H634" s="25" t="s">
        <v>2210</v>
      </c>
      <c r="I634" s="4"/>
      <c r="J634" s="6">
        <v>0</v>
      </c>
      <c r="K634" s="30" t="s">
        <v>1767</v>
      </c>
      <c r="L634" s="4"/>
      <c r="M634" s="3"/>
    </row>
    <row r="635" spans="1:13" x14ac:dyDescent="0.3">
      <c r="A635" s="3">
        <v>103</v>
      </c>
      <c r="B635" s="3">
        <v>103</v>
      </c>
      <c r="C635" s="4">
        <v>1736.163</v>
      </c>
      <c r="D635" s="4">
        <v>1735.624</v>
      </c>
      <c r="E635" s="4">
        <v>1736.702</v>
      </c>
      <c r="F635" s="4"/>
      <c r="G635" s="4"/>
      <c r="H635" s="26" t="s">
        <v>2211</v>
      </c>
      <c r="I635" s="4"/>
      <c r="J635" s="6">
        <v>0</v>
      </c>
      <c r="K635" s="29" t="s">
        <v>1767</v>
      </c>
      <c r="L635" s="4"/>
      <c r="M635" s="3"/>
    </row>
    <row r="636" spans="1:13" x14ac:dyDescent="0.3">
      <c r="A636" s="3">
        <v>103</v>
      </c>
      <c r="B636" s="3">
        <v>103</v>
      </c>
      <c r="C636" s="4">
        <v>1736.8320000000001</v>
      </c>
      <c r="D636" s="4">
        <v>1736.702</v>
      </c>
      <c r="E636" s="4">
        <v>1736.961</v>
      </c>
      <c r="F636" s="4"/>
      <c r="G636" s="4"/>
      <c r="H636" s="25" t="s">
        <v>2212</v>
      </c>
      <c r="I636" s="4"/>
      <c r="J636" s="6">
        <v>0</v>
      </c>
      <c r="K636" s="30" t="s">
        <v>1767</v>
      </c>
      <c r="L636" s="4"/>
      <c r="M636" s="3"/>
    </row>
    <row r="637" spans="1:13" x14ac:dyDescent="0.3">
      <c r="A637" s="3">
        <v>103</v>
      </c>
      <c r="B637" s="3">
        <v>103</v>
      </c>
      <c r="C637" s="4">
        <v>1737.2809999999999</v>
      </c>
      <c r="D637" s="4">
        <v>1736.961</v>
      </c>
      <c r="E637" s="4">
        <v>1737.6</v>
      </c>
      <c r="F637" s="4"/>
      <c r="G637" s="4"/>
      <c r="H637" s="26" t="s">
        <v>2213</v>
      </c>
      <c r="I637" s="4"/>
      <c r="J637" s="6">
        <v>0</v>
      </c>
      <c r="K637" s="29" t="s">
        <v>1767</v>
      </c>
      <c r="L637" s="4"/>
      <c r="M637" s="3"/>
    </row>
    <row r="638" spans="1:13" x14ac:dyDescent="0.3">
      <c r="A638" s="3">
        <v>103</v>
      </c>
      <c r="B638" s="3">
        <v>103</v>
      </c>
      <c r="C638" s="4">
        <v>1738.058</v>
      </c>
      <c r="D638" s="4">
        <v>1737.6</v>
      </c>
      <c r="E638" s="4">
        <v>1738.5160000000001</v>
      </c>
      <c r="F638" s="4"/>
      <c r="G638" s="4"/>
      <c r="H638" s="25" t="s">
        <v>2214</v>
      </c>
      <c r="I638" s="4"/>
      <c r="J638" s="6">
        <v>0</v>
      </c>
      <c r="K638" s="30" t="s">
        <v>1767</v>
      </c>
      <c r="L638" s="4"/>
      <c r="M638" s="3"/>
    </row>
    <row r="639" spans="1:13" x14ac:dyDescent="0.3">
      <c r="A639" s="3">
        <v>103</v>
      </c>
      <c r="B639" s="3">
        <v>103</v>
      </c>
      <c r="C639" s="4">
        <v>1738.7439999999999</v>
      </c>
      <c r="D639" s="4">
        <v>1738.5160000000001</v>
      </c>
      <c r="E639" s="4">
        <v>1738.972</v>
      </c>
      <c r="F639" s="4"/>
      <c r="G639" s="4"/>
      <c r="H639" s="26" t="s">
        <v>2215</v>
      </c>
      <c r="I639" s="4"/>
      <c r="J639" s="6">
        <v>0</v>
      </c>
      <c r="K639" s="29" t="s">
        <v>1767</v>
      </c>
      <c r="L639" s="4"/>
      <c r="M639" s="3"/>
    </row>
    <row r="640" spans="1:13" x14ac:dyDescent="0.3">
      <c r="A640" s="3">
        <v>103</v>
      </c>
      <c r="B640" s="3">
        <v>103</v>
      </c>
      <c r="C640" s="4">
        <v>1739.2260000000001</v>
      </c>
      <c r="D640" s="4">
        <v>1738.972</v>
      </c>
      <c r="E640" s="4">
        <v>1739.48</v>
      </c>
      <c r="F640" s="4"/>
      <c r="G640" s="4"/>
      <c r="H640" s="25" t="s">
        <v>2216</v>
      </c>
      <c r="I640" s="4"/>
      <c r="J640" s="6">
        <v>0</v>
      </c>
      <c r="K640" s="30" t="s">
        <v>1767</v>
      </c>
      <c r="L640" s="4"/>
      <c r="M640" s="3"/>
    </row>
    <row r="641" spans="1:13" x14ac:dyDescent="0.3">
      <c r="A641" s="3">
        <v>103</v>
      </c>
      <c r="B641" s="3">
        <v>103</v>
      </c>
      <c r="C641" s="4">
        <v>1739.646</v>
      </c>
      <c r="D641" s="4">
        <v>1739.48</v>
      </c>
      <c r="E641" s="4">
        <v>1739.8119999999999</v>
      </c>
      <c r="F641" s="4"/>
      <c r="G641" s="4"/>
      <c r="H641" s="26" t="s">
        <v>2217</v>
      </c>
      <c r="I641" s="4"/>
      <c r="J641" s="6">
        <v>0</v>
      </c>
      <c r="K641" s="29" t="s">
        <v>1767</v>
      </c>
      <c r="L641" s="4"/>
      <c r="M641" s="3"/>
    </row>
    <row r="642" spans="1:13" x14ac:dyDescent="0.3">
      <c r="A642" s="3">
        <v>103</v>
      </c>
      <c r="B642" s="3">
        <v>103</v>
      </c>
      <c r="C642" s="4">
        <v>1740.106</v>
      </c>
      <c r="D642" s="4">
        <v>1739.8119999999999</v>
      </c>
      <c r="E642" s="4">
        <v>1740.4</v>
      </c>
      <c r="F642" s="4"/>
      <c r="G642" s="4"/>
      <c r="H642" s="25" t="s">
        <v>2218</v>
      </c>
      <c r="I642" s="4"/>
      <c r="J642" s="6">
        <v>0</v>
      </c>
      <c r="K642" s="30" t="s">
        <v>1767</v>
      </c>
      <c r="L642" s="4"/>
      <c r="M642" s="3"/>
    </row>
    <row r="643" spans="1:13" x14ac:dyDescent="0.3">
      <c r="A643" s="3">
        <v>103</v>
      </c>
      <c r="B643" s="3">
        <v>103</v>
      </c>
      <c r="C643" s="4">
        <v>1740.7180000000001</v>
      </c>
      <c r="D643" s="4">
        <v>1740.4</v>
      </c>
      <c r="E643" s="4">
        <v>1741.0350000000001</v>
      </c>
      <c r="F643" s="4"/>
      <c r="G643" s="4"/>
      <c r="H643" s="26" t="s">
        <v>2219</v>
      </c>
      <c r="I643" s="4"/>
      <c r="J643" s="6">
        <v>0</v>
      </c>
      <c r="K643" s="29" t="s">
        <v>1767</v>
      </c>
      <c r="L643" s="4"/>
      <c r="M643" s="3"/>
    </row>
    <row r="644" spans="1:13" x14ac:dyDescent="0.3">
      <c r="A644" s="3">
        <v>103</v>
      </c>
      <c r="B644" s="3">
        <v>103</v>
      </c>
      <c r="C644" s="4">
        <v>1741.2270000000001</v>
      </c>
      <c r="D644" s="4">
        <v>1741.0350000000001</v>
      </c>
      <c r="E644" s="4">
        <v>1741.4190000000001</v>
      </c>
      <c r="F644" s="4"/>
      <c r="G644" s="4"/>
      <c r="H644" s="25" t="s">
        <v>2220</v>
      </c>
      <c r="I644" s="4"/>
      <c r="J644" s="6">
        <v>0</v>
      </c>
      <c r="K644" s="30" t="s">
        <v>1767</v>
      </c>
      <c r="L644" s="4"/>
      <c r="M644" s="3"/>
    </row>
    <row r="645" spans="1:13" x14ac:dyDescent="0.3">
      <c r="A645" s="3">
        <v>103</v>
      </c>
      <c r="B645" s="3">
        <v>103</v>
      </c>
      <c r="C645" s="4">
        <v>1741.9010000000001</v>
      </c>
      <c r="D645" s="4">
        <v>1741.4190000000001</v>
      </c>
      <c r="E645" s="4">
        <v>1742.383</v>
      </c>
      <c r="F645" s="4"/>
      <c r="G645" s="4"/>
      <c r="H645" s="26" t="s">
        <v>2221</v>
      </c>
      <c r="I645" s="4"/>
      <c r="J645" s="6">
        <v>0</v>
      </c>
      <c r="K645" s="29" t="s">
        <v>1767</v>
      </c>
      <c r="L645" s="4"/>
      <c r="M645" s="3"/>
    </row>
    <row r="646" spans="1:13" x14ac:dyDescent="0.3">
      <c r="A646" s="3">
        <v>103</v>
      </c>
      <c r="B646" s="3">
        <v>103</v>
      </c>
      <c r="C646" s="4">
        <v>1742.508</v>
      </c>
      <c r="D646" s="4">
        <v>1742.383</v>
      </c>
      <c r="E646" s="4">
        <v>1742.6320000000001</v>
      </c>
      <c r="F646" s="4"/>
      <c r="G646" s="4"/>
      <c r="H646" s="25" t="s">
        <v>2222</v>
      </c>
      <c r="I646" s="4"/>
      <c r="J646" s="6">
        <v>0</v>
      </c>
      <c r="K646" s="30" t="s">
        <v>1767</v>
      </c>
      <c r="L646" s="4"/>
      <c r="M646" s="3"/>
    </row>
    <row r="647" spans="1:13" x14ac:dyDescent="0.3">
      <c r="A647" s="3">
        <v>103</v>
      </c>
      <c r="B647" s="3">
        <v>103</v>
      </c>
      <c r="C647" s="4">
        <v>1743.1279999999999</v>
      </c>
      <c r="D647" s="4">
        <v>1742.6320000000001</v>
      </c>
      <c r="E647" s="4">
        <v>1743.624</v>
      </c>
      <c r="F647" s="4"/>
      <c r="G647" s="4"/>
      <c r="H647" s="26" t="s">
        <v>2223</v>
      </c>
      <c r="I647" s="4"/>
      <c r="J647" s="6">
        <v>0</v>
      </c>
      <c r="K647" s="29" t="s">
        <v>1767</v>
      </c>
      <c r="L647" s="4"/>
      <c r="M647" s="3"/>
    </row>
    <row r="648" spans="1:13" x14ac:dyDescent="0.3">
      <c r="A648" s="3">
        <v>103</v>
      </c>
      <c r="B648" s="3">
        <v>103</v>
      </c>
      <c r="C648" s="4">
        <v>1743.7080000000001</v>
      </c>
      <c r="D648" s="4">
        <v>1743.624</v>
      </c>
      <c r="E648" s="4">
        <v>1743.7909999999999</v>
      </c>
      <c r="F648" s="4"/>
      <c r="G648" s="4"/>
      <c r="H648" s="25" t="s">
        <v>2224</v>
      </c>
      <c r="I648" s="4"/>
      <c r="J648" s="6">
        <v>0</v>
      </c>
      <c r="K648" s="30" t="s">
        <v>1767</v>
      </c>
      <c r="L648" s="4"/>
      <c r="M648" s="3"/>
    </row>
    <row r="649" spans="1:13" x14ac:dyDescent="0.3">
      <c r="A649" s="3">
        <v>103</v>
      </c>
      <c r="B649" s="3">
        <v>103</v>
      </c>
      <c r="C649" s="4">
        <v>1744.0540000000001</v>
      </c>
      <c r="D649" s="4">
        <v>1743.7909999999999</v>
      </c>
      <c r="E649" s="4">
        <v>1744.316</v>
      </c>
      <c r="F649" s="4"/>
      <c r="G649" s="4"/>
      <c r="H649" s="26" t="s">
        <v>2225</v>
      </c>
      <c r="I649" s="4"/>
      <c r="J649" s="6">
        <v>0</v>
      </c>
      <c r="K649" s="29" t="s">
        <v>1767</v>
      </c>
      <c r="L649" s="4"/>
      <c r="M649" s="3"/>
    </row>
    <row r="650" spans="1:13" x14ac:dyDescent="0.3">
      <c r="A650" s="3">
        <v>103</v>
      </c>
      <c r="B650" s="3">
        <v>103</v>
      </c>
      <c r="C650" s="4">
        <v>1744.3720000000001</v>
      </c>
      <c r="D650" s="4">
        <v>1744.316</v>
      </c>
      <c r="E650" s="4">
        <v>1744.4269999999999</v>
      </c>
      <c r="F650" s="4"/>
      <c r="G650" s="4"/>
      <c r="H650" s="25" t="s">
        <v>2226</v>
      </c>
      <c r="I650" s="4"/>
      <c r="J650" s="6">
        <v>0</v>
      </c>
      <c r="K650" s="30" t="s">
        <v>1767</v>
      </c>
      <c r="L650" s="4"/>
      <c r="M650" s="3"/>
    </row>
    <row r="651" spans="1:13" x14ac:dyDescent="0.3">
      <c r="A651" s="3">
        <v>103</v>
      </c>
      <c r="B651" s="3">
        <v>103</v>
      </c>
      <c r="C651" s="4">
        <v>1744.9349999999999</v>
      </c>
      <c r="D651" s="4">
        <v>1744.4269999999999</v>
      </c>
      <c r="E651" s="4">
        <v>1745.443</v>
      </c>
      <c r="F651" s="4"/>
      <c r="G651" s="4"/>
      <c r="H651" s="26" t="s">
        <v>2227</v>
      </c>
      <c r="I651" s="4"/>
      <c r="J651" s="6">
        <v>0</v>
      </c>
      <c r="K651" s="29" t="s">
        <v>1767</v>
      </c>
      <c r="L651" s="4"/>
      <c r="M651" s="3"/>
    </row>
    <row r="652" spans="1:13" x14ac:dyDescent="0.3">
      <c r="A652" s="3">
        <v>103</v>
      </c>
      <c r="B652" s="3">
        <v>103</v>
      </c>
      <c r="C652" s="4">
        <v>1745.8409999999999</v>
      </c>
      <c r="D652" s="4">
        <v>1745.443</v>
      </c>
      <c r="E652" s="4">
        <v>1746.239</v>
      </c>
      <c r="F652" s="4"/>
      <c r="G652" s="4"/>
      <c r="H652" s="25" t="s">
        <v>2228</v>
      </c>
      <c r="I652" s="4"/>
      <c r="J652" s="6">
        <v>0</v>
      </c>
      <c r="K652" s="30" t="s">
        <v>1767</v>
      </c>
      <c r="L652" s="4"/>
      <c r="M652" s="3"/>
    </row>
    <row r="653" spans="1:13" x14ac:dyDescent="0.3">
      <c r="A653" s="3">
        <v>103</v>
      </c>
      <c r="B653" s="3">
        <v>103</v>
      </c>
      <c r="C653" s="4">
        <v>1746.5920000000001</v>
      </c>
      <c r="D653" s="4">
        <v>1746.239</v>
      </c>
      <c r="E653" s="4">
        <v>1746.944</v>
      </c>
      <c r="F653" s="4"/>
      <c r="G653" s="4"/>
      <c r="H653" s="26" t="s">
        <v>2229</v>
      </c>
      <c r="I653" s="4"/>
      <c r="J653" s="6">
        <v>0</v>
      </c>
      <c r="K653" s="29" t="s">
        <v>1767</v>
      </c>
      <c r="L653" s="4"/>
      <c r="M653" s="3"/>
    </row>
    <row r="654" spans="1:13" x14ac:dyDescent="0.3">
      <c r="A654" s="3">
        <v>103</v>
      </c>
      <c r="B654" s="3">
        <v>103</v>
      </c>
      <c r="C654" s="4">
        <v>1747.125</v>
      </c>
      <c r="D654" s="4">
        <v>1746.944</v>
      </c>
      <c r="E654" s="4">
        <v>1747.3050000000001</v>
      </c>
      <c r="F654" s="4"/>
      <c r="G654" s="4"/>
      <c r="H654" s="25" t="s">
        <v>2230</v>
      </c>
      <c r="I654" s="4"/>
      <c r="J654" s="6">
        <v>0</v>
      </c>
      <c r="K654" s="30" t="s">
        <v>1767</v>
      </c>
      <c r="L654" s="4"/>
      <c r="M654" s="3"/>
    </row>
    <row r="655" spans="1:13" x14ac:dyDescent="0.3">
      <c r="A655" s="3">
        <v>103</v>
      </c>
      <c r="B655" s="3">
        <v>103</v>
      </c>
      <c r="C655" s="4">
        <v>1747.6759999999999</v>
      </c>
      <c r="D655" s="4">
        <v>1747.3050000000001</v>
      </c>
      <c r="E655" s="4">
        <v>1748.047</v>
      </c>
      <c r="F655" s="4"/>
      <c r="G655" s="4"/>
      <c r="H655" s="26" t="s">
        <v>2231</v>
      </c>
      <c r="I655" s="4"/>
      <c r="J655" s="6">
        <v>0</v>
      </c>
      <c r="K655" s="29" t="s">
        <v>1767</v>
      </c>
      <c r="L655" s="4"/>
      <c r="M655" s="3"/>
    </row>
    <row r="656" spans="1:13" x14ac:dyDescent="0.3">
      <c r="A656" s="3">
        <v>103</v>
      </c>
      <c r="B656" s="3">
        <v>103</v>
      </c>
      <c r="C656" s="4">
        <v>1748.0889999999999</v>
      </c>
      <c r="D656" s="4">
        <v>1748.047</v>
      </c>
      <c r="E656" s="4">
        <v>1748.13</v>
      </c>
      <c r="F656" s="4"/>
      <c r="G656" s="4"/>
      <c r="H656" s="25" t="s">
        <v>2232</v>
      </c>
      <c r="I656" s="4"/>
      <c r="J656" s="6">
        <v>0</v>
      </c>
      <c r="K656" s="30" t="s">
        <v>1767</v>
      </c>
      <c r="L656" s="4"/>
      <c r="M656" s="3"/>
    </row>
    <row r="657" spans="1:13" x14ac:dyDescent="0.3">
      <c r="A657" s="3">
        <v>103</v>
      </c>
      <c r="B657" s="3">
        <v>103</v>
      </c>
      <c r="C657" s="4">
        <v>1748.731</v>
      </c>
      <c r="D657" s="4">
        <v>1748.13</v>
      </c>
      <c r="E657" s="4">
        <v>1749.3320000000001</v>
      </c>
      <c r="F657" s="4"/>
      <c r="G657" s="4"/>
      <c r="H657" s="26" t="s">
        <v>2233</v>
      </c>
      <c r="I657" s="4"/>
      <c r="J657" s="6">
        <v>0</v>
      </c>
      <c r="K657" s="29" t="s">
        <v>1767</v>
      </c>
      <c r="L657" s="4"/>
      <c r="M657" s="3"/>
    </row>
    <row r="658" spans="1:13" x14ac:dyDescent="0.3">
      <c r="A658" s="3">
        <v>103</v>
      </c>
      <c r="B658" s="3">
        <v>103</v>
      </c>
      <c r="C658" s="4">
        <v>1750.0889999999999</v>
      </c>
      <c r="D658" s="4">
        <v>1749.3320000000001</v>
      </c>
      <c r="E658" s="4">
        <v>1750.845</v>
      </c>
      <c r="F658" s="4"/>
      <c r="G658" s="4"/>
      <c r="H658" s="25" t="s">
        <v>2234</v>
      </c>
      <c r="I658" s="4"/>
      <c r="J658" s="6">
        <v>0</v>
      </c>
      <c r="K658" s="30" t="s">
        <v>1767</v>
      </c>
      <c r="L658" s="4"/>
      <c r="M658" s="3"/>
    </row>
    <row r="659" spans="1:13" x14ac:dyDescent="0.3">
      <c r="A659" s="3">
        <v>103</v>
      </c>
      <c r="B659" s="3">
        <v>103</v>
      </c>
      <c r="C659" s="4">
        <v>1751.633</v>
      </c>
      <c r="D659" s="4">
        <v>1750.845</v>
      </c>
      <c r="E659" s="4">
        <v>1752.421</v>
      </c>
      <c r="F659" s="4"/>
      <c r="G659" s="4"/>
      <c r="H659" s="26" t="s">
        <v>2235</v>
      </c>
      <c r="I659" s="4"/>
      <c r="J659" s="6">
        <v>0</v>
      </c>
      <c r="K659" s="29" t="s">
        <v>1767</v>
      </c>
      <c r="L659" s="4"/>
      <c r="M659" s="3"/>
    </row>
    <row r="660" spans="1:13" x14ac:dyDescent="0.3">
      <c r="A660" s="3">
        <v>103</v>
      </c>
      <c r="B660" s="3">
        <v>103</v>
      </c>
      <c r="C660" s="4">
        <v>1752.5530000000001</v>
      </c>
      <c r="D660" s="4">
        <v>1752.421</v>
      </c>
      <c r="E660" s="4">
        <v>1752.684</v>
      </c>
      <c r="F660" s="4"/>
      <c r="G660" s="4"/>
      <c r="H660" s="25" t="s">
        <v>2236</v>
      </c>
      <c r="I660" s="4"/>
      <c r="J660" s="6">
        <v>0</v>
      </c>
      <c r="K660" s="30" t="s">
        <v>1767</v>
      </c>
      <c r="L660" s="4"/>
      <c r="M660" s="3"/>
    </row>
    <row r="661" spans="1:13" x14ac:dyDescent="0.3">
      <c r="A661" s="3">
        <v>103</v>
      </c>
      <c r="B661" s="3">
        <v>103</v>
      </c>
      <c r="C661" s="4">
        <v>1753.258</v>
      </c>
      <c r="D661" s="4">
        <v>1752.684</v>
      </c>
      <c r="E661" s="4">
        <v>1753.8309999999999</v>
      </c>
      <c r="F661" s="4"/>
      <c r="G661" s="4"/>
      <c r="H661" s="26" t="s">
        <v>2237</v>
      </c>
      <c r="I661" s="4"/>
      <c r="J661" s="6">
        <v>0</v>
      </c>
      <c r="K661" s="29" t="s">
        <v>1767</v>
      </c>
      <c r="L661" s="4"/>
      <c r="M661" s="3"/>
    </row>
    <row r="662" spans="1:13" x14ac:dyDescent="0.3">
      <c r="A662" s="3">
        <v>103</v>
      </c>
      <c r="B662" s="3">
        <v>103</v>
      </c>
      <c r="C662" s="4">
        <v>1753.9490000000001</v>
      </c>
      <c r="D662" s="4">
        <v>1753.8309999999999</v>
      </c>
      <c r="E662" s="4">
        <v>1754.066</v>
      </c>
      <c r="F662" s="4"/>
      <c r="G662" s="4"/>
      <c r="H662" s="25" t="s">
        <v>2238</v>
      </c>
      <c r="I662" s="4"/>
      <c r="J662" s="6">
        <v>0</v>
      </c>
      <c r="K662" s="30" t="s">
        <v>1767</v>
      </c>
      <c r="L662" s="4"/>
      <c r="M662" s="3"/>
    </row>
    <row r="663" spans="1:13" x14ac:dyDescent="0.3">
      <c r="A663" s="3">
        <v>103</v>
      </c>
      <c r="B663" s="3">
        <v>103</v>
      </c>
      <c r="C663" s="4">
        <v>1754.348</v>
      </c>
      <c r="D663" s="4">
        <v>1754.066</v>
      </c>
      <c r="E663" s="4">
        <v>1754.6289999999999</v>
      </c>
      <c r="F663" s="4"/>
      <c r="G663" s="4"/>
      <c r="H663" s="26" t="s">
        <v>2239</v>
      </c>
      <c r="I663" s="4"/>
      <c r="J663" s="6">
        <v>0</v>
      </c>
      <c r="K663" s="29" t="s">
        <v>1767</v>
      </c>
      <c r="L663" s="4"/>
      <c r="M663" s="3"/>
    </row>
    <row r="664" spans="1:13" x14ac:dyDescent="0.3">
      <c r="A664" s="3">
        <v>103</v>
      </c>
      <c r="B664" s="3">
        <v>103</v>
      </c>
      <c r="C664" s="4">
        <v>1754.797</v>
      </c>
      <c r="D664" s="4">
        <v>1754.6289999999999</v>
      </c>
      <c r="E664" s="4">
        <v>1754.9649999999999</v>
      </c>
      <c r="F664" s="4"/>
      <c r="G664" s="4"/>
      <c r="H664" s="25" t="s">
        <v>2240</v>
      </c>
      <c r="I664" s="4"/>
      <c r="J664" s="6">
        <v>0</v>
      </c>
      <c r="K664" s="30" t="s">
        <v>1767</v>
      </c>
      <c r="L664" s="4"/>
      <c r="M664" s="3"/>
    </row>
    <row r="665" spans="1:13" x14ac:dyDescent="0.3">
      <c r="A665" s="3">
        <v>103</v>
      </c>
      <c r="B665" s="3">
        <v>103</v>
      </c>
      <c r="C665" s="4">
        <v>1755.4269999999999</v>
      </c>
      <c r="D665" s="4">
        <v>1754.9649999999999</v>
      </c>
      <c r="E665" s="4">
        <v>1755.8889999999999</v>
      </c>
      <c r="F665" s="4"/>
      <c r="G665" s="4"/>
      <c r="H665" s="26" t="s">
        <v>2241</v>
      </c>
      <c r="I665" s="4"/>
      <c r="J665" s="6">
        <v>0</v>
      </c>
      <c r="K665" s="29" t="s">
        <v>1767</v>
      </c>
      <c r="L665" s="4"/>
      <c r="M665" s="3"/>
    </row>
    <row r="666" spans="1:13" x14ac:dyDescent="0.3">
      <c r="A666" s="3">
        <v>103</v>
      </c>
      <c r="B666" s="3">
        <v>103</v>
      </c>
      <c r="C666" s="4">
        <v>1756.4690000000001</v>
      </c>
      <c r="D666" s="4">
        <v>1755.8889999999999</v>
      </c>
      <c r="E666" s="4">
        <v>1757.048</v>
      </c>
      <c r="F666" s="4"/>
      <c r="G666" s="4"/>
      <c r="H666" s="25" t="s">
        <v>2242</v>
      </c>
      <c r="I666" s="4"/>
      <c r="J666" s="6">
        <v>0</v>
      </c>
      <c r="K666" s="30" t="s">
        <v>1767</v>
      </c>
      <c r="L666" s="4"/>
      <c r="M666" s="3"/>
    </row>
    <row r="667" spans="1:13" x14ac:dyDescent="0.3">
      <c r="A667" s="3">
        <v>103</v>
      </c>
      <c r="B667" s="3">
        <v>103</v>
      </c>
      <c r="C667" s="4">
        <v>1757.635</v>
      </c>
      <c r="D667" s="4">
        <v>1757.048</v>
      </c>
      <c r="E667" s="4">
        <v>1758.222</v>
      </c>
      <c r="F667" s="4"/>
      <c r="G667" s="4"/>
      <c r="H667" s="26" t="s">
        <v>2243</v>
      </c>
      <c r="I667" s="4"/>
      <c r="J667" s="6">
        <v>0</v>
      </c>
      <c r="K667" s="29" t="s">
        <v>1767</v>
      </c>
      <c r="L667" s="4"/>
      <c r="M667" s="3"/>
    </row>
    <row r="668" spans="1:13" x14ac:dyDescent="0.3">
      <c r="A668" s="3">
        <v>103</v>
      </c>
      <c r="B668" s="3">
        <v>103</v>
      </c>
      <c r="C668" s="4">
        <v>1758.673</v>
      </c>
      <c r="D668" s="4">
        <v>1758.222</v>
      </c>
      <c r="E668" s="4">
        <v>1759.124</v>
      </c>
      <c r="F668" s="4"/>
      <c r="G668" s="4"/>
      <c r="H668" s="25" t="s">
        <v>2244</v>
      </c>
      <c r="I668" s="4"/>
      <c r="J668" s="6">
        <v>0</v>
      </c>
      <c r="K668" s="30" t="s">
        <v>1767</v>
      </c>
      <c r="L668" s="4"/>
      <c r="M668" s="3"/>
    </row>
    <row r="669" spans="1:13" x14ac:dyDescent="0.3">
      <c r="A669" s="3">
        <v>103</v>
      </c>
      <c r="B669" s="3">
        <v>103</v>
      </c>
      <c r="C669" s="4">
        <v>1759.7280000000001</v>
      </c>
      <c r="D669" s="4">
        <v>1759.124</v>
      </c>
      <c r="E669" s="4">
        <v>1760.3320000000001</v>
      </c>
      <c r="F669" s="4"/>
      <c r="G669" s="4"/>
      <c r="H669" s="26" t="s">
        <v>2245</v>
      </c>
      <c r="I669" s="4"/>
      <c r="J669" s="6">
        <v>0</v>
      </c>
      <c r="K669" s="29" t="s">
        <v>1767</v>
      </c>
      <c r="L669" s="4"/>
      <c r="M669" s="3"/>
    </row>
    <row r="670" spans="1:13" x14ac:dyDescent="0.3">
      <c r="A670" s="3">
        <v>103</v>
      </c>
      <c r="B670" s="3">
        <v>103</v>
      </c>
      <c r="C670" s="4">
        <v>1760.8109999999999</v>
      </c>
      <c r="D670" s="4">
        <v>1760.3320000000001</v>
      </c>
      <c r="E670" s="4">
        <v>1761.289</v>
      </c>
      <c r="F670" s="4"/>
      <c r="G670" s="4"/>
      <c r="H670" s="25" t="s">
        <v>2246</v>
      </c>
      <c r="I670" s="4"/>
      <c r="J670" s="6">
        <v>0</v>
      </c>
      <c r="K670" s="30" t="s">
        <v>1767</v>
      </c>
      <c r="L670" s="4"/>
      <c r="M670" s="3"/>
    </row>
    <row r="671" spans="1:13" x14ac:dyDescent="0.3">
      <c r="A671" s="3">
        <v>103</v>
      </c>
      <c r="B671" s="3">
        <v>103</v>
      </c>
      <c r="C671" s="4">
        <v>1761.693</v>
      </c>
      <c r="D671" s="4">
        <v>1761.289</v>
      </c>
      <c r="E671" s="4">
        <v>1762.097</v>
      </c>
      <c r="F671" s="4"/>
      <c r="G671" s="4"/>
      <c r="H671" s="26" t="s">
        <v>2247</v>
      </c>
      <c r="I671" s="4"/>
      <c r="J671" s="6">
        <v>0</v>
      </c>
      <c r="K671" s="29" t="s">
        <v>1767</v>
      </c>
      <c r="L671" s="4"/>
      <c r="M671" s="3"/>
    </row>
    <row r="672" spans="1:13" x14ac:dyDescent="0.3">
      <c r="A672" s="3">
        <v>103</v>
      </c>
      <c r="B672" s="3">
        <v>103</v>
      </c>
      <c r="C672" s="4">
        <v>1762.4670000000001</v>
      </c>
      <c r="D672" s="4">
        <v>1762.097</v>
      </c>
      <c r="E672" s="4">
        <v>1762.836</v>
      </c>
      <c r="F672" s="4"/>
      <c r="G672" s="4"/>
      <c r="H672" s="25" t="s">
        <v>2248</v>
      </c>
      <c r="I672" s="4"/>
      <c r="J672" s="6">
        <v>0</v>
      </c>
      <c r="K672" s="30" t="s">
        <v>1767</v>
      </c>
      <c r="L672" s="4"/>
      <c r="M672" s="3"/>
    </row>
    <row r="673" spans="1:13" x14ac:dyDescent="0.3">
      <c r="A673" s="3">
        <v>103</v>
      </c>
      <c r="B673" s="3">
        <v>103</v>
      </c>
      <c r="C673" s="4">
        <v>1763.2639999999999</v>
      </c>
      <c r="D673" s="4">
        <v>1762.836</v>
      </c>
      <c r="E673" s="4">
        <v>1763.691</v>
      </c>
      <c r="F673" s="4"/>
      <c r="G673" s="4"/>
      <c r="H673" s="26" t="s">
        <v>2249</v>
      </c>
      <c r="I673" s="4"/>
      <c r="J673" s="6">
        <v>0</v>
      </c>
      <c r="K673" s="29" t="s">
        <v>1767</v>
      </c>
      <c r="L673" s="4"/>
      <c r="M673" s="3"/>
    </row>
    <row r="674" spans="1:13" x14ac:dyDescent="0.3">
      <c r="A674" s="3">
        <v>103</v>
      </c>
      <c r="B674" s="3">
        <v>103</v>
      </c>
      <c r="C674" s="4">
        <v>1764.3030000000001</v>
      </c>
      <c r="D674" s="4">
        <v>1763.691</v>
      </c>
      <c r="E674" s="4">
        <v>1764.914</v>
      </c>
      <c r="F674" s="4"/>
      <c r="G674" s="4"/>
      <c r="H674" s="25" t="s">
        <v>2250</v>
      </c>
      <c r="I674" s="4"/>
      <c r="J674" s="6">
        <v>0</v>
      </c>
      <c r="K674" s="30" t="s">
        <v>1767</v>
      </c>
      <c r="L674" s="4"/>
      <c r="M674" s="3"/>
    </row>
    <row r="675" spans="1:13" x14ac:dyDescent="0.3">
      <c r="A675" s="3">
        <v>103</v>
      </c>
      <c r="B675" s="3">
        <v>103</v>
      </c>
      <c r="C675" s="4">
        <v>1765.2449999999999</v>
      </c>
      <c r="D675" s="4">
        <v>1764.914</v>
      </c>
      <c r="E675" s="4">
        <v>1765.575</v>
      </c>
      <c r="F675" s="4"/>
      <c r="G675" s="4"/>
      <c r="H675" s="26" t="s">
        <v>2251</v>
      </c>
      <c r="I675" s="4"/>
      <c r="J675" s="6">
        <v>0</v>
      </c>
      <c r="K675" s="29" t="s">
        <v>1767</v>
      </c>
      <c r="L675" s="4"/>
      <c r="M675" s="3"/>
    </row>
    <row r="676" spans="1:13" x14ac:dyDescent="0.3">
      <c r="A676" s="3">
        <v>103</v>
      </c>
      <c r="B676" s="3">
        <v>103</v>
      </c>
      <c r="C676" s="4">
        <v>1765.77</v>
      </c>
      <c r="D676" s="4">
        <v>1765.575</v>
      </c>
      <c r="E676" s="4">
        <v>1765.9639999999999</v>
      </c>
      <c r="F676" s="4"/>
      <c r="G676" s="4"/>
      <c r="H676" s="25" t="s">
        <v>2252</v>
      </c>
      <c r="I676" s="4"/>
      <c r="J676" s="6">
        <v>0</v>
      </c>
      <c r="K676" s="30" t="s">
        <v>1767</v>
      </c>
      <c r="L676" s="4"/>
      <c r="M676" s="3"/>
    </row>
    <row r="677" spans="1:13" x14ac:dyDescent="0.3">
      <c r="A677" s="3">
        <v>103</v>
      </c>
      <c r="B677" s="3">
        <v>103</v>
      </c>
      <c r="C677" s="4">
        <v>1766.2260000000001</v>
      </c>
      <c r="D677" s="4">
        <v>1765.9639999999999</v>
      </c>
      <c r="E677" s="4">
        <v>1766.4880000000001</v>
      </c>
      <c r="F677" s="4"/>
      <c r="G677" s="4"/>
      <c r="H677" s="26" t="s">
        <v>2253</v>
      </c>
      <c r="I677" s="4"/>
      <c r="J677" s="6">
        <v>0</v>
      </c>
      <c r="K677" s="29" t="s">
        <v>1767</v>
      </c>
      <c r="L677" s="4"/>
      <c r="M677" s="3"/>
    </row>
    <row r="678" spans="1:13" x14ac:dyDescent="0.3">
      <c r="A678" s="3">
        <v>103</v>
      </c>
      <c r="B678" s="3">
        <v>103</v>
      </c>
      <c r="C678" s="4">
        <v>1766.931</v>
      </c>
      <c r="D678" s="4">
        <v>1766.4880000000001</v>
      </c>
      <c r="E678" s="4">
        <v>1767.373</v>
      </c>
      <c r="F678" s="4"/>
      <c r="G678" s="4"/>
      <c r="H678" s="25" t="s">
        <v>2254</v>
      </c>
      <c r="I678" s="4"/>
      <c r="J678" s="6">
        <v>0</v>
      </c>
      <c r="K678" s="30" t="s">
        <v>1767</v>
      </c>
      <c r="L678" s="4"/>
      <c r="M678" s="3"/>
    </row>
    <row r="679" spans="1:13" x14ac:dyDescent="0.3">
      <c r="A679" s="3">
        <v>103</v>
      </c>
      <c r="B679" s="3">
        <v>103</v>
      </c>
      <c r="C679" s="4">
        <v>1767.9659999999999</v>
      </c>
      <c r="D679" s="4">
        <v>1767.373</v>
      </c>
      <c r="E679" s="4">
        <v>1768.559</v>
      </c>
      <c r="F679" s="4"/>
      <c r="G679" s="4"/>
      <c r="H679" s="26" t="s">
        <v>2255</v>
      </c>
      <c r="I679" s="4"/>
      <c r="J679" s="6">
        <v>0</v>
      </c>
      <c r="K679" s="29" t="s">
        <v>1767</v>
      </c>
      <c r="L679" s="4"/>
      <c r="M679" s="3"/>
    </row>
    <row r="680" spans="1:13" x14ac:dyDescent="0.3">
      <c r="A680" s="3">
        <v>103</v>
      </c>
      <c r="B680" s="3">
        <v>103</v>
      </c>
      <c r="C680" s="4">
        <v>1768.7850000000001</v>
      </c>
      <c r="D680" s="4">
        <v>1768.559</v>
      </c>
      <c r="E680" s="4">
        <v>1769.01</v>
      </c>
      <c r="F680" s="4"/>
      <c r="G680" s="4"/>
      <c r="H680" s="25" t="s">
        <v>2256</v>
      </c>
      <c r="I680" s="4"/>
      <c r="J680" s="6">
        <v>0</v>
      </c>
      <c r="K680" s="30" t="s">
        <v>1767</v>
      </c>
      <c r="L680" s="4"/>
      <c r="M680" s="3"/>
    </row>
    <row r="681" spans="1:13" x14ac:dyDescent="0.3">
      <c r="A681" s="3">
        <v>103</v>
      </c>
      <c r="B681" s="3">
        <v>103</v>
      </c>
      <c r="C681" s="4">
        <v>1769.4849999999999</v>
      </c>
      <c r="D681" s="4">
        <v>1769.01</v>
      </c>
      <c r="E681" s="4">
        <v>1769.9590000000001</v>
      </c>
      <c r="F681" s="4"/>
      <c r="G681" s="4"/>
      <c r="H681" s="26" t="s">
        <v>2257</v>
      </c>
      <c r="I681" s="4"/>
      <c r="J681" s="6">
        <v>0</v>
      </c>
      <c r="K681" s="29" t="s">
        <v>1767</v>
      </c>
      <c r="L681" s="4"/>
      <c r="M681" s="3"/>
    </row>
    <row r="682" spans="1:13" x14ac:dyDescent="0.3">
      <c r="A682" s="3">
        <v>103</v>
      </c>
      <c r="B682" s="3">
        <v>103</v>
      </c>
      <c r="C682" s="4">
        <v>1770.3920000000001</v>
      </c>
      <c r="D682" s="4">
        <v>1769.9590000000001</v>
      </c>
      <c r="E682" s="4">
        <v>1770.825</v>
      </c>
      <c r="F682" s="4"/>
      <c r="G682" s="4"/>
      <c r="H682" s="25" t="s">
        <v>2258</v>
      </c>
      <c r="I682" s="4"/>
      <c r="J682" s="6">
        <v>0</v>
      </c>
      <c r="K682" s="30" t="s">
        <v>1767</v>
      </c>
      <c r="L682" s="4"/>
      <c r="M682" s="3"/>
    </row>
    <row r="683" spans="1:13" x14ac:dyDescent="0.3">
      <c r="A683" s="3">
        <v>103</v>
      </c>
      <c r="B683" s="3">
        <v>103</v>
      </c>
      <c r="C683" s="4">
        <v>1771.018</v>
      </c>
      <c r="D683" s="4">
        <v>1770.825</v>
      </c>
      <c r="E683" s="4">
        <v>1771.21</v>
      </c>
      <c r="F683" s="4"/>
      <c r="G683" s="4"/>
      <c r="H683" s="26" t="s">
        <v>2259</v>
      </c>
      <c r="I683" s="4"/>
      <c r="J683" s="6">
        <v>0</v>
      </c>
      <c r="K683" s="29" t="s">
        <v>1767</v>
      </c>
      <c r="L683" s="4"/>
      <c r="M683" s="3"/>
    </row>
    <row r="684" spans="1:13" x14ac:dyDescent="0.3">
      <c r="A684" s="3">
        <v>103</v>
      </c>
      <c r="B684" s="3">
        <v>103</v>
      </c>
      <c r="C684" s="4">
        <v>1771.7850000000001</v>
      </c>
      <c r="D684" s="4">
        <v>1771.21</v>
      </c>
      <c r="E684" s="4">
        <v>1772.3589999999999</v>
      </c>
      <c r="F684" s="4"/>
      <c r="G684" s="4"/>
      <c r="H684" s="25" t="s">
        <v>2260</v>
      </c>
      <c r="I684" s="4"/>
      <c r="J684" s="6">
        <v>0</v>
      </c>
      <c r="K684" s="30" t="s">
        <v>1767</v>
      </c>
      <c r="L684" s="4"/>
      <c r="M684" s="3"/>
    </row>
    <row r="685" spans="1:13" x14ac:dyDescent="0.3">
      <c r="A685" s="3">
        <v>103</v>
      </c>
      <c r="B685" s="3">
        <v>103</v>
      </c>
      <c r="C685" s="4">
        <v>1772.4659999999999</v>
      </c>
      <c r="D685" s="4">
        <v>1772.3589999999999</v>
      </c>
      <c r="E685" s="4">
        <v>1772.5730000000001</v>
      </c>
      <c r="F685" s="4"/>
      <c r="G685" s="4"/>
      <c r="H685" s="26" t="s">
        <v>2261</v>
      </c>
      <c r="I685" s="4"/>
      <c r="J685" s="6">
        <v>0</v>
      </c>
      <c r="K685" s="29" t="s">
        <v>1767</v>
      </c>
      <c r="L685" s="4"/>
      <c r="M685" s="3"/>
    </row>
    <row r="686" spans="1:13" x14ac:dyDescent="0.3">
      <c r="A686" s="3">
        <v>103</v>
      </c>
      <c r="B686" s="3">
        <v>103</v>
      </c>
      <c r="C686" s="4">
        <v>1772.7840000000001</v>
      </c>
      <c r="D686" s="4">
        <v>1772.5730000000001</v>
      </c>
      <c r="E686" s="4">
        <v>1772.9939999999999</v>
      </c>
      <c r="F686" s="4"/>
      <c r="G686" s="4"/>
      <c r="H686" s="25" t="s">
        <v>2262</v>
      </c>
      <c r="I686" s="4"/>
      <c r="J686" s="6">
        <v>0</v>
      </c>
      <c r="K686" s="30" t="s">
        <v>1767</v>
      </c>
      <c r="L686" s="4"/>
      <c r="M686" s="3"/>
    </row>
    <row r="687" spans="1:13" x14ac:dyDescent="0.3">
      <c r="A687" s="3">
        <v>103</v>
      </c>
      <c r="B687" s="3">
        <v>103</v>
      </c>
      <c r="C687" s="4">
        <v>1773.2719999999999</v>
      </c>
      <c r="D687" s="4">
        <v>1772.9939999999999</v>
      </c>
      <c r="E687" s="4">
        <v>1773.55</v>
      </c>
      <c r="F687" s="4"/>
      <c r="G687" s="4"/>
      <c r="H687" s="26" t="s">
        <v>2263</v>
      </c>
      <c r="I687" s="4"/>
      <c r="J687" s="6">
        <v>0</v>
      </c>
      <c r="K687" s="29" t="s">
        <v>1767</v>
      </c>
      <c r="L687" s="4"/>
      <c r="M687" s="3"/>
    </row>
    <row r="688" spans="1:13" x14ac:dyDescent="0.3">
      <c r="A688" s="3">
        <v>103</v>
      </c>
      <c r="B688" s="3">
        <v>103</v>
      </c>
      <c r="C688" s="4">
        <v>1773.67</v>
      </c>
      <c r="D688" s="4">
        <v>1773.55</v>
      </c>
      <c r="E688" s="4">
        <v>1773.79</v>
      </c>
      <c r="F688" s="4"/>
      <c r="G688" s="4"/>
      <c r="H688" s="25" t="s">
        <v>2264</v>
      </c>
      <c r="I688" s="4"/>
      <c r="J688" s="6">
        <v>0</v>
      </c>
      <c r="K688" s="30" t="s">
        <v>1767</v>
      </c>
      <c r="L688" s="4"/>
      <c r="M688" s="3"/>
    </row>
    <row r="689" spans="1:13" x14ac:dyDescent="0.3">
      <c r="A689" s="3">
        <v>103</v>
      </c>
      <c r="B689" s="3">
        <v>103</v>
      </c>
      <c r="C689" s="4">
        <v>1774.202</v>
      </c>
      <c r="D689" s="4">
        <v>1773.79</v>
      </c>
      <c r="E689" s="4">
        <v>1774.614</v>
      </c>
      <c r="F689" s="4"/>
      <c r="G689" s="4"/>
      <c r="H689" s="26" t="s">
        <v>2265</v>
      </c>
      <c r="I689" s="4"/>
      <c r="J689" s="6">
        <v>0</v>
      </c>
      <c r="K689" s="29" t="s">
        <v>1767</v>
      </c>
      <c r="L689" s="4"/>
      <c r="M689" s="3"/>
    </row>
    <row r="690" spans="1:13" x14ac:dyDescent="0.3">
      <c r="A690" s="3">
        <v>103</v>
      </c>
      <c r="B690" s="3">
        <v>103</v>
      </c>
      <c r="C690" s="4">
        <v>1774.6389999999999</v>
      </c>
      <c r="D690" s="4">
        <v>1774.614</v>
      </c>
      <c r="E690" s="4">
        <v>1774.664</v>
      </c>
      <c r="F690" s="4"/>
      <c r="G690" s="4"/>
      <c r="H690" s="25" t="s">
        <v>2266</v>
      </c>
      <c r="I690" s="4"/>
      <c r="J690" s="6">
        <v>0</v>
      </c>
      <c r="K690" s="30" t="s">
        <v>1767</v>
      </c>
      <c r="L690" s="4"/>
      <c r="M690" s="3"/>
    </row>
    <row r="691" spans="1:13" x14ac:dyDescent="0.3">
      <c r="A691" s="3">
        <v>103</v>
      </c>
      <c r="B691" s="3">
        <v>103</v>
      </c>
      <c r="C691" s="4">
        <v>1775.0450000000001</v>
      </c>
      <c r="D691" s="4">
        <v>1774.664</v>
      </c>
      <c r="E691" s="4">
        <v>1775.4259999999999</v>
      </c>
      <c r="F691" s="4"/>
      <c r="G691" s="4"/>
      <c r="H691" s="26" t="s">
        <v>2267</v>
      </c>
      <c r="I691" s="4"/>
      <c r="J691" s="6">
        <v>0</v>
      </c>
      <c r="K691" s="29" t="s">
        <v>1767</v>
      </c>
      <c r="L691" s="4"/>
      <c r="M691" s="3"/>
    </row>
    <row r="692" spans="1:13" x14ac:dyDescent="0.3">
      <c r="A692" s="3">
        <v>103</v>
      </c>
      <c r="B692" s="3">
        <v>103</v>
      </c>
      <c r="C692" s="4">
        <v>1776.095</v>
      </c>
      <c r="D692" s="4">
        <v>1775.4259999999999</v>
      </c>
      <c r="E692" s="4">
        <v>1776.7629999999999</v>
      </c>
      <c r="F692" s="4"/>
      <c r="G692" s="4"/>
      <c r="H692" s="25" t="s">
        <v>2268</v>
      </c>
      <c r="I692" s="4"/>
      <c r="J692" s="6">
        <v>0</v>
      </c>
      <c r="K692" s="30" t="s">
        <v>1767</v>
      </c>
      <c r="L692" s="4"/>
      <c r="M692" s="3"/>
    </row>
    <row r="693" spans="1:13" x14ac:dyDescent="0.3">
      <c r="A693" s="3">
        <v>103</v>
      </c>
      <c r="B693" s="3">
        <v>103</v>
      </c>
      <c r="C693" s="4">
        <v>1776.931</v>
      </c>
      <c r="D693" s="4">
        <v>1776.7629999999999</v>
      </c>
      <c r="E693" s="4">
        <v>1777.0989999999999</v>
      </c>
      <c r="F693" s="4"/>
      <c r="G693" s="4"/>
      <c r="H693" s="26" t="s">
        <v>2269</v>
      </c>
      <c r="I693" s="4"/>
      <c r="J693" s="6">
        <v>0</v>
      </c>
      <c r="K693" s="29" t="s">
        <v>1767</v>
      </c>
      <c r="L693" s="4"/>
      <c r="M693" s="3"/>
    </row>
    <row r="694" spans="1:13" x14ac:dyDescent="0.3">
      <c r="A694" s="3">
        <v>103</v>
      </c>
      <c r="B694" s="3">
        <v>103</v>
      </c>
      <c r="C694" s="4">
        <v>1777.223</v>
      </c>
      <c r="D694" s="4">
        <v>1777.0989999999999</v>
      </c>
      <c r="E694" s="4">
        <v>1777.347</v>
      </c>
      <c r="F694" s="4"/>
      <c r="G694" s="4"/>
      <c r="H694" s="25" t="s">
        <v>2270</v>
      </c>
      <c r="I694" s="4"/>
      <c r="J694" s="6">
        <v>0</v>
      </c>
      <c r="K694" s="30" t="s">
        <v>1767</v>
      </c>
      <c r="L694" s="4"/>
      <c r="M694" s="3"/>
    </row>
    <row r="695" spans="1:13" x14ac:dyDescent="0.3">
      <c r="A695" s="3">
        <v>103</v>
      </c>
      <c r="B695" s="3">
        <v>103</v>
      </c>
      <c r="C695" s="4">
        <v>1777.616</v>
      </c>
      <c r="D695" s="4">
        <v>1777.347</v>
      </c>
      <c r="E695" s="4">
        <v>1777.885</v>
      </c>
      <c r="F695" s="4"/>
      <c r="G695" s="4"/>
      <c r="H695" s="26" t="s">
        <v>2271</v>
      </c>
      <c r="I695" s="4"/>
      <c r="J695" s="6">
        <v>0</v>
      </c>
      <c r="K695" s="29" t="s">
        <v>1767</v>
      </c>
      <c r="L695" s="4"/>
      <c r="M695" s="3"/>
    </row>
    <row r="696" spans="1:13" x14ac:dyDescent="0.3">
      <c r="A696" s="3">
        <v>103</v>
      </c>
      <c r="B696" s="3">
        <v>103</v>
      </c>
      <c r="C696" s="4">
        <v>1778.0409999999999</v>
      </c>
      <c r="D696" s="4">
        <v>1777.885</v>
      </c>
      <c r="E696" s="4">
        <v>1778.1959999999999</v>
      </c>
      <c r="F696" s="4"/>
      <c r="G696" s="4"/>
      <c r="H696" s="25" t="s">
        <v>2272</v>
      </c>
      <c r="I696" s="4"/>
      <c r="J696" s="6">
        <v>0</v>
      </c>
      <c r="K696" s="30" t="s">
        <v>1767</v>
      </c>
      <c r="L696" s="4"/>
      <c r="M696" s="3"/>
    </row>
    <row r="697" spans="1:13" x14ac:dyDescent="0.3">
      <c r="A697" s="3">
        <v>103</v>
      </c>
      <c r="B697" s="3">
        <v>103</v>
      </c>
      <c r="C697" s="4">
        <v>1778.749</v>
      </c>
      <c r="D697" s="4">
        <v>1778.1959999999999</v>
      </c>
      <c r="E697" s="4">
        <v>1779.3019999999999</v>
      </c>
      <c r="F697" s="4"/>
      <c r="G697" s="4"/>
      <c r="H697" s="26" t="s">
        <v>2273</v>
      </c>
      <c r="I697" s="4"/>
      <c r="J697" s="6">
        <v>0</v>
      </c>
      <c r="K697" s="29" t="s">
        <v>1767</v>
      </c>
      <c r="L697" s="4"/>
      <c r="M697" s="3"/>
    </row>
    <row r="698" spans="1:13" x14ac:dyDescent="0.3">
      <c r="A698" s="3">
        <v>103</v>
      </c>
      <c r="B698" s="3">
        <v>103</v>
      </c>
      <c r="C698" s="4">
        <v>1779.3409999999999</v>
      </c>
      <c r="D698" s="4">
        <v>1779.3019999999999</v>
      </c>
      <c r="E698" s="4">
        <v>1779.3789999999999</v>
      </c>
      <c r="F698" s="4"/>
      <c r="G698" s="4"/>
      <c r="H698" s="25" t="s">
        <v>2274</v>
      </c>
      <c r="I698" s="4"/>
      <c r="J698" s="6">
        <v>0</v>
      </c>
      <c r="K698" s="30" t="s">
        <v>1767</v>
      </c>
      <c r="L698" s="4"/>
      <c r="M698" s="3"/>
    </row>
    <row r="699" spans="1:13" x14ac:dyDescent="0.3">
      <c r="A699" s="3">
        <v>103</v>
      </c>
      <c r="B699" s="3">
        <v>103</v>
      </c>
      <c r="C699" s="4">
        <v>1779.845</v>
      </c>
      <c r="D699" s="4">
        <v>1779.3789999999999</v>
      </c>
      <c r="E699" s="4">
        <v>1780.3109999999999</v>
      </c>
      <c r="F699" s="4"/>
      <c r="G699" s="4"/>
      <c r="H699" s="26" t="s">
        <v>2275</v>
      </c>
      <c r="I699" s="4"/>
      <c r="J699" s="6">
        <v>0</v>
      </c>
      <c r="K699" s="29" t="s">
        <v>1767</v>
      </c>
      <c r="L699" s="4"/>
      <c r="M699" s="3"/>
    </row>
    <row r="700" spans="1:13" x14ac:dyDescent="0.3">
      <c r="A700" s="3">
        <v>103</v>
      </c>
      <c r="B700" s="3">
        <v>103</v>
      </c>
      <c r="C700" s="4">
        <v>1780.9949999999999</v>
      </c>
      <c r="D700" s="4">
        <v>1780.3109999999999</v>
      </c>
      <c r="E700" s="4">
        <v>1781.6780000000001</v>
      </c>
      <c r="F700" s="4"/>
      <c r="G700" s="4"/>
      <c r="H700" s="25" t="s">
        <v>2276</v>
      </c>
      <c r="I700" s="4"/>
      <c r="J700" s="6">
        <v>0</v>
      </c>
      <c r="K700" s="30" t="s">
        <v>1767</v>
      </c>
      <c r="L700" s="4"/>
      <c r="M700" s="3"/>
    </row>
    <row r="701" spans="1:13" x14ac:dyDescent="0.3">
      <c r="A701" s="3">
        <v>103</v>
      </c>
      <c r="B701" s="3">
        <v>103</v>
      </c>
      <c r="C701" s="4">
        <v>1781.8720000000001</v>
      </c>
      <c r="D701" s="4">
        <v>1781.6780000000001</v>
      </c>
      <c r="E701" s="4">
        <v>1782.066</v>
      </c>
      <c r="F701" s="4"/>
      <c r="G701" s="4"/>
      <c r="H701" s="26" t="s">
        <v>2277</v>
      </c>
      <c r="I701" s="4"/>
      <c r="J701" s="6">
        <v>0</v>
      </c>
      <c r="K701" s="29" t="s">
        <v>1767</v>
      </c>
      <c r="L701" s="4"/>
      <c r="M701" s="3"/>
    </row>
    <row r="702" spans="1:13" x14ac:dyDescent="0.3">
      <c r="A702" s="3">
        <v>103</v>
      </c>
      <c r="B702" s="3">
        <v>103</v>
      </c>
      <c r="C702" s="4">
        <v>1782.9259999999999</v>
      </c>
      <c r="D702" s="4">
        <v>1782.066</v>
      </c>
      <c r="E702" s="4">
        <v>1783.7860000000001</v>
      </c>
      <c r="F702" s="4"/>
      <c r="G702" s="4"/>
      <c r="H702" s="25" t="s">
        <v>2278</v>
      </c>
      <c r="I702" s="4"/>
      <c r="J702" s="6">
        <v>0</v>
      </c>
      <c r="K702" s="30" t="s">
        <v>1767</v>
      </c>
      <c r="L702" s="4"/>
      <c r="M702" s="3"/>
    </row>
    <row r="703" spans="1:13" x14ac:dyDescent="0.3">
      <c r="A703" s="3">
        <v>103</v>
      </c>
      <c r="B703" s="3">
        <v>103</v>
      </c>
      <c r="C703" s="4">
        <v>1784.1179999999999</v>
      </c>
      <c r="D703" s="4">
        <v>1783.7860000000001</v>
      </c>
      <c r="E703" s="4">
        <v>1784.45</v>
      </c>
      <c r="F703" s="4"/>
      <c r="G703" s="4"/>
      <c r="H703" s="26" t="s">
        <v>2279</v>
      </c>
      <c r="I703" s="4"/>
      <c r="J703" s="6">
        <v>0</v>
      </c>
      <c r="K703" s="29" t="s">
        <v>1767</v>
      </c>
      <c r="L703" s="4"/>
      <c r="M703" s="3"/>
    </row>
    <row r="704" spans="1:13" x14ac:dyDescent="0.3">
      <c r="A704" s="3">
        <v>103</v>
      </c>
      <c r="B704" s="3">
        <v>103</v>
      </c>
      <c r="C704" s="4">
        <v>1784.566</v>
      </c>
      <c r="D704" s="4">
        <v>1784.45</v>
      </c>
      <c r="E704" s="4">
        <v>1784.681</v>
      </c>
      <c r="F704" s="4"/>
      <c r="G704" s="4"/>
      <c r="H704" s="25" t="s">
        <v>2280</v>
      </c>
      <c r="I704" s="4"/>
      <c r="J704" s="6">
        <v>0</v>
      </c>
      <c r="K704" s="30" t="s">
        <v>1767</v>
      </c>
      <c r="L704" s="4"/>
      <c r="M704" s="3"/>
    </row>
    <row r="705" spans="1:13" x14ac:dyDescent="0.3">
      <c r="A705" s="3">
        <v>103</v>
      </c>
      <c r="B705" s="3">
        <v>103</v>
      </c>
      <c r="C705" s="4">
        <v>1785.154</v>
      </c>
      <c r="D705" s="4">
        <v>1784.681</v>
      </c>
      <c r="E705" s="4">
        <v>1785.626</v>
      </c>
      <c r="F705" s="4"/>
      <c r="G705" s="4"/>
      <c r="H705" s="26" t="s">
        <v>2281</v>
      </c>
      <c r="I705" s="4"/>
      <c r="J705" s="6">
        <v>0</v>
      </c>
      <c r="K705" s="29" t="s">
        <v>1767</v>
      </c>
      <c r="L705" s="4"/>
      <c r="M705" s="3"/>
    </row>
    <row r="706" spans="1:13" x14ac:dyDescent="0.3">
      <c r="A706" s="3">
        <v>103</v>
      </c>
      <c r="B706" s="3">
        <v>103</v>
      </c>
      <c r="C706" s="4">
        <v>1786.07</v>
      </c>
      <c r="D706" s="4">
        <v>1785.626</v>
      </c>
      <c r="E706" s="4">
        <v>1786.5139999999999</v>
      </c>
      <c r="F706" s="4"/>
      <c r="G706" s="4"/>
      <c r="H706" s="25" t="s">
        <v>2282</v>
      </c>
      <c r="I706" s="4"/>
      <c r="J706" s="6">
        <v>0</v>
      </c>
      <c r="K706" s="30" t="s">
        <v>1767</v>
      </c>
      <c r="L706" s="4"/>
      <c r="M706" s="3"/>
    </row>
    <row r="707" spans="1:13" x14ac:dyDescent="0.3">
      <c r="A707" s="3">
        <v>103</v>
      </c>
      <c r="B707" s="3">
        <v>103</v>
      </c>
      <c r="C707" s="4">
        <v>1787.598</v>
      </c>
      <c r="D707" s="4">
        <v>1786.5139999999999</v>
      </c>
      <c r="E707" s="4">
        <v>1788.682</v>
      </c>
      <c r="F707" s="4"/>
      <c r="G707" s="4"/>
      <c r="H707" s="26" t="s">
        <v>2283</v>
      </c>
      <c r="I707" s="4"/>
      <c r="J707" s="6">
        <v>0</v>
      </c>
      <c r="K707" s="29" t="s">
        <v>1767</v>
      </c>
      <c r="L707" s="4"/>
      <c r="M707" s="3"/>
    </row>
    <row r="708" spans="1:13" x14ac:dyDescent="0.3">
      <c r="A708" s="3">
        <v>103</v>
      </c>
      <c r="B708" s="3">
        <v>103</v>
      </c>
      <c r="C708" s="4">
        <v>1788.876</v>
      </c>
      <c r="D708" s="4">
        <v>1788.682</v>
      </c>
      <c r="E708" s="4">
        <v>1789.069</v>
      </c>
      <c r="F708" s="4"/>
      <c r="G708" s="4"/>
      <c r="H708" s="25" t="s">
        <v>2284</v>
      </c>
      <c r="I708" s="4"/>
      <c r="J708" s="6">
        <v>0</v>
      </c>
      <c r="K708" s="30" t="s">
        <v>1767</v>
      </c>
      <c r="L708" s="4"/>
      <c r="M708" s="3"/>
    </row>
    <row r="709" spans="1:13" x14ac:dyDescent="0.3">
      <c r="A709" s="3">
        <v>103</v>
      </c>
      <c r="B709" s="3">
        <v>103</v>
      </c>
      <c r="C709" s="4">
        <v>1789.645</v>
      </c>
      <c r="D709" s="4">
        <v>1789.069</v>
      </c>
      <c r="E709" s="4">
        <v>1790.221</v>
      </c>
      <c r="F709" s="4"/>
      <c r="G709" s="4"/>
      <c r="H709" s="26" t="s">
        <v>2285</v>
      </c>
      <c r="I709" s="4"/>
      <c r="J709" s="6">
        <v>0</v>
      </c>
      <c r="K709" s="29" t="s">
        <v>1767</v>
      </c>
      <c r="L709" s="4"/>
      <c r="M709" s="3"/>
    </row>
    <row r="710" spans="1:13" x14ac:dyDescent="0.3">
      <c r="A710" s="3">
        <v>103</v>
      </c>
      <c r="B710" s="3">
        <v>103</v>
      </c>
      <c r="C710" s="4">
        <v>1790.596</v>
      </c>
      <c r="D710" s="4">
        <v>1790.221</v>
      </c>
      <c r="E710" s="4">
        <v>1790.97</v>
      </c>
      <c r="F710" s="4"/>
      <c r="G710" s="4"/>
      <c r="H710" s="25" t="s">
        <v>2286</v>
      </c>
      <c r="I710" s="4"/>
      <c r="J710" s="6">
        <v>0</v>
      </c>
      <c r="K710" s="30" t="s">
        <v>1767</v>
      </c>
      <c r="L710" s="4"/>
      <c r="M710" s="3"/>
    </row>
    <row r="711" spans="1:13" x14ac:dyDescent="0.3">
      <c r="A711" s="3">
        <v>103</v>
      </c>
      <c r="B711" s="3">
        <v>103</v>
      </c>
      <c r="C711" s="4">
        <v>1791.529</v>
      </c>
      <c r="D711" s="4">
        <v>1790.97</v>
      </c>
      <c r="E711" s="4">
        <v>1792.087</v>
      </c>
      <c r="F711" s="4"/>
      <c r="G711" s="4"/>
      <c r="H711" s="26" t="s">
        <v>2287</v>
      </c>
      <c r="I711" s="4"/>
      <c r="J711" s="6">
        <v>0</v>
      </c>
      <c r="K711" s="29" t="s">
        <v>1767</v>
      </c>
      <c r="L711" s="4"/>
      <c r="M711" s="3"/>
    </row>
    <row r="712" spans="1:13" x14ac:dyDescent="0.3">
      <c r="A712" s="3">
        <v>103</v>
      </c>
      <c r="B712" s="3">
        <v>103</v>
      </c>
      <c r="C712" s="4">
        <v>1792.2260000000001</v>
      </c>
      <c r="D712" s="4">
        <v>1792.087</v>
      </c>
      <c r="E712" s="4">
        <v>1792.365</v>
      </c>
      <c r="F712" s="4"/>
      <c r="G712" s="4"/>
      <c r="H712" s="25" t="s">
        <v>2288</v>
      </c>
      <c r="I712" s="4"/>
      <c r="J712" s="6">
        <v>0</v>
      </c>
      <c r="K712" s="30" t="s">
        <v>1767</v>
      </c>
      <c r="L712" s="4"/>
      <c r="M712" s="3"/>
    </row>
    <row r="713" spans="1:13" x14ac:dyDescent="0.3">
      <c r="A713" s="3">
        <v>103</v>
      </c>
      <c r="B713" s="3">
        <v>103</v>
      </c>
      <c r="C713" s="4">
        <v>1792.856</v>
      </c>
      <c r="D713" s="4">
        <v>1792.365</v>
      </c>
      <c r="E713" s="4">
        <v>1793.347</v>
      </c>
      <c r="F713" s="4"/>
      <c r="G713" s="4"/>
      <c r="H713" s="26" t="s">
        <v>2289</v>
      </c>
      <c r="I713" s="4"/>
      <c r="J713" s="6">
        <v>0</v>
      </c>
      <c r="K713" s="29" t="s">
        <v>1767</v>
      </c>
      <c r="L713" s="4"/>
      <c r="M713" s="3"/>
    </row>
    <row r="714" spans="1:13" x14ac:dyDescent="0.3">
      <c r="A714" s="3">
        <v>103</v>
      </c>
      <c r="B714" s="3">
        <v>103</v>
      </c>
      <c r="C714" s="4">
        <v>1793.5719999999999</v>
      </c>
      <c r="D714" s="4">
        <v>1793.347</v>
      </c>
      <c r="E714" s="4">
        <v>1793.796</v>
      </c>
      <c r="F714" s="4"/>
      <c r="G714" s="4"/>
      <c r="H714" s="25" t="s">
        <v>2290</v>
      </c>
      <c r="I714" s="4"/>
      <c r="J714" s="6">
        <v>0</v>
      </c>
      <c r="K714" s="30" t="s">
        <v>1767</v>
      </c>
      <c r="L714" s="4"/>
      <c r="M714" s="3"/>
    </row>
    <row r="715" spans="1:13" x14ac:dyDescent="0.3">
      <c r="A715" s="3">
        <v>103</v>
      </c>
      <c r="B715" s="3">
        <v>103</v>
      </c>
      <c r="C715" s="4">
        <v>1794.1679999999999</v>
      </c>
      <c r="D715" s="4">
        <v>1793.796</v>
      </c>
      <c r="E715" s="4">
        <v>1794.54</v>
      </c>
      <c r="F715" s="4"/>
      <c r="G715" s="4"/>
      <c r="H715" s="26" t="s">
        <v>2291</v>
      </c>
      <c r="I715" s="4"/>
      <c r="J715" s="6">
        <v>0</v>
      </c>
      <c r="K715" s="29" t="s">
        <v>1767</v>
      </c>
      <c r="L715" s="4"/>
      <c r="M715" s="3"/>
    </row>
    <row r="716" spans="1:13" x14ac:dyDescent="0.3">
      <c r="A716" s="3">
        <v>103</v>
      </c>
      <c r="B716" s="3">
        <v>103</v>
      </c>
      <c r="C716" s="4">
        <v>1794.6079999999999</v>
      </c>
      <c r="D716" s="4">
        <v>1794.54</v>
      </c>
      <c r="E716" s="4">
        <v>1794.6759999999999</v>
      </c>
      <c r="F716" s="4"/>
      <c r="G716" s="4"/>
      <c r="H716" s="25" t="s">
        <v>2292</v>
      </c>
      <c r="I716" s="4"/>
      <c r="J716" s="6">
        <v>0</v>
      </c>
      <c r="K716" s="30" t="s">
        <v>1767</v>
      </c>
      <c r="L716" s="4"/>
      <c r="M716" s="3"/>
    </row>
    <row r="717" spans="1:13" x14ac:dyDescent="0.3">
      <c r="A717" s="3">
        <v>103</v>
      </c>
      <c r="B717" s="3">
        <v>103</v>
      </c>
      <c r="C717" s="4">
        <v>1795.0409999999999</v>
      </c>
      <c r="D717" s="4">
        <v>1794.6759999999999</v>
      </c>
      <c r="E717" s="4">
        <v>1795.405</v>
      </c>
      <c r="F717" s="4"/>
      <c r="G717" s="4"/>
      <c r="H717" s="26" t="s">
        <v>2293</v>
      </c>
      <c r="I717" s="4"/>
      <c r="J717" s="6">
        <v>0</v>
      </c>
      <c r="K717" s="29" t="s">
        <v>1767</v>
      </c>
      <c r="L717" s="4"/>
      <c r="M717" s="3"/>
    </row>
    <row r="718" spans="1:13" x14ac:dyDescent="0.3">
      <c r="A718" s="3">
        <v>103</v>
      </c>
      <c r="B718" s="3">
        <v>103</v>
      </c>
      <c r="C718" s="4">
        <v>1795.4480000000001</v>
      </c>
      <c r="D718" s="4">
        <v>1795.405</v>
      </c>
      <c r="E718" s="4">
        <v>1795.49</v>
      </c>
      <c r="F718" s="4"/>
      <c r="G718" s="4"/>
      <c r="H718" s="25" t="s">
        <v>2294</v>
      </c>
      <c r="I718" s="4"/>
      <c r="J718" s="6">
        <v>0</v>
      </c>
      <c r="K718" s="30" t="s">
        <v>1767</v>
      </c>
      <c r="L718" s="4"/>
      <c r="M718" s="3"/>
    </row>
    <row r="719" spans="1:13" x14ac:dyDescent="0.3">
      <c r="A719" s="3">
        <v>103</v>
      </c>
      <c r="B719" s="3">
        <v>103</v>
      </c>
      <c r="C719" s="4">
        <v>1795.712</v>
      </c>
      <c r="D719" s="4">
        <v>1795.49</v>
      </c>
      <c r="E719" s="4">
        <v>1795.933</v>
      </c>
      <c r="F719" s="4"/>
      <c r="G719" s="4"/>
      <c r="H719" s="26" t="s">
        <v>2295</v>
      </c>
      <c r="I719" s="4"/>
      <c r="J719" s="6">
        <v>0</v>
      </c>
      <c r="K719" s="29" t="s">
        <v>1767</v>
      </c>
      <c r="L719" s="4"/>
      <c r="M719" s="3"/>
    </row>
    <row r="720" spans="1:13" x14ac:dyDescent="0.3">
      <c r="A720" s="3">
        <v>103</v>
      </c>
      <c r="B720" s="3">
        <v>103</v>
      </c>
      <c r="C720" s="4">
        <v>1796.0039999999999</v>
      </c>
      <c r="D720" s="4">
        <v>1795.933</v>
      </c>
      <c r="E720" s="4">
        <v>1796.075</v>
      </c>
      <c r="F720" s="4"/>
      <c r="G720" s="4"/>
      <c r="H720" s="25" t="s">
        <v>2296</v>
      </c>
      <c r="I720" s="4"/>
      <c r="J720" s="6">
        <v>0</v>
      </c>
      <c r="K720" s="30" t="s">
        <v>1767</v>
      </c>
      <c r="L720" s="4"/>
      <c r="M720" s="3"/>
    </row>
    <row r="721" spans="1:13" x14ac:dyDescent="0.3">
      <c r="A721" s="3">
        <v>103</v>
      </c>
      <c r="B721" s="3">
        <v>103</v>
      </c>
      <c r="C721" s="4">
        <v>1796.249</v>
      </c>
      <c r="D721" s="4">
        <v>1796.075</v>
      </c>
      <c r="E721" s="4">
        <v>1796.423</v>
      </c>
      <c r="F721" s="4"/>
      <c r="G721" s="4"/>
      <c r="H721" s="26" t="s">
        <v>2297</v>
      </c>
      <c r="I721" s="4"/>
      <c r="J721" s="6">
        <v>0</v>
      </c>
      <c r="K721" s="29" t="s">
        <v>1767</v>
      </c>
      <c r="L721" s="4"/>
      <c r="M721" s="3"/>
    </row>
    <row r="722" spans="1:13" x14ac:dyDescent="0.3">
      <c r="A722" s="3">
        <v>103</v>
      </c>
      <c r="B722" s="3">
        <v>103</v>
      </c>
      <c r="C722" s="4">
        <v>1796.4880000000001</v>
      </c>
      <c r="D722" s="4">
        <v>1796.423</v>
      </c>
      <c r="E722" s="4">
        <v>1796.5519999999999</v>
      </c>
      <c r="F722" s="4"/>
      <c r="G722" s="4"/>
      <c r="H722" s="25" t="s">
        <v>2298</v>
      </c>
      <c r="I722" s="4"/>
      <c r="J722" s="6">
        <v>0</v>
      </c>
      <c r="K722" s="30" t="s">
        <v>1767</v>
      </c>
      <c r="L722" s="4"/>
      <c r="M722" s="3"/>
    </row>
    <row r="723" spans="1:13" x14ac:dyDescent="0.3">
      <c r="A723" s="3">
        <v>103</v>
      </c>
      <c r="B723" s="3">
        <v>103</v>
      </c>
      <c r="C723" s="4">
        <v>1796.924</v>
      </c>
      <c r="D723" s="4">
        <v>1796.5519999999999</v>
      </c>
      <c r="E723" s="4">
        <v>1797.2950000000001</v>
      </c>
      <c r="F723" s="4"/>
      <c r="G723" s="4"/>
      <c r="H723" s="26" t="s">
        <v>2299</v>
      </c>
      <c r="I723" s="4"/>
      <c r="J723" s="6">
        <v>0</v>
      </c>
      <c r="K723" s="29" t="s">
        <v>1767</v>
      </c>
      <c r="L723" s="4"/>
      <c r="M723" s="3"/>
    </row>
    <row r="724" spans="1:13" x14ac:dyDescent="0.3">
      <c r="A724" s="3">
        <v>103</v>
      </c>
      <c r="B724" s="3">
        <v>103</v>
      </c>
      <c r="C724" s="4">
        <v>1797.4380000000001</v>
      </c>
      <c r="D724" s="4">
        <v>1797.2950000000001</v>
      </c>
      <c r="E724" s="4">
        <v>1797.5809999999999</v>
      </c>
      <c r="F724" s="4"/>
      <c r="G724" s="4"/>
      <c r="H724" s="25" t="s">
        <v>2300</v>
      </c>
      <c r="I724" s="4"/>
      <c r="J724" s="6">
        <v>0</v>
      </c>
      <c r="K724" s="30" t="s">
        <v>1767</v>
      </c>
      <c r="L724" s="4"/>
      <c r="M724" s="3"/>
    </row>
    <row r="725" spans="1:13" x14ac:dyDescent="0.3">
      <c r="A725" s="3">
        <v>103</v>
      </c>
      <c r="B725" s="3">
        <v>103</v>
      </c>
      <c r="C725" s="4">
        <v>1798.0039999999999</v>
      </c>
      <c r="D725" s="4">
        <v>1797.5809999999999</v>
      </c>
      <c r="E725" s="4">
        <v>1798.4269999999999</v>
      </c>
      <c r="F725" s="4"/>
      <c r="G725" s="4"/>
      <c r="H725" s="26" t="s">
        <v>2301</v>
      </c>
      <c r="I725" s="4"/>
      <c r="J725" s="6">
        <v>0</v>
      </c>
      <c r="K725" s="29" t="s">
        <v>1767</v>
      </c>
      <c r="L725" s="4"/>
      <c r="M725" s="3"/>
    </row>
    <row r="726" spans="1:13" x14ac:dyDescent="0.3">
      <c r="A726" s="3">
        <v>103</v>
      </c>
      <c r="B726" s="3">
        <v>103</v>
      </c>
      <c r="C726" s="4">
        <v>1798.49</v>
      </c>
      <c r="D726" s="4">
        <v>1798.4269999999999</v>
      </c>
      <c r="E726" s="4">
        <v>1798.5530000000001</v>
      </c>
      <c r="F726" s="4"/>
      <c r="G726" s="4"/>
      <c r="H726" s="25" t="s">
        <v>2302</v>
      </c>
      <c r="I726" s="4"/>
      <c r="J726" s="6">
        <v>0</v>
      </c>
      <c r="K726" s="30" t="s">
        <v>1767</v>
      </c>
      <c r="L726" s="4"/>
      <c r="M726" s="3"/>
    </row>
    <row r="727" spans="1:13" x14ac:dyDescent="0.3">
      <c r="A727" s="3">
        <v>103</v>
      </c>
      <c r="B727" s="3">
        <v>103</v>
      </c>
      <c r="C727" s="4">
        <v>1799.0250000000001</v>
      </c>
      <c r="D727" s="4">
        <v>1798.5530000000001</v>
      </c>
      <c r="E727" s="4">
        <v>1799.4970000000001</v>
      </c>
      <c r="F727" s="4"/>
      <c r="G727" s="4"/>
      <c r="H727" s="26" t="s">
        <v>2303</v>
      </c>
      <c r="I727" s="4"/>
      <c r="J727" s="6">
        <v>0</v>
      </c>
      <c r="K727" s="29" t="s">
        <v>1767</v>
      </c>
      <c r="L727" s="4"/>
      <c r="M727" s="3"/>
    </row>
    <row r="728" spans="1:13" x14ac:dyDescent="0.3">
      <c r="A728" s="3">
        <v>103</v>
      </c>
      <c r="B728" s="3">
        <v>103</v>
      </c>
      <c r="C728" s="4">
        <v>1799.529</v>
      </c>
      <c r="D728" s="4">
        <v>1799.4970000000001</v>
      </c>
      <c r="E728" s="4">
        <v>1799.5609999999999</v>
      </c>
      <c r="F728" s="4"/>
      <c r="G728" s="4"/>
      <c r="H728" s="25" t="s">
        <v>2304</v>
      </c>
      <c r="I728" s="4"/>
      <c r="J728" s="6">
        <v>0</v>
      </c>
      <c r="K728" s="30" t="s">
        <v>1767</v>
      </c>
      <c r="L728" s="4"/>
      <c r="M728" s="3"/>
    </row>
    <row r="729" spans="1:13" x14ac:dyDescent="0.3">
      <c r="A729" s="3">
        <v>103</v>
      </c>
      <c r="B729" s="3">
        <v>103</v>
      </c>
      <c r="C729" s="4">
        <v>1800.1210000000001</v>
      </c>
      <c r="D729" s="4">
        <v>1799.5609999999999</v>
      </c>
      <c r="E729" s="4">
        <v>1800.68</v>
      </c>
      <c r="F729" s="4"/>
      <c r="G729" s="4"/>
      <c r="H729" s="26" t="s">
        <v>2305</v>
      </c>
      <c r="I729" s="4"/>
      <c r="J729" s="6">
        <v>0</v>
      </c>
      <c r="K729" s="29" t="s">
        <v>1767</v>
      </c>
      <c r="L729" s="4"/>
      <c r="M729" s="3"/>
    </row>
    <row r="730" spans="1:13" x14ac:dyDescent="0.3">
      <c r="A730" s="3">
        <v>103</v>
      </c>
      <c r="B730" s="3">
        <v>103</v>
      </c>
      <c r="C730" s="4">
        <v>1800.691</v>
      </c>
      <c r="D730" s="4">
        <v>1800.68</v>
      </c>
      <c r="E730" s="4">
        <v>1800.701</v>
      </c>
      <c r="F730" s="4"/>
      <c r="G730" s="4"/>
      <c r="H730" s="25" t="s">
        <v>2306</v>
      </c>
      <c r="I730" s="4"/>
      <c r="J730" s="6">
        <v>0</v>
      </c>
      <c r="K730" s="30" t="s">
        <v>1767</v>
      </c>
      <c r="L730" s="4"/>
      <c r="M730" s="3"/>
    </row>
    <row r="731" spans="1:13" x14ac:dyDescent="0.3">
      <c r="A731" s="3">
        <v>103</v>
      </c>
      <c r="B731" s="3">
        <v>103</v>
      </c>
      <c r="C731" s="4">
        <v>1801.1990000000001</v>
      </c>
      <c r="D731" s="4">
        <v>1800.701</v>
      </c>
      <c r="E731" s="4">
        <v>1801.6959999999999</v>
      </c>
      <c r="F731" s="4"/>
      <c r="G731" s="4"/>
      <c r="H731" s="26" t="s">
        <v>2307</v>
      </c>
      <c r="I731" s="4"/>
      <c r="J731" s="6">
        <v>0</v>
      </c>
      <c r="K731" s="29" t="s">
        <v>1767</v>
      </c>
      <c r="L731" s="4"/>
      <c r="M731" s="3"/>
    </row>
    <row r="732" spans="1:13" x14ac:dyDescent="0.3">
      <c r="A732" s="3">
        <v>103</v>
      </c>
      <c r="B732" s="3">
        <v>103</v>
      </c>
      <c r="C732" s="4">
        <v>1801.8979999999999</v>
      </c>
      <c r="D732" s="4">
        <v>1801.6959999999999</v>
      </c>
      <c r="E732" s="4">
        <v>1802.0989999999999</v>
      </c>
      <c r="F732" s="4"/>
      <c r="G732" s="4"/>
      <c r="H732" s="25" t="s">
        <v>2308</v>
      </c>
      <c r="I732" s="4"/>
      <c r="J732" s="6">
        <v>0</v>
      </c>
      <c r="K732" s="30" t="s">
        <v>1767</v>
      </c>
      <c r="L732" s="4"/>
      <c r="M732" s="3"/>
    </row>
    <row r="733" spans="1:13" x14ac:dyDescent="0.3">
      <c r="A733" s="3">
        <v>103</v>
      </c>
      <c r="B733" s="3">
        <v>103</v>
      </c>
      <c r="C733" s="4">
        <v>1802.5219999999999</v>
      </c>
      <c r="D733" s="4">
        <v>1802.0989999999999</v>
      </c>
      <c r="E733" s="4">
        <v>1802.944</v>
      </c>
      <c r="F733" s="4"/>
      <c r="G733" s="4"/>
      <c r="H733" s="26" t="s">
        <v>2309</v>
      </c>
      <c r="I733" s="4"/>
      <c r="J733" s="6">
        <v>0</v>
      </c>
      <c r="K733" s="29" t="s">
        <v>1767</v>
      </c>
      <c r="L733" s="4"/>
      <c r="M733" s="3"/>
    </row>
    <row r="734" spans="1:13" x14ac:dyDescent="0.3">
      <c r="A734" s="3">
        <v>103</v>
      </c>
      <c r="B734" s="3">
        <v>103</v>
      </c>
      <c r="C734" s="4">
        <v>1804.11</v>
      </c>
      <c r="D734" s="4">
        <v>1802.944</v>
      </c>
      <c r="E734" s="4">
        <v>1805.2760000000001</v>
      </c>
      <c r="F734" s="4"/>
      <c r="G734" s="4"/>
      <c r="H734" s="25" t="s">
        <v>2310</v>
      </c>
      <c r="I734" s="4"/>
      <c r="J734" s="6">
        <v>0</v>
      </c>
      <c r="K734" s="30" t="s">
        <v>1767</v>
      </c>
      <c r="L734" s="4"/>
      <c r="M734" s="3"/>
    </row>
    <row r="735" spans="1:13" x14ac:dyDescent="0.3">
      <c r="A735" s="3">
        <v>103</v>
      </c>
      <c r="B735" s="3">
        <v>103</v>
      </c>
      <c r="C735" s="4">
        <v>1805.3710000000001</v>
      </c>
      <c r="D735" s="4">
        <v>1805.2760000000001</v>
      </c>
      <c r="E735" s="4">
        <v>1805.4649999999999</v>
      </c>
      <c r="F735" s="4"/>
      <c r="G735" s="4"/>
      <c r="H735" s="26" t="s">
        <v>2311</v>
      </c>
      <c r="I735" s="4"/>
      <c r="J735" s="6">
        <v>0</v>
      </c>
      <c r="K735" s="29" t="s">
        <v>1767</v>
      </c>
      <c r="L735" s="4"/>
      <c r="M735" s="3"/>
    </row>
    <row r="736" spans="1:13" x14ac:dyDescent="0.3">
      <c r="A736" s="3">
        <v>103</v>
      </c>
      <c r="B736" s="3">
        <v>103</v>
      </c>
      <c r="C736" s="4">
        <v>1806.1279999999999</v>
      </c>
      <c r="D736" s="4">
        <v>1805.4649999999999</v>
      </c>
      <c r="E736" s="4">
        <v>1806.7909999999999</v>
      </c>
      <c r="F736" s="4"/>
      <c r="G736" s="4"/>
      <c r="H736" s="25" t="s">
        <v>2312</v>
      </c>
      <c r="I736" s="4"/>
      <c r="J736" s="6">
        <v>0</v>
      </c>
      <c r="K736" s="30" t="s">
        <v>1767</v>
      </c>
      <c r="L736" s="4"/>
      <c r="M736" s="3"/>
    </row>
    <row r="737" spans="1:13" x14ac:dyDescent="0.3">
      <c r="A737" s="3">
        <v>103</v>
      </c>
      <c r="B737" s="3">
        <v>103</v>
      </c>
      <c r="C737" s="4">
        <v>1807.0319999999999</v>
      </c>
      <c r="D737" s="4">
        <v>1806.7909999999999</v>
      </c>
      <c r="E737" s="4">
        <v>1807.2719999999999</v>
      </c>
      <c r="F737" s="4"/>
      <c r="G737" s="4"/>
      <c r="H737" s="26" t="s">
        <v>2313</v>
      </c>
      <c r="I737" s="4"/>
      <c r="J737" s="6">
        <v>0</v>
      </c>
      <c r="K737" s="29" t="s">
        <v>1767</v>
      </c>
      <c r="L737" s="4"/>
      <c r="M737" s="3"/>
    </row>
    <row r="738" spans="1:13" x14ac:dyDescent="0.3">
      <c r="A738" s="3">
        <v>103</v>
      </c>
      <c r="B738" s="3">
        <v>103</v>
      </c>
      <c r="C738" s="4">
        <v>1807.2860000000001</v>
      </c>
      <c r="D738" s="4">
        <v>1807.2719999999999</v>
      </c>
      <c r="E738" s="4">
        <v>1807.3</v>
      </c>
      <c r="F738" s="4"/>
      <c r="G738" s="4"/>
      <c r="H738" s="25" t="s">
        <v>2314</v>
      </c>
      <c r="I738" s="4"/>
      <c r="J738" s="6">
        <v>0</v>
      </c>
      <c r="K738" s="30" t="s">
        <v>1767</v>
      </c>
      <c r="L738" s="4"/>
      <c r="M738" s="3"/>
    </row>
    <row r="739" spans="1:13" x14ac:dyDescent="0.3">
      <c r="A739" s="3">
        <v>103</v>
      </c>
      <c r="B739" s="3">
        <v>103</v>
      </c>
      <c r="C739" s="4">
        <v>1807.57</v>
      </c>
      <c r="D739" s="4">
        <v>1807.3</v>
      </c>
      <c r="E739" s="4">
        <v>1807.8389999999999</v>
      </c>
      <c r="F739" s="4"/>
      <c r="G739" s="4"/>
      <c r="H739" s="26" t="s">
        <v>2315</v>
      </c>
      <c r="I739" s="4"/>
      <c r="J739" s="6">
        <v>0</v>
      </c>
      <c r="K739" s="29" t="s">
        <v>1767</v>
      </c>
      <c r="L739" s="4"/>
      <c r="M739" s="3"/>
    </row>
    <row r="740" spans="1:13" x14ac:dyDescent="0.3">
      <c r="A740" s="3">
        <v>103</v>
      </c>
      <c r="B740" s="3">
        <v>103</v>
      </c>
      <c r="C740" s="4">
        <v>1807.893</v>
      </c>
      <c r="D740" s="4">
        <v>1807.8389999999999</v>
      </c>
      <c r="E740" s="4">
        <v>1807.9469999999999</v>
      </c>
      <c r="F740" s="4"/>
      <c r="G740" s="4"/>
      <c r="H740" s="25" t="s">
        <v>2316</v>
      </c>
      <c r="I740" s="4"/>
      <c r="J740" s="6">
        <v>0</v>
      </c>
      <c r="K740" s="30" t="s">
        <v>1767</v>
      </c>
      <c r="L740" s="4"/>
      <c r="M740" s="3"/>
    </row>
    <row r="741" spans="1:13" x14ac:dyDescent="0.3">
      <c r="A741" s="3">
        <v>103</v>
      </c>
      <c r="B741" s="3">
        <v>103</v>
      </c>
      <c r="C741" s="4">
        <v>1808.1780000000001</v>
      </c>
      <c r="D741" s="4">
        <v>1807.9469999999999</v>
      </c>
      <c r="E741" s="4">
        <v>1808.4090000000001</v>
      </c>
      <c r="F741" s="4"/>
      <c r="G741" s="4"/>
      <c r="H741" s="26" t="s">
        <v>2317</v>
      </c>
      <c r="I741" s="4"/>
      <c r="J741" s="6">
        <v>0</v>
      </c>
      <c r="K741" s="29" t="s">
        <v>1767</v>
      </c>
      <c r="L741" s="4"/>
      <c r="M741" s="3"/>
    </row>
    <row r="742" spans="1:13" x14ac:dyDescent="0.3">
      <c r="A742" s="3">
        <v>103</v>
      </c>
      <c r="B742" s="3">
        <v>103</v>
      </c>
      <c r="C742" s="4">
        <v>1808.4659999999999</v>
      </c>
      <c r="D742" s="4">
        <v>1808.4090000000001</v>
      </c>
      <c r="E742" s="4">
        <v>1808.5219999999999</v>
      </c>
      <c r="F742" s="4"/>
      <c r="G742" s="4"/>
      <c r="H742" s="25" t="s">
        <v>2318</v>
      </c>
      <c r="I742" s="4"/>
      <c r="J742" s="6">
        <v>0</v>
      </c>
      <c r="K742" s="30" t="s">
        <v>1767</v>
      </c>
      <c r="L742" s="4"/>
      <c r="M742" s="3"/>
    </row>
    <row r="743" spans="1:13" x14ac:dyDescent="0.3">
      <c r="A743" s="3">
        <v>103</v>
      </c>
      <c r="B743" s="3">
        <v>103</v>
      </c>
      <c r="C743" s="4">
        <v>1808.87</v>
      </c>
      <c r="D743" s="4">
        <v>1808.5219999999999</v>
      </c>
      <c r="E743" s="4">
        <v>1809.2180000000001</v>
      </c>
      <c r="F743" s="4"/>
      <c r="G743" s="4"/>
      <c r="H743" s="26" t="s">
        <v>2319</v>
      </c>
      <c r="I743" s="4"/>
      <c r="J743" s="6">
        <v>0</v>
      </c>
      <c r="K743" s="29" t="s">
        <v>1767</v>
      </c>
      <c r="L743" s="4"/>
      <c r="M743" s="3"/>
    </row>
    <row r="744" spans="1:13" x14ac:dyDescent="0.3">
      <c r="A744" s="3">
        <v>103</v>
      </c>
      <c r="B744" s="3">
        <v>103</v>
      </c>
      <c r="C744" s="4">
        <v>1809.4010000000001</v>
      </c>
      <c r="D744" s="4">
        <v>1809.2180000000001</v>
      </c>
      <c r="E744" s="4">
        <v>1809.5840000000001</v>
      </c>
      <c r="F744" s="4"/>
      <c r="G744" s="4"/>
      <c r="H744" s="25" t="s">
        <v>2320</v>
      </c>
      <c r="I744" s="4"/>
      <c r="J744" s="6">
        <v>0</v>
      </c>
      <c r="K744" s="30" t="s">
        <v>1767</v>
      </c>
      <c r="L744" s="4"/>
      <c r="M744" s="3"/>
    </row>
    <row r="745" spans="1:13" x14ac:dyDescent="0.3">
      <c r="A745" s="3">
        <v>103</v>
      </c>
      <c r="B745" s="3">
        <v>103</v>
      </c>
      <c r="C745" s="4">
        <v>1809.7560000000001</v>
      </c>
      <c r="D745" s="4">
        <v>1809.5840000000001</v>
      </c>
      <c r="E745" s="4">
        <v>1809.9269999999999</v>
      </c>
      <c r="F745" s="4"/>
      <c r="G745" s="4"/>
      <c r="H745" s="26" t="s">
        <v>2321</v>
      </c>
      <c r="I745" s="4"/>
      <c r="J745" s="6">
        <v>0</v>
      </c>
      <c r="K745" s="29" t="s">
        <v>1767</v>
      </c>
      <c r="L745" s="4"/>
      <c r="M745" s="3"/>
    </row>
    <row r="746" spans="1:13" x14ac:dyDescent="0.3">
      <c r="A746" s="3">
        <v>103</v>
      </c>
      <c r="B746" s="3">
        <v>103</v>
      </c>
      <c r="C746" s="4">
        <v>1810.0609999999999</v>
      </c>
      <c r="D746" s="4">
        <v>1809.9269999999999</v>
      </c>
      <c r="E746" s="4">
        <v>1810.194</v>
      </c>
      <c r="F746" s="4"/>
      <c r="G746" s="4"/>
      <c r="H746" s="25" t="s">
        <v>2322</v>
      </c>
      <c r="I746" s="4"/>
      <c r="J746" s="6">
        <v>0</v>
      </c>
      <c r="K746" s="30" t="s">
        <v>1767</v>
      </c>
      <c r="L746" s="4"/>
      <c r="M746" s="3"/>
    </row>
    <row r="747" spans="1:13" x14ac:dyDescent="0.3">
      <c r="A747" s="3">
        <v>103</v>
      </c>
      <c r="B747" s="3">
        <v>103</v>
      </c>
      <c r="C747" s="4">
        <v>1810.5239999999999</v>
      </c>
      <c r="D747" s="4">
        <v>1810.194</v>
      </c>
      <c r="E747" s="4">
        <v>1810.854</v>
      </c>
      <c r="F747" s="4"/>
      <c r="G747" s="4"/>
      <c r="H747" s="26" t="s">
        <v>2323</v>
      </c>
      <c r="I747" s="4"/>
      <c r="J747" s="6">
        <v>0</v>
      </c>
      <c r="K747" s="29" t="s">
        <v>1767</v>
      </c>
      <c r="L747" s="4"/>
      <c r="M747" s="3"/>
    </row>
    <row r="748" spans="1:13" x14ac:dyDescent="0.3">
      <c r="A748" s="3">
        <v>103</v>
      </c>
      <c r="B748" s="3">
        <v>103</v>
      </c>
      <c r="C748" s="4">
        <v>1811.13</v>
      </c>
      <c r="D748" s="4">
        <v>1810.854</v>
      </c>
      <c r="E748" s="4">
        <v>1811.4059999999999</v>
      </c>
      <c r="F748" s="4"/>
      <c r="G748" s="4"/>
      <c r="H748" s="25" t="s">
        <v>2324</v>
      </c>
      <c r="I748" s="4"/>
      <c r="J748" s="6">
        <v>0</v>
      </c>
      <c r="K748" s="30" t="s">
        <v>1767</v>
      </c>
      <c r="L748" s="4"/>
      <c r="M748" s="3"/>
    </row>
    <row r="749" spans="1:13" x14ac:dyDescent="0.3">
      <c r="A749" s="3">
        <v>103</v>
      </c>
      <c r="B749" s="3">
        <v>103</v>
      </c>
      <c r="C749" s="4">
        <v>1811.67</v>
      </c>
      <c r="D749" s="4">
        <v>1811.4059999999999</v>
      </c>
      <c r="E749" s="4">
        <v>1811.933</v>
      </c>
      <c r="F749" s="4"/>
      <c r="G749" s="4"/>
      <c r="H749" s="26" t="s">
        <v>2325</v>
      </c>
      <c r="I749" s="4"/>
      <c r="J749" s="6">
        <v>0</v>
      </c>
      <c r="K749" s="29" t="s">
        <v>1767</v>
      </c>
      <c r="L749" s="4"/>
      <c r="M749" s="3"/>
    </row>
    <row r="750" spans="1:13" x14ac:dyDescent="0.3">
      <c r="A750" s="3">
        <v>103</v>
      </c>
      <c r="B750" s="3">
        <v>103</v>
      </c>
      <c r="C750" s="4">
        <v>1812.076</v>
      </c>
      <c r="D750" s="4">
        <v>1811.933</v>
      </c>
      <c r="E750" s="4">
        <v>1812.2190000000001</v>
      </c>
      <c r="F750" s="4"/>
      <c r="G750" s="4"/>
      <c r="H750" s="25" t="s">
        <v>2326</v>
      </c>
      <c r="I750" s="4"/>
      <c r="J750" s="6">
        <v>0</v>
      </c>
      <c r="K750" s="30" t="s">
        <v>1767</v>
      </c>
      <c r="L750" s="4"/>
      <c r="M750" s="3"/>
    </row>
    <row r="751" spans="1:13" x14ac:dyDescent="0.3">
      <c r="A751" s="3">
        <v>103</v>
      </c>
      <c r="B751" s="3">
        <v>103</v>
      </c>
      <c r="C751" s="4">
        <v>1812.588</v>
      </c>
      <c r="D751" s="4">
        <v>1812.2190000000001</v>
      </c>
      <c r="E751" s="4">
        <v>1812.9559999999999</v>
      </c>
      <c r="F751" s="4"/>
      <c r="G751" s="4"/>
      <c r="H751" s="26" t="s">
        <v>2327</v>
      </c>
      <c r="I751" s="4"/>
      <c r="J751" s="6">
        <v>0</v>
      </c>
      <c r="K751" s="29" t="s">
        <v>1767</v>
      </c>
      <c r="L751" s="4"/>
      <c r="M751" s="3"/>
    </row>
    <row r="752" spans="1:13" x14ac:dyDescent="0.3">
      <c r="A752" s="3">
        <v>103</v>
      </c>
      <c r="B752" s="3">
        <v>103</v>
      </c>
      <c r="C752" s="4">
        <v>1813.807</v>
      </c>
      <c r="D752" s="4">
        <v>1812.9559999999999</v>
      </c>
      <c r="E752" s="4">
        <v>1814.6579999999999</v>
      </c>
      <c r="F752" s="4"/>
      <c r="G752" s="4"/>
      <c r="H752" s="25" t="s">
        <v>2328</v>
      </c>
      <c r="I752" s="4"/>
      <c r="J752" s="6">
        <v>0</v>
      </c>
      <c r="K752" s="30" t="s">
        <v>1767</v>
      </c>
      <c r="L752" s="4"/>
      <c r="M752" s="3"/>
    </row>
    <row r="753" spans="1:13" x14ac:dyDescent="0.3">
      <c r="A753" s="3">
        <v>103</v>
      </c>
      <c r="B753" s="3">
        <v>103</v>
      </c>
      <c r="C753" s="4">
        <v>1815.0060000000001</v>
      </c>
      <c r="D753" s="4">
        <v>1814.6579999999999</v>
      </c>
      <c r="E753" s="4">
        <v>1815.354</v>
      </c>
      <c r="F753" s="4"/>
      <c r="G753" s="4"/>
      <c r="H753" s="26" t="s">
        <v>2329</v>
      </c>
      <c r="I753" s="4"/>
      <c r="J753" s="6">
        <v>0</v>
      </c>
      <c r="K753" s="29" t="s">
        <v>1767</v>
      </c>
      <c r="L753" s="4"/>
      <c r="M753" s="3"/>
    </row>
    <row r="754" spans="1:13" x14ac:dyDescent="0.3">
      <c r="A754" s="3">
        <v>103</v>
      </c>
      <c r="B754" s="3">
        <v>103</v>
      </c>
      <c r="C754" s="4">
        <v>1815.4110000000001</v>
      </c>
      <c r="D754" s="4">
        <v>1815.354</v>
      </c>
      <c r="E754" s="4">
        <v>1815.4680000000001</v>
      </c>
      <c r="F754" s="4"/>
      <c r="G754" s="4"/>
      <c r="H754" s="25" t="s">
        <v>2330</v>
      </c>
      <c r="I754" s="4"/>
      <c r="J754" s="6">
        <v>0</v>
      </c>
      <c r="K754" s="30" t="s">
        <v>1767</v>
      </c>
      <c r="L754" s="4"/>
      <c r="M754" s="3"/>
    </row>
    <row r="755" spans="1:13" x14ac:dyDescent="0.3">
      <c r="A755" s="3">
        <v>103</v>
      </c>
      <c r="B755" s="3">
        <v>103</v>
      </c>
      <c r="C755" s="4">
        <v>1815.73</v>
      </c>
      <c r="D755" s="4">
        <v>1815.4680000000001</v>
      </c>
      <c r="E755" s="4">
        <v>1815.992</v>
      </c>
      <c r="F755" s="4"/>
      <c r="G755" s="4"/>
      <c r="H755" s="26" t="s">
        <v>2331</v>
      </c>
      <c r="I755" s="4"/>
      <c r="J755" s="6">
        <v>0</v>
      </c>
      <c r="K755" s="29" t="s">
        <v>1767</v>
      </c>
      <c r="L755" s="4"/>
      <c r="M755" s="3"/>
    </row>
    <row r="756" spans="1:13" x14ac:dyDescent="0.3">
      <c r="A756" s="3">
        <v>103</v>
      </c>
      <c r="B756" s="3">
        <v>103</v>
      </c>
      <c r="C756" s="4">
        <v>1816.28</v>
      </c>
      <c r="D756" s="4">
        <v>1815.992</v>
      </c>
      <c r="E756" s="4">
        <v>1816.567</v>
      </c>
      <c r="F756" s="4"/>
      <c r="G756" s="4"/>
      <c r="H756" s="25" t="s">
        <v>2332</v>
      </c>
      <c r="I756" s="4"/>
      <c r="J756" s="6">
        <v>0</v>
      </c>
      <c r="K756" s="30" t="s">
        <v>1767</v>
      </c>
      <c r="L756" s="4"/>
      <c r="M756" s="3"/>
    </row>
    <row r="757" spans="1:13" x14ac:dyDescent="0.3">
      <c r="A757" s="3">
        <v>103</v>
      </c>
      <c r="B757" s="3">
        <v>103</v>
      </c>
      <c r="C757" s="4">
        <v>1816.8779999999999</v>
      </c>
      <c r="D757" s="4">
        <v>1816.567</v>
      </c>
      <c r="E757" s="4">
        <v>1817.1890000000001</v>
      </c>
      <c r="F757" s="4"/>
      <c r="G757" s="4"/>
      <c r="H757" s="26" t="s">
        <v>2333</v>
      </c>
      <c r="I757" s="4"/>
      <c r="J757" s="6">
        <v>0</v>
      </c>
      <c r="K757" s="29" t="s">
        <v>1767</v>
      </c>
      <c r="L757" s="4"/>
      <c r="M757" s="3"/>
    </row>
    <row r="758" spans="1:13" x14ac:dyDescent="0.3">
      <c r="A758" s="3">
        <v>103</v>
      </c>
      <c r="B758" s="3">
        <v>103</v>
      </c>
      <c r="C758" s="4">
        <v>1817.3040000000001</v>
      </c>
      <c r="D758" s="4">
        <v>1817.1890000000001</v>
      </c>
      <c r="E758" s="4">
        <v>1817.4190000000001</v>
      </c>
      <c r="F758" s="4"/>
      <c r="G758" s="4"/>
      <c r="H758" s="25" t="s">
        <v>2334</v>
      </c>
      <c r="I758" s="4"/>
      <c r="J758" s="6">
        <v>0</v>
      </c>
      <c r="K758" s="30" t="s">
        <v>1767</v>
      </c>
      <c r="L758" s="4"/>
      <c r="M758" s="3"/>
    </row>
    <row r="759" spans="1:13" x14ac:dyDescent="0.3">
      <c r="A759" s="3">
        <v>103</v>
      </c>
      <c r="B759" s="3">
        <v>103</v>
      </c>
      <c r="C759" s="4">
        <v>1817.759</v>
      </c>
      <c r="D759" s="4">
        <v>1817.4190000000001</v>
      </c>
      <c r="E759" s="4">
        <v>1818.098</v>
      </c>
      <c r="F759" s="4"/>
      <c r="G759" s="4"/>
      <c r="H759" s="26" t="s">
        <v>2335</v>
      </c>
      <c r="I759" s="4"/>
      <c r="J759" s="6">
        <v>0</v>
      </c>
      <c r="K759" s="29" t="s">
        <v>1767</v>
      </c>
      <c r="L759" s="4"/>
      <c r="M759" s="3"/>
    </row>
    <row r="760" spans="1:13" x14ac:dyDescent="0.3">
      <c r="A760" s="3">
        <v>103</v>
      </c>
      <c r="B760" s="3">
        <v>103</v>
      </c>
      <c r="C760" s="4">
        <v>1818.2090000000001</v>
      </c>
      <c r="D760" s="4">
        <v>1818.098</v>
      </c>
      <c r="E760" s="4">
        <v>1818.319</v>
      </c>
      <c r="F760" s="4"/>
      <c r="G760" s="4"/>
      <c r="H760" s="25" t="s">
        <v>2336</v>
      </c>
      <c r="I760" s="4"/>
      <c r="J760" s="6">
        <v>0</v>
      </c>
      <c r="K760" s="30" t="s">
        <v>1767</v>
      </c>
      <c r="L760" s="4"/>
      <c r="M760" s="3"/>
    </row>
    <row r="761" spans="1:13" x14ac:dyDescent="0.3">
      <c r="A761" s="3">
        <v>103</v>
      </c>
      <c r="B761" s="3">
        <v>103</v>
      </c>
      <c r="C761" s="4">
        <v>1818.7339999999999</v>
      </c>
      <c r="D761" s="4">
        <v>1818.319</v>
      </c>
      <c r="E761" s="4">
        <v>1819.1489999999999</v>
      </c>
      <c r="F761" s="4"/>
      <c r="G761" s="4"/>
      <c r="H761" s="26" t="s">
        <v>2337</v>
      </c>
      <c r="I761" s="4"/>
      <c r="J761" s="6">
        <v>0</v>
      </c>
      <c r="K761" s="29" t="s">
        <v>1767</v>
      </c>
      <c r="L761" s="4"/>
      <c r="M761" s="3"/>
    </row>
    <row r="762" spans="1:13" x14ac:dyDescent="0.3">
      <c r="A762" s="3">
        <v>103</v>
      </c>
      <c r="B762" s="3">
        <v>103</v>
      </c>
      <c r="C762" s="4">
        <v>1819.2339999999999</v>
      </c>
      <c r="D762" s="4">
        <v>1819.1489999999999</v>
      </c>
      <c r="E762" s="4">
        <v>1819.318</v>
      </c>
      <c r="F762" s="4"/>
      <c r="G762" s="4"/>
      <c r="H762" s="25" t="s">
        <v>2338</v>
      </c>
      <c r="I762" s="4"/>
      <c r="J762" s="6">
        <v>0</v>
      </c>
      <c r="K762" s="30" t="s">
        <v>1767</v>
      </c>
      <c r="L762" s="4"/>
      <c r="M762" s="3"/>
    </row>
    <row r="763" spans="1:13" x14ac:dyDescent="0.3">
      <c r="A763" s="3">
        <v>103</v>
      </c>
      <c r="B763" s="3">
        <v>103</v>
      </c>
      <c r="C763" s="4">
        <v>1819.519</v>
      </c>
      <c r="D763" s="4">
        <v>1819.318</v>
      </c>
      <c r="E763" s="4">
        <v>1819.7190000000001</v>
      </c>
      <c r="F763" s="4"/>
      <c r="G763" s="4"/>
      <c r="H763" s="26" t="s">
        <v>2339</v>
      </c>
      <c r="I763" s="4"/>
      <c r="J763" s="6">
        <v>0</v>
      </c>
      <c r="K763" s="29" t="s">
        <v>1767</v>
      </c>
      <c r="L763" s="4"/>
      <c r="M763" s="3"/>
    </row>
    <row r="764" spans="1:13" x14ac:dyDescent="0.3">
      <c r="A764" s="3">
        <v>103</v>
      </c>
      <c r="B764" s="3">
        <v>103</v>
      </c>
      <c r="C764" s="4">
        <v>1819.748</v>
      </c>
      <c r="D764" s="4">
        <v>1819.7190000000001</v>
      </c>
      <c r="E764" s="4">
        <v>1819.777</v>
      </c>
      <c r="F764" s="4"/>
      <c r="G764" s="4"/>
      <c r="H764" s="25" t="s">
        <v>2340</v>
      </c>
      <c r="I764" s="4"/>
      <c r="J764" s="6">
        <v>0</v>
      </c>
      <c r="K764" s="30" t="s">
        <v>1767</v>
      </c>
      <c r="L764" s="4"/>
      <c r="M764" s="3"/>
    </row>
    <row r="765" spans="1:13" x14ac:dyDescent="0.3">
      <c r="A765" s="3">
        <v>103</v>
      </c>
      <c r="B765" s="3">
        <v>103</v>
      </c>
      <c r="C765" s="4">
        <v>1820.09</v>
      </c>
      <c r="D765" s="4">
        <v>1819.777</v>
      </c>
      <c r="E765" s="4">
        <v>1820.403</v>
      </c>
      <c r="F765" s="4"/>
      <c r="G765" s="4"/>
      <c r="H765" s="26" t="s">
        <v>2341</v>
      </c>
      <c r="I765" s="4"/>
      <c r="J765" s="6">
        <v>0</v>
      </c>
      <c r="K765" s="29" t="s">
        <v>1767</v>
      </c>
      <c r="L765" s="4"/>
      <c r="M765" s="3"/>
    </row>
    <row r="766" spans="1:13" x14ac:dyDescent="0.3">
      <c r="A766" s="3">
        <v>103</v>
      </c>
      <c r="B766" s="3">
        <v>103</v>
      </c>
      <c r="C766" s="4">
        <v>1820.51</v>
      </c>
      <c r="D766" s="4">
        <v>1820.403</v>
      </c>
      <c r="E766" s="4">
        <v>1820.617</v>
      </c>
      <c r="F766" s="4"/>
      <c r="G766" s="4"/>
      <c r="H766" s="25" t="s">
        <v>2342</v>
      </c>
      <c r="I766" s="4"/>
      <c r="J766" s="6">
        <v>0</v>
      </c>
      <c r="K766" s="30" t="s">
        <v>1767</v>
      </c>
      <c r="L766" s="4"/>
      <c r="M766" s="3"/>
    </row>
    <row r="767" spans="1:13" x14ac:dyDescent="0.3">
      <c r="A767" s="3">
        <v>103</v>
      </c>
      <c r="B767" s="3">
        <v>103</v>
      </c>
      <c r="C767" s="4">
        <v>1821.068</v>
      </c>
      <c r="D767" s="4">
        <v>1820.617</v>
      </c>
      <c r="E767" s="4">
        <v>1821.518</v>
      </c>
      <c r="F767" s="4"/>
      <c r="G767" s="4"/>
      <c r="H767" s="26" t="s">
        <v>2343</v>
      </c>
      <c r="I767" s="4"/>
      <c r="J767" s="6">
        <v>0</v>
      </c>
      <c r="K767" s="29" t="s">
        <v>1767</v>
      </c>
      <c r="L767" s="4"/>
      <c r="M767" s="3"/>
    </row>
    <row r="768" spans="1:13" x14ac:dyDescent="0.3">
      <c r="A768" s="3">
        <v>103</v>
      </c>
      <c r="B768" s="3">
        <v>103</v>
      </c>
      <c r="C768" s="4">
        <v>1821.5519999999999</v>
      </c>
      <c r="D768" s="4">
        <v>1821.518</v>
      </c>
      <c r="E768" s="4">
        <v>1821.586</v>
      </c>
      <c r="F768" s="4"/>
      <c r="G768" s="4"/>
      <c r="H768" s="25" t="s">
        <v>2344</v>
      </c>
      <c r="I768" s="4"/>
      <c r="J768" s="6">
        <v>0</v>
      </c>
      <c r="K768" s="30" t="s">
        <v>1767</v>
      </c>
      <c r="L768" s="4"/>
      <c r="M768" s="3"/>
    </row>
    <row r="769" spans="1:13" x14ac:dyDescent="0.3">
      <c r="A769" s="3">
        <v>103</v>
      </c>
      <c r="B769" s="3">
        <v>103</v>
      </c>
      <c r="C769" s="4">
        <v>1821.7149999999999</v>
      </c>
      <c r="D769" s="4">
        <v>1821.586</v>
      </c>
      <c r="E769" s="4">
        <v>1821.8430000000001</v>
      </c>
      <c r="F769" s="4"/>
      <c r="G769" s="4"/>
      <c r="H769" s="26" t="s">
        <v>2345</v>
      </c>
      <c r="I769" s="4"/>
      <c r="J769" s="6">
        <v>0</v>
      </c>
      <c r="K769" s="29" t="s">
        <v>1767</v>
      </c>
      <c r="L769" s="4"/>
      <c r="M769" s="3"/>
    </row>
    <row r="770" spans="1:13" x14ac:dyDescent="0.3">
      <c r="A770" s="3">
        <v>103</v>
      </c>
      <c r="B770" s="3">
        <v>103</v>
      </c>
      <c r="C770" s="4">
        <v>1822.4110000000001</v>
      </c>
      <c r="D770" s="4">
        <v>1821.8430000000001</v>
      </c>
      <c r="E770" s="4">
        <v>1822.979</v>
      </c>
      <c r="F770" s="4"/>
      <c r="G770" s="4"/>
      <c r="H770" s="25" t="s">
        <v>2346</v>
      </c>
      <c r="I770" s="4"/>
      <c r="J770" s="6">
        <v>0</v>
      </c>
      <c r="K770" s="30" t="s">
        <v>1767</v>
      </c>
      <c r="L770" s="4"/>
      <c r="M770" s="3"/>
    </row>
    <row r="771" spans="1:13" x14ac:dyDescent="0.3">
      <c r="A771" s="3">
        <v>103</v>
      </c>
      <c r="B771" s="3">
        <v>103</v>
      </c>
      <c r="C771" s="4">
        <v>1823.2249999999999</v>
      </c>
      <c r="D771" s="4">
        <v>1822.979</v>
      </c>
      <c r="E771" s="4">
        <v>1823.47</v>
      </c>
      <c r="F771" s="4"/>
      <c r="G771" s="4"/>
      <c r="H771" s="26" t="s">
        <v>2347</v>
      </c>
      <c r="I771" s="4"/>
      <c r="J771" s="6">
        <v>0</v>
      </c>
      <c r="K771" s="29" t="s">
        <v>1767</v>
      </c>
      <c r="L771" s="4"/>
      <c r="M771" s="3"/>
    </row>
    <row r="772" spans="1:13" x14ac:dyDescent="0.3">
      <c r="A772" s="3">
        <v>103</v>
      </c>
      <c r="B772" s="3">
        <v>103</v>
      </c>
      <c r="C772" s="4">
        <v>1823.5229999999999</v>
      </c>
      <c r="D772" s="4">
        <v>1823.47</v>
      </c>
      <c r="E772" s="4">
        <v>1823.575</v>
      </c>
      <c r="F772" s="4"/>
      <c r="G772" s="4"/>
      <c r="H772" s="25" t="s">
        <v>2348</v>
      </c>
      <c r="I772" s="4"/>
      <c r="J772" s="6">
        <v>0</v>
      </c>
      <c r="K772" s="30" t="s">
        <v>1767</v>
      </c>
      <c r="L772" s="4"/>
      <c r="M772" s="3"/>
    </row>
    <row r="773" spans="1:13" x14ac:dyDescent="0.3">
      <c r="A773" s="3">
        <v>103</v>
      </c>
      <c r="B773" s="3">
        <v>103</v>
      </c>
      <c r="C773" s="4">
        <v>1823.848</v>
      </c>
      <c r="D773" s="4">
        <v>1823.575</v>
      </c>
      <c r="E773" s="4">
        <v>1824.12</v>
      </c>
      <c r="F773" s="4"/>
      <c r="G773" s="4"/>
      <c r="H773" s="26" t="s">
        <v>2349</v>
      </c>
      <c r="I773" s="4"/>
      <c r="J773" s="6">
        <v>0</v>
      </c>
      <c r="K773" s="29" t="s">
        <v>1767</v>
      </c>
      <c r="L773" s="4"/>
      <c r="M773" s="3"/>
    </row>
    <row r="774" spans="1:13" x14ac:dyDescent="0.3">
      <c r="A774" s="3">
        <v>103</v>
      </c>
      <c r="B774" s="3">
        <v>103</v>
      </c>
      <c r="C774" s="4">
        <v>1824.2180000000001</v>
      </c>
      <c r="D774" s="4">
        <v>1824.12</v>
      </c>
      <c r="E774" s="4">
        <v>1824.316</v>
      </c>
      <c r="F774" s="4"/>
      <c r="G774" s="4"/>
      <c r="H774" s="25" t="s">
        <v>2350</v>
      </c>
      <c r="I774" s="4"/>
      <c r="J774" s="6">
        <v>0</v>
      </c>
      <c r="K774" s="30" t="s">
        <v>1767</v>
      </c>
      <c r="L774" s="4"/>
      <c r="M774" s="3"/>
    </row>
    <row r="775" spans="1:13" x14ac:dyDescent="0.3">
      <c r="A775" s="3">
        <v>103</v>
      </c>
      <c r="B775" s="3">
        <v>103</v>
      </c>
      <c r="C775" s="4">
        <v>1824.5740000000001</v>
      </c>
      <c r="D775" s="4">
        <v>1824.316</v>
      </c>
      <c r="E775" s="4">
        <v>1824.8320000000001</v>
      </c>
      <c r="F775" s="4"/>
      <c r="G775" s="4"/>
      <c r="H775" s="26" t="s">
        <v>2351</v>
      </c>
      <c r="I775" s="4"/>
      <c r="J775" s="6">
        <v>0</v>
      </c>
      <c r="K775" s="29" t="s">
        <v>1767</v>
      </c>
      <c r="L775" s="4"/>
      <c r="M775" s="3"/>
    </row>
    <row r="776" spans="1:13" x14ac:dyDescent="0.3">
      <c r="A776" s="3">
        <v>103</v>
      </c>
      <c r="B776" s="3">
        <v>103</v>
      </c>
      <c r="C776" s="4">
        <v>1824.94</v>
      </c>
      <c r="D776" s="4">
        <v>1824.8320000000001</v>
      </c>
      <c r="E776" s="4">
        <v>1825.047</v>
      </c>
      <c r="F776" s="4"/>
      <c r="G776" s="4"/>
      <c r="H776" s="25" t="s">
        <v>2352</v>
      </c>
      <c r="I776" s="4"/>
      <c r="J776" s="6">
        <v>0</v>
      </c>
      <c r="K776" s="30" t="s">
        <v>1767</v>
      </c>
      <c r="L776" s="4"/>
      <c r="M776" s="3"/>
    </row>
    <row r="777" spans="1:13" x14ac:dyDescent="0.3">
      <c r="A777" s="3">
        <v>103</v>
      </c>
      <c r="B777" s="3">
        <v>103</v>
      </c>
      <c r="C777" s="4">
        <v>1825.2829999999999</v>
      </c>
      <c r="D777" s="4">
        <v>1825.047</v>
      </c>
      <c r="E777" s="4">
        <v>1825.519</v>
      </c>
      <c r="F777" s="4"/>
      <c r="G777" s="4"/>
      <c r="H777" s="26" t="s">
        <v>2353</v>
      </c>
      <c r="I777" s="4"/>
      <c r="J777" s="6">
        <v>0</v>
      </c>
      <c r="K777" s="29" t="s">
        <v>1767</v>
      </c>
      <c r="L777" s="4"/>
      <c r="M777" s="3"/>
    </row>
    <row r="778" spans="1:13" x14ac:dyDescent="0.3">
      <c r="A778" s="3">
        <v>103</v>
      </c>
      <c r="B778" s="3">
        <v>103</v>
      </c>
      <c r="C778" s="4">
        <v>1825.566</v>
      </c>
      <c r="D778" s="4">
        <v>1825.519</v>
      </c>
      <c r="E778" s="4">
        <v>1825.6130000000001</v>
      </c>
      <c r="F778" s="4"/>
      <c r="G778" s="4"/>
      <c r="H778" s="25" t="s">
        <v>2354</v>
      </c>
      <c r="I778" s="4"/>
      <c r="J778" s="6">
        <v>0</v>
      </c>
      <c r="K778" s="30" t="s">
        <v>1767</v>
      </c>
      <c r="L778" s="4"/>
      <c r="M778" s="3"/>
    </row>
    <row r="779" spans="1:13" x14ac:dyDescent="0.3">
      <c r="A779" s="3">
        <v>103</v>
      </c>
      <c r="B779" s="3">
        <v>103</v>
      </c>
      <c r="C779" s="4">
        <v>1825.932</v>
      </c>
      <c r="D779" s="4">
        <v>1825.6130000000001</v>
      </c>
      <c r="E779" s="4">
        <v>1826.25</v>
      </c>
      <c r="F779" s="4"/>
      <c r="G779" s="4"/>
      <c r="H779" s="26" t="s">
        <v>2355</v>
      </c>
      <c r="I779" s="4"/>
      <c r="J779" s="6">
        <v>0</v>
      </c>
      <c r="K779" s="29" t="s">
        <v>1767</v>
      </c>
      <c r="L779" s="4"/>
      <c r="M779" s="3"/>
    </row>
    <row r="780" spans="1:13" x14ac:dyDescent="0.3">
      <c r="A780" s="3">
        <v>103</v>
      </c>
      <c r="B780" s="3">
        <v>103</v>
      </c>
      <c r="C780" s="4">
        <v>1826.7650000000001</v>
      </c>
      <c r="D780" s="4">
        <v>1826.25</v>
      </c>
      <c r="E780" s="4">
        <v>1827.279</v>
      </c>
      <c r="F780" s="4"/>
      <c r="G780" s="4"/>
      <c r="H780" s="25" t="s">
        <v>2356</v>
      </c>
      <c r="I780" s="4"/>
      <c r="J780" s="6">
        <v>0</v>
      </c>
      <c r="K780" s="30" t="s">
        <v>1767</v>
      </c>
      <c r="L780" s="4"/>
      <c r="M780" s="3"/>
    </row>
    <row r="781" spans="1:13" x14ac:dyDescent="0.3">
      <c r="A781" s="3">
        <v>103</v>
      </c>
      <c r="B781" s="3">
        <v>103</v>
      </c>
      <c r="C781" s="4">
        <v>1827.5540000000001</v>
      </c>
      <c r="D781" s="4">
        <v>1827.279</v>
      </c>
      <c r="E781" s="4">
        <v>1827.829</v>
      </c>
      <c r="F781" s="4"/>
      <c r="G781" s="4"/>
      <c r="H781" s="26" t="s">
        <v>2357</v>
      </c>
      <c r="I781" s="4"/>
      <c r="J781" s="6">
        <v>0</v>
      </c>
      <c r="K781" s="29" t="s">
        <v>1767</v>
      </c>
      <c r="L781" s="4"/>
      <c r="M781" s="3"/>
    </row>
    <row r="782" spans="1:13" x14ac:dyDescent="0.3">
      <c r="A782" s="3">
        <v>103</v>
      </c>
      <c r="B782" s="3">
        <v>103</v>
      </c>
      <c r="C782" s="4">
        <v>1828.008</v>
      </c>
      <c r="D782" s="4">
        <v>1827.829</v>
      </c>
      <c r="E782" s="4">
        <v>1828.1859999999999</v>
      </c>
      <c r="F782" s="4"/>
      <c r="G782" s="4"/>
      <c r="H782" s="25" t="s">
        <v>2358</v>
      </c>
      <c r="I782" s="4"/>
      <c r="J782" s="6">
        <v>0</v>
      </c>
      <c r="K782" s="30" t="s">
        <v>1767</v>
      </c>
      <c r="L782" s="4"/>
      <c r="M782" s="3"/>
    </row>
    <row r="783" spans="1:13" x14ac:dyDescent="0.3">
      <c r="A783" s="3">
        <v>103</v>
      </c>
      <c r="B783" s="3">
        <v>103</v>
      </c>
      <c r="C783" s="4">
        <v>1828.519</v>
      </c>
      <c r="D783" s="4">
        <v>1828.1859999999999</v>
      </c>
      <c r="E783" s="4">
        <v>1828.8510000000001</v>
      </c>
      <c r="F783" s="4"/>
      <c r="G783" s="4"/>
      <c r="H783" s="26" t="s">
        <v>2359</v>
      </c>
      <c r="I783" s="4"/>
      <c r="J783" s="6">
        <v>0</v>
      </c>
      <c r="K783" s="29" t="s">
        <v>1767</v>
      </c>
      <c r="L783" s="4"/>
      <c r="M783" s="3"/>
    </row>
    <row r="784" spans="1:13" x14ac:dyDescent="0.3">
      <c r="A784" s="3">
        <v>103</v>
      </c>
      <c r="B784" s="3">
        <v>103</v>
      </c>
      <c r="C784" s="4">
        <v>1828.941</v>
      </c>
      <c r="D784" s="4">
        <v>1828.8510000000001</v>
      </c>
      <c r="E784" s="4">
        <v>1829.03</v>
      </c>
      <c r="F784" s="4"/>
      <c r="G784" s="4"/>
      <c r="H784" s="25" t="s">
        <v>2360</v>
      </c>
      <c r="I784" s="4"/>
      <c r="J784" s="6">
        <v>0</v>
      </c>
      <c r="K784" s="30" t="s">
        <v>1767</v>
      </c>
      <c r="L784" s="4"/>
      <c r="M784" s="3"/>
    </row>
    <row r="785" spans="1:13" x14ac:dyDescent="0.3">
      <c r="A785" s="3">
        <v>103</v>
      </c>
      <c r="B785" s="3">
        <v>103</v>
      </c>
      <c r="C785" s="4">
        <v>1829.2</v>
      </c>
      <c r="D785" s="4">
        <v>1829.03</v>
      </c>
      <c r="E785" s="4">
        <v>1829.3689999999999</v>
      </c>
      <c r="F785" s="4"/>
      <c r="G785" s="4"/>
      <c r="H785" s="26" t="s">
        <v>2361</v>
      </c>
      <c r="I785" s="4"/>
      <c r="J785" s="6">
        <v>0</v>
      </c>
      <c r="K785" s="29" t="s">
        <v>1767</v>
      </c>
      <c r="L785" s="4"/>
      <c r="M785" s="3"/>
    </row>
    <row r="786" spans="1:13" x14ac:dyDescent="0.3">
      <c r="A786" s="3">
        <v>103</v>
      </c>
      <c r="B786" s="3">
        <v>103</v>
      </c>
      <c r="C786" s="4">
        <v>1829.45</v>
      </c>
      <c r="D786" s="4">
        <v>1829.3689999999999</v>
      </c>
      <c r="E786" s="4">
        <v>1829.5309999999999</v>
      </c>
      <c r="F786" s="4"/>
      <c r="G786" s="4"/>
      <c r="H786" s="25" t="s">
        <v>2362</v>
      </c>
      <c r="I786" s="4"/>
      <c r="J786" s="6">
        <v>0</v>
      </c>
      <c r="K786" s="30" t="s">
        <v>1767</v>
      </c>
      <c r="L786" s="4"/>
      <c r="M786" s="3"/>
    </row>
    <row r="787" spans="1:13" x14ac:dyDescent="0.3">
      <c r="A787" s="3">
        <v>103</v>
      </c>
      <c r="B787" s="3">
        <v>103</v>
      </c>
      <c r="C787" s="4">
        <v>1830.15</v>
      </c>
      <c r="D787" s="4">
        <v>1829.5309999999999</v>
      </c>
      <c r="E787" s="4">
        <v>1830.769</v>
      </c>
      <c r="F787" s="4"/>
      <c r="G787" s="4"/>
      <c r="H787" s="26" t="s">
        <v>2363</v>
      </c>
      <c r="I787" s="4"/>
      <c r="J787" s="6">
        <v>0</v>
      </c>
      <c r="K787" s="29" t="s">
        <v>1767</v>
      </c>
      <c r="L787" s="4"/>
      <c r="M787" s="3"/>
    </row>
    <row r="788" spans="1:13" x14ac:dyDescent="0.3">
      <c r="A788" s="3">
        <v>103</v>
      </c>
      <c r="B788" s="3">
        <v>103</v>
      </c>
      <c r="C788" s="4">
        <v>1830.8</v>
      </c>
      <c r="D788" s="4">
        <v>1830.769</v>
      </c>
      <c r="E788" s="4">
        <v>1830.83</v>
      </c>
      <c r="F788" s="4"/>
      <c r="G788" s="4"/>
      <c r="H788" s="25" t="s">
        <v>2364</v>
      </c>
      <c r="I788" s="4"/>
      <c r="J788" s="6">
        <v>0</v>
      </c>
      <c r="K788" s="30" t="s">
        <v>1767</v>
      </c>
      <c r="L788" s="4"/>
      <c r="M788" s="3"/>
    </row>
    <row r="789" spans="1:13" x14ac:dyDescent="0.3">
      <c r="A789" s="3">
        <v>103</v>
      </c>
      <c r="B789" s="3">
        <v>103</v>
      </c>
      <c r="C789" s="4">
        <v>1831.2429999999999</v>
      </c>
      <c r="D789" s="4">
        <v>1830.83</v>
      </c>
      <c r="E789" s="4">
        <v>1831.6559999999999</v>
      </c>
      <c r="F789" s="4"/>
      <c r="G789" s="4"/>
      <c r="H789" s="26" t="s">
        <v>2365</v>
      </c>
      <c r="I789" s="4"/>
      <c r="J789" s="6">
        <v>0</v>
      </c>
      <c r="K789" s="29" t="s">
        <v>1767</v>
      </c>
      <c r="L789" s="4"/>
      <c r="M789" s="3"/>
    </row>
    <row r="790" spans="1:13" x14ac:dyDescent="0.3">
      <c r="A790" s="3">
        <v>103</v>
      </c>
      <c r="B790" s="3">
        <v>103</v>
      </c>
      <c r="C790" s="4">
        <v>1832.127</v>
      </c>
      <c r="D790" s="4">
        <v>1831.6559999999999</v>
      </c>
      <c r="E790" s="4">
        <v>1832.598</v>
      </c>
      <c r="F790" s="4"/>
      <c r="G790" s="4"/>
      <c r="H790" s="25" t="s">
        <v>2366</v>
      </c>
      <c r="I790" s="4"/>
      <c r="J790" s="6">
        <v>0</v>
      </c>
      <c r="K790" s="30" t="s">
        <v>1767</v>
      </c>
      <c r="L790" s="4"/>
      <c r="M790" s="3"/>
    </row>
    <row r="791" spans="1:13" x14ac:dyDescent="0.3">
      <c r="A791" s="3">
        <v>103</v>
      </c>
      <c r="B791" s="3">
        <v>103</v>
      </c>
      <c r="C791" s="4">
        <v>1832.9449999999999</v>
      </c>
      <c r="D791" s="4">
        <v>1832.598</v>
      </c>
      <c r="E791" s="4">
        <v>1833.2919999999999</v>
      </c>
      <c r="F791" s="4"/>
      <c r="G791" s="4"/>
      <c r="H791" s="26" t="s">
        <v>2367</v>
      </c>
      <c r="I791" s="4"/>
      <c r="J791" s="6">
        <v>0</v>
      </c>
      <c r="K791" s="29" t="s">
        <v>1767</v>
      </c>
      <c r="L791" s="4"/>
      <c r="M791" s="3"/>
    </row>
    <row r="792" spans="1:13" x14ac:dyDescent="0.3">
      <c r="A792" s="3">
        <v>103</v>
      </c>
      <c r="B792" s="3">
        <v>103</v>
      </c>
      <c r="C792" s="4">
        <v>1833.377</v>
      </c>
      <c r="D792" s="4">
        <v>1833.2919999999999</v>
      </c>
      <c r="E792" s="4">
        <v>1833.462</v>
      </c>
      <c r="F792" s="4"/>
      <c r="G792" s="4"/>
      <c r="H792" s="25" t="s">
        <v>2368</v>
      </c>
      <c r="I792" s="4"/>
      <c r="J792" s="6">
        <v>0</v>
      </c>
      <c r="K792" s="30" t="s">
        <v>1767</v>
      </c>
      <c r="L792" s="4"/>
      <c r="M792" s="3"/>
    </row>
    <row r="793" spans="1:13" x14ac:dyDescent="0.3">
      <c r="A793" s="3">
        <v>103</v>
      </c>
      <c r="B793" s="3">
        <v>103</v>
      </c>
      <c r="C793" s="4">
        <v>1833.8130000000001</v>
      </c>
      <c r="D793" s="4">
        <v>1833.462</v>
      </c>
      <c r="E793" s="4">
        <v>1834.164</v>
      </c>
      <c r="F793" s="4"/>
      <c r="G793" s="4"/>
      <c r="H793" s="26" t="s">
        <v>2369</v>
      </c>
      <c r="I793" s="4"/>
      <c r="J793" s="6">
        <v>0</v>
      </c>
      <c r="K793" s="29" t="s">
        <v>1767</v>
      </c>
      <c r="L793" s="4"/>
      <c r="M793" s="3"/>
    </row>
    <row r="794" spans="1:13" x14ac:dyDescent="0.3">
      <c r="A794" s="3">
        <v>103</v>
      </c>
      <c r="B794" s="3">
        <v>103</v>
      </c>
      <c r="C794" s="4">
        <v>1834.453</v>
      </c>
      <c r="D794" s="4">
        <v>1834.164</v>
      </c>
      <c r="E794" s="4">
        <v>1834.741</v>
      </c>
      <c r="F794" s="4"/>
      <c r="G794" s="4"/>
      <c r="H794" s="25" t="s">
        <v>2370</v>
      </c>
      <c r="I794" s="4"/>
      <c r="J794" s="6">
        <v>0</v>
      </c>
      <c r="K794" s="30" t="s">
        <v>1767</v>
      </c>
      <c r="L794" s="4"/>
      <c r="M794" s="3"/>
    </row>
    <row r="795" spans="1:13" x14ac:dyDescent="0.3">
      <c r="A795" s="3">
        <v>103</v>
      </c>
      <c r="B795" s="3">
        <v>103</v>
      </c>
      <c r="C795" s="4">
        <v>1835.1089999999999</v>
      </c>
      <c r="D795" s="4">
        <v>1834.741</v>
      </c>
      <c r="E795" s="4">
        <v>1835.4770000000001</v>
      </c>
      <c r="F795" s="4"/>
      <c r="G795" s="4"/>
      <c r="H795" s="26" t="s">
        <v>2371</v>
      </c>
      <c r="I795" s="4"/>
      <c r="J795" s="6">
        <v>0</v>
      </c>
      <c r="K795" s="29" t="s">
        <v>1767</v>
      </c>
      <c r="L795" s="4"/>
      <c r="M795" s="3"/>
    </row>
    <row r="796" spans="1:13" x14ac:dyDescent="0.3">
      <c r="A796" s="3">
        <v>103</v>
      </c>
      <c r="B796" s="3">
        <v>103</v>
      </c>
      <c r="C796" s="4">
        <v>1835.521</v>
      </c>
      <c r="D796" s="4">
        <v>1835.4770000000001</v>
      </c>
      <c r="E796" s="4">
        <v>1835.5650000000001</v>
      </c>
      <c r="F796" s="4"/>
      <c r="G796" s="4"/>
      <c r="H796" s="25" t="s">
        <v>2372</v>
      </c>
      <c r="I796" s="4"/>
      <c r="J796" s="6">
        <v>0</v>
      </c>
      <c r="K796" s="30" t="s">
        <v>1767</v>
      </c>
      <c r="L796" s="4"/>
      <c r="M796" s="3"/>
    </row>
    <row r="797" spans="1:13" x14ac:dyDescent="0.3">
      <c r="A797" s="3">
        <v>103</v>
      </c>
      <c r="B797" s="3">
        <v>103</v>
      </c>
      <c r="C797" s="4">
        <v>1835.88</v>
      </c>
      <c r="D797" s="4">
        <v>1835.5650000000001</v>
      </c>
      <c r="E797" s="4">
        <v>1836.1949999999999</v>
      </c>
      <c r="F797" s="4"/>
      <c r="G797" s="4"/>
      <c r="H797" s="26" t="s">
        <v>2373</v>
      </c>
      <c r="I797" s="4"/>
      <c r="J797" s="6">
        <v>0</v>
      </c>
      <c r="K797" s="29" t="s">
        <v>1767</v>
      </c>
      <c r="L797" s="4"/>
      <c r="M797" s="3"/>
    </row>
    <row r="798" spans="1:13" x14ac:dyDescent="0.3">
      <c r="A798" s="3">
        <v>103</v>
      </c>
      <c r="B798" s="3">
        <v>103</v>
      </c>
      <c r="C798" s="4">
        <v>1836.5820000000001</v>
      </c>
      <c r="D798" s="4">
        <v>1836.1949999999999</v>
      </c>
      <c r="E798" s="4">
        <v>1836.9690000000001</v>
      </c>
      <c r="F798" s="4"/>
      <c r="G798" s="4"/>
      <c r="H798" s="25" t="s">
        <v>2374</v>
      </c>
      <c r="I798" s="4"/>
      <c r="J798" s="6">
        <v>0</v>
      </c>
      <c r="K798" s="30" t="s">
        <v>1767</v>
      </c>
      <c r="L798" s="4"/>
      <c r="M798" s="3"/>
    </row>
    <row r="799" spans="1:13" x14ac:dyDescent="0.3">
      <c r="A799" s="3">
        <v>103</v>
      </c>
      <c r="B799" s="3">
        <v>103</v>
      </c>
      <c r="C799" s="4">
        <v>1837.19</v>
      </c>
      <c r="D799" s="4">
        <v>1836.9690000000001</v>
      </c>
      <c r="E799" s="4">
        <v>1837.4110000000001</v>
      </c>
      <c r="F799" s="4"/>
      <c r="G799" s="4"/>
      <c r="H799" s="26" t="s">
        <v>2375</v>
      </c>
      <c r="I799" s="4"/>
      <c r="J799" s="6">
        <v>0</v>
      </c>
      <c r="K799" s="29" t="s">
        <v>1767</v>
      </c>
      <c r="L799" s="4"/>
      <c r="M799" s="3"/>
    </row>
    <row r="800" spans="1:13" x14ac:dyDescent="0.3">
      <c r="A800" s="3">
        <v>103</v>
      </c>
      <c r="B800" s="3">
        <v>103</v>
      </c>
      <c r="C800" s="4">
        <v>1837.4870000000001</v>
      </c>
      <c r="D800" s="4">
        <v>1837.4110000000001</v>
      </c>
      <c r="E800" s="4">
        <v>1837.5630000000001</v>
      </c>
      <c r="F800" s="4"/>
      <c r="G800" s="4"/>
      <c r="H800" s="25" t="s">
        <v>2376</v>
      </c>
      <c r="I800" s="4"/>
      <c r="J800" s="6">
        <v>0</v>
      </c>
      <c r="K800" s="30" t="s">
        <v>1767</v>
      </c>
      <c r="L800" s="4"/>
      <c r="M800" s="3"/>
    </row>
    <row r="801" spans="1:13" x14ac:dyDescent="0.3">
      <c r="A801" s="3">
        <v>103</v>
      </c>
      <c r="B801" s="3">
        <v>103</v>
      </c>
      <c r="C801" s="4">
        <v>1837.81</v>
      </c>
      <c r="D801" s="4">
        <v>1837.5630000000001</v>
      </c>
      <c r="E801" s="4">
        <v>1838.056</v>
      </c>
      <c r="F801" s="4"/>
      <c r="G801" s="4"/>
      <c r="H801" s="26" t="s">
        <v>2377</v>
      </c>
      <c r="I801" s="4"/>
      <c r="J801" s="6">
        <v>0</v>
      </c>
      <c r="K801" s="29" t="s">
        <v>1767</v>
      </c>
      <c r="L801" s="4"/>
      <c r="M801" s="3"/>
    </row>
    <row r="802" spans="1:13" x14ac:dyDescent="0.3">
      <c r="A802" s="3">
        <v>103</v>
      </c>
      <c r="B802" s="3">
        <v>103</v>
      </c>
      <c r="C802" s="4">
        <v>1838.222</v>
      </c>
      <c r="D802" s="4">
        <v>1838.056</v>
      </c>
      <c r="E802" s="4">
        <v>1838.3869999999999</v>
      </c>
      <c r="F802" s="4"/>
      <c r="G802" s="4"/>
      <c r="H802" s="25" t="s">
        <v>2378</v>
      </c>
      <c r="I802" s="4"/>
      <c r="J802" s="6">
        <v>0</v>
      </c>
      <c r="K802" s="30" t="s">
        <v>1767</v>
      </c>
      <c r="L802" s="4"/>
      <c r="M802" s="3"/>
    </row>
    <row r="803" spans="1:13" x14ac:dyDescent="0.3">
      <c r="A803" s="3">
        <v>103</v>
      </c>
      <c r="B803" s="3">
        <v>103</v>
      </c>
      <c r="C803" s="4">
        <v>1838.682</v>
      </c>
      <c r="D803" s="4">
        <v>1838.3869999999999</v>
      </c>
      <c r="E803" s="4">
        <v>1838.9770000000001</v>
      </c>
      <c r="F803" s="4"/>
      <c r="G803" s="4"/>
      <c r="H803" s="26" t="s">
        <v>2379</v>
      </c>
      <c r="I803" s="4"/>
      <c r="J803" s="6">
        <v>0</v>
      </c>
      <c r="K803" s="29" t="s">
        <v>1767</v>
      </c>
      <c r="L803" s="4"/>
      <c r="M803" s="3"/>
    </row>
    <row r="804" spans="1:13" x14ac:dyDescent="0.3">
      <c r="A804" s="3">
        <v>103</v>
      </c>
      <c r="B804" s="3">
        <v>103</v>
      </c>
      <c r="C804" s="4">
        <v>1839.0419999999999</v>
      </c>
      <c r="D804" s="4">
        <v>1838.9770000000001</v>
      </c>
      <c r="E804" s="4">
        <v>1839.106</v>
      </c>
      <c r="F804" s="4"/>
      <c r="G804" s="4"/>
      <c r="H804" s="25" t="s">
        <v>2380</v>
      </c>
      <c r="I804" s="4"/>
      <c r="J804" s="6">
        <v>0</v>
      </c>
      <c r="K804" s="30" t="s">
        <v>1767</v>
      </c>
      <c r="L804" s="4"/>
      <c r="M804" s="3"/>
    </row>
    <row r="805" spans="1:13" x14ac:dyDescent="0.3">
      <c r="A805" s="3">
        <v>103</v>
      </c>
      <c r="B805" s="3">
        <v>103</v>
      </c>
      <c r="C805" s="4">
        <v>1839.345</v>
      </c>
      <c r="D805" s="4">
        <v>1839.106</v>
      </c>
      <c r="E805" s="4">
        <v>1839.5830000000001</v>
      </c>
      <c r="F805" s="4"/>
      <c r="G805" s="4"/>
      <c r="H805" s="26" t="s">
        <v>2381</v>
      </c>
      <c r="I805" s="4"/>
      <c r="J805" s="6">
        <v>0</v>
      </c>
      <c r="K805" s="29" t="s">
        <v>1767</v>
      </c>
      <c r="L805" s="4"/>
      <c r="M805" s="3"/>
    </row>
    <row r="806" spans="1:13" x14ac:dyDescent="0.3">
      <c r="A806" s="3">
        <v>103</v>
      </c>
      <c r="B806" s="3">
        <v>103</v>
      </c>
      <c r="C806" s="4">
        <v>1839.615</v>
      </c>
      <c r="D806" s="4">
        <v>1839.5830000000001</v>
      </c>
      <c r="E806" s="4">
        <v>1839.6469999999999</v>
      </c>
      <c r="F806" s="4"/>
      <c r="G806" s="4"/>
      <c r="H806" s="25" t="s">
        <v>2382</v>
      </c>
      <c r="I806" s="4"/>
      <c r="J806" s="6">
        <v>0</v>
      </c>
      <c r="K806" s="30" t="s">
        <v>1767</v>
      </c>
      <c r="L806" s="4"/>
      <c r="M806" s="3"/>
    </row>
    <row r="807" spans="1:13" x14ac:dyDescent="0.3">
      <c r="A807" s="3">
        <v>103</v>
      </c>
      <c r="B807" s="3">
        <v>103</v>
      </c>
      <c r="C807" s="4">
        <v>1839.8779999999999</v>
      </c>
      <c r="D807" s="4">
        <v>1839.6469999999999</v>
      </c>
      <c r="E807" s="4">
        <v>1840.1089999999999</v>
      </c>
      <c r="F807" s="4"/>
      <c r="G807" s="4"/>
      <c r="H807" s="26" t="s">
        <v>2383</v>
      </c>
      <c r="I807" s="4"/>
      <c r="J807" s="6">
        <v>0</v>
      </c>
      <c r="K807" s="29" t="s">
        <v>1767</v>
      </c>
      <c r="L807" s="4"/>
      <c r="M807" s="3"/>
    </row>
    <row r="808" spans="1:13" x14ac:dyDescent="0.3">
      <c r="A808" s="3">
        <v>103</v>
      </c>
      <c r="B808" s="3">
        <v>103</v>
      </c>
      <c r="C808" s="4">
        <v>1840.1469999999999</v>
      </c>
      <c r="D808" s="4">
        <v>1840.1089999999999</v>
      </c>
      <c r="E808" s="4">
        <v>1840.184</v>
      </c>
      <c r="F808" s="4"/>
      <c r="G808" s="4"/>
      <c r="H808" s="25" t="s">
        <v>2384</v>
      </c>
      <c r="I808" s="4"/>
      <c r="J808" s="6">
        <v>0</v>
      </c>
      <c r="K808" s="30" t="s">
        <v>1767</v>
      </c>
      <c r="L808" s="4"/>
      <c r="M808" s="3"/>
    </row>
    <row r="809" spans="1:13" x14ac:dyDescent="0.3">
      <c r="A809" s="3">
        <v>103</v>
      </c>
      <c r="B809" s="3">
        <v>103</v>
      </c>
      <c r="C809" s="4">
        <v>1840.4749999999999</v>
      </c>
      <c r="D809" s="4">
        <v>1840.184</v>
      </c>
      <c r="E809" s="4">
        <v>1840.7660000000001</v>
      </c>
      <c r="F809" s="4"/>
      <c r="G809" s="4"/>
      <c r="H809" s="26" t="s">
        <v>2385</v>
      </c>
      <c r="I809" s="4"/>
      <c r="J809" s="6">
        <v>0</v>
      </c>
      <c r="K809" s="29" t="s">
        <v>1767</v>
      </c>
      <c r="L809" s="4"/>
      <c r="M809" s="3"/>
    </row>
    <row r="810" spans="1:13" x14ac:dyDescent="0.3">
      <c r="A810" s="3">
        <v>103</v>
      </c>
      <c r="B810" s="3">
        <v>103</v>
      </c>
      <c r="C810" s="4">
        <v>1840.89</v>
      </c>
      <c r="D810" s="4">
        <v>1840.7660000000001</v>
      </c>
      <c r="E810" s="4">
        <v>1841.0139999999999</v>
      </c>
      <c r="F810" s="4"/>
      <c r="G810" s="4"/>
      <c r="H810" s="25" t="s">
        <v>2386</v>
      </c>
      <c r="I810" s="4"/>
      <c r="J810" s="6">
        <v>0</v>
      </c>
      <c r="K810" s="30" t="s">
        <v>1767</v>
      </c>
      <c r="L810" s="4"/>
      <c r="M810" s="3"/>
    </row>
    <row r="811" spans="1:13" x14ac:dyDescent="0.3">
      <c r="A811" s="3">
        <v>103</v>
      </c>
      <c r="B811" s="3">
        <v>103</v>
      </c>
      <c r="C811" s="4">
        <v>1841.2909999999999</v>
      </c>
      <c r="D811" s="4">
        <v>1841.0139999999999</v>
      </c>
      <c r="E811" s="4">
        <v>1841.567</v>
      </c>
      <c r="F811" s="4"/>
      <c r="G811" s="4"/>
      <c r="H811" s="26" t="s">
        <v>2387</v>
      </c>
      <c r="I811" s="4"/>
      <c r="J811" s="6">
        <v>0</v>
      </c>
      <c r="K811" s="29" t="s">
        <v>1767</v>
      </c>
      <c r="L811" s="4"/>
      <c r="M811" s="3"/>
    </row>
    <row r="812" spans="1:13" x14ac:dyDescent="0.3">
      <c r="A812" s="3">
        <v>103</v>
      </c>
      <c r="B812" s="3">
        <v>103</v>
      </c>
      <c r="C812" s="4">
        <v>1841.9069999999999</v>
      </c>
      <c r="D812" s="4">
        <v>1841.567</v>
      </c>
      <c r="E812" s="4">
        <v>1842.2470000000001</v>
      </c>
      <c r="F812" s="4"/>
      <c r="G812" s="4"/>
      <c r="H812" s="25" t="s">
        <v>2388</v>
      </c>
      <c r="I812" s="4"/>
      <c r="J812" s="6">
        <v>0</v>
      </c>
      <c r="K812" s="30" t="s">
        <v>1767</v>
      </c>
      <c r="L812" s="4"/>
      <c r="M812" s="3"/>
    </row>
    <row r="813" spans="1:13" x14ac:dyDescent="0.3">
      <c r="A813" s="3">
        <v>103</v>
      </c>
      <c r="B813" s="3">
        <v>103</v>
      </c>
      <c r="C813" s="4">
        <v>1842.875</v>
      </c>
      <c r="D813" s="4">
        <v>1842.2470000000001</v>
      </c>
      <c r="E813" s="4">
        <v>1843.5029999999999</v>
      </c>
      <c r="F813" s="4"/>
      <c r="G813" s="4"/>
      <c r="H813" s="26" t="s">
        <v>2389</v>
      </c>
      <c r="I813" s="4"/>
      <c r="J813" s="6">
        <v>0</v>
      </c>
      <c r="K813" s="29" t="s">
        <v>1767</v>
      </c>
      <c r="L813" s="4"/>
      <c r="M813" s="3"/>
    </row>
    <row r="814" spans="1:13" x14ac:dyDescent="0.3">
      <c r="A814" s="3">
        <v>103</v>
      </c>
      <c r="B814" s="3">
        <v>103</v>
      </c>
      <c r="C814" s="4">
        <v>1843.6279999999999</v>
      </c>
      <c r="D814" s="4">
        <v>1843.5029999999999</v>
      </c>
      <c r="E814" s="4">
        <v>1843.7529999999999</v>
      </c>
      <c r="F814" s="4"/>
      <c r="G814" s="4"/>
      <c r="H814" s="25" t="s">
        <v>2390</v>
      </c>
      <c r="I814" s="4"/>
      <c r="J814" s="6">
        <v>0</v>
      </c>
      <c r="K814" s="30" t="s">
        <v>1767</v>
      </c>
      <c r="L814" s="4"/>
      <c r="M814" s="3"/>
    </row>
    <row r="815" spans="1:13" x14ac:dyDescent="0.3">
      <c r="A815" s="3">
        <v>103</v>
      </c>
      <c r="B815" s="3">
        <v>103</v>
      </c>
      <c r="C815" s="4">
        <v>1844.19</v>
      </c>
      <c r="D815" s="4">
        <v>1843.7529999999999</v>
      </c>
      <c r="E815" s="4">
        <v>1844.627</v>
      </c>
      <c r="F815" s="4"/>
      <c r="G815" s="4"/>
      <c r="H815" s="26" t="s">
        <v>2391</v>
      </c>
      <c r="I815" s="4"/>
      <c r="J815" s="6">
        <v>0</v>
      </c>
      <c r="K815" s="29" t="s">
        <v>1767</v>
      </c>
      <c r="L815" s="4"/>
      <c r="M815" s="3"/>
    </row>
    <row r="816" spans="1:13" x14ac:dyDescent="0.3">
      <c r="A816" s="3">
        <v>103</v>
      </c>
      <c r="B816" s="3">
        <v>103</v>
      </c>
      <c r="C816" s="4">
        <v>1845.0440000000001</v>
      </c>
      <c r="D816" s="4">
        <v>1844.627</v>
      </c>
      <c r="E816" s="4">
        <v>1845.461</v>
      </c>
      <c r="F816" s="4"/>
      <c r="G816" s="4"/>
      <c r="H816" s="25" t="s">
        <v>2392</v>
      </c>
      <c r="I816" s="4"/>
      <c r="J816" s="6">
        <v>0</v>
      </c>
      <c r="K816" s="30" t="s">
        <v>1767</v>
      </c>
      <c r="L816" s="4"/>
      <c r="M816" s="3"/>
    </row>
    <row r="817" spans="1:13" x14ac:dyDescent="0.3">
      <c r="A817" s="3">
        <v>103</v>
      </c>
      <c r="B817" s="3">
        <v>103</v>
      </c>
      <c r="C817" s="4">
        <v>1845.5909999999999</v>
      </c>
      <c r="D817" s="4">
        <v>1845.461</v>
      </c>
      <c r="E817" s="4">
        <v>1845.72</v>
      </c>
      <c r="F817" s="4"/>
      <c r="G817" s="4"/>
      <c r="H817" s="26" t="s">
        <v>2393</v>
      </c>
      <c r="I817" s="4"/>
      <c r="J817" s="6">
        <v>0</v>
      </c>
      <c r="K817" s="29" t="s">
        <v>1767</v>
      </c>
      <c r="L817" s="4"/>
      <c r="M817" s="3"/>
    </row>
    <row r="818" spans="1:13" x14ac:dyDescent="0.3">
      <c r="A818" s="3">
        <v>103</v>
      </c>
      <c r="B818" s="3">
        <v>103</v>
      </c>
      <c r="C818" s="4">
        <v>1846.05</v>
      </c>
      <c r="D818" s="4">
        <v>1845.72</v>
      </c>
      <c r="E818" s="4">
        <v>1846.3789999999999</v>
      </c>
      <c r="F818" s="4"/>
      <c r="G818" s="4"/>
      <c r="H818" s="25" t="s">
        <v>2394</v>
      </c>
      <c r="I818" s="4"/>
      <c r="J818" s="6">
        <v>0</v>
      </c>
      <c r="K818" s="30" t="s">
        <v>1767</v>
      </c>
      <c r="L818" s="4"/>
      <c r="M818" s="3"/>
    </row>
    <row r="819" spans="1:13" x14ac:dyDescent="0.3">
      <c r="A819" s="3">
        <v>103</v>
      </c>
      <c r="B819" s="3">
        <v>103</v>
      </c>
      <c r="C819" s="4">
        <v>1846.7539999999999</v>
      </c>
      <c r="D819" s="4">
        <v>1846.3789999999999</v>
      </c>
      <c r="E819" s="4">
        <v>1847.1289999999999</v>
      </c>
      <c r="F819" s="4"/>
      <c r="G819" s="4"/>
      <c r="H819" s="26" t="s">
        <v>2395</v>
      </c>
      <c r="I819" s="4"/>
      <c r="J819" s="6">
        <v>0</v>
      </c>
      <c r="K819" s="29" t="s">
        <v>1767</v>
      </c>
      <c r="L819" s="4"/>
      <c r="M819" s="3"/>
    </row>
    <row r="820" spans="1:13" x14ac:dyDescent="0.3">
      <c r="A820" s="3">
        <v>103</v>
      </c>
      <c r="B820" s="3">
        <v>103</v>
      </c>
      <c r="C820" s="4">
        <v>1847.722</v>
      </c>
      <c r="D820" s="4">
        <v>1847.1289999999999</v>
      </c>
      <c r="E820" s="4">
        <v>1848.3150000000001</v>
      </c>
      <c r="F820" s="4"/>
      <c r="G820" s="4"/>
      <c r="H820" s="25" t="s">
        <v>2396</v>
      </c>
      <c r="I820" s="4"/>
      <c r="J820" s="6">
        <v>0</v>
      </c>
      <c r="K820" s="30" t="s">
        <v>1767</v>
      </c>
      <c r="L820" s="4"/>
      <c r="M820" s="3"/>
    </row>
    <row r="821" spans="1:13" x14ac:dyDescent="0.3">
      <c r="A821" s="3">
        <v>103</v>
      </c>
      <c r="B821" s="3">
        <v>103</v>
      </c>
      <c r="C821" s="4">
        <v>1848.5250000000001</v>
      </c>
      <c r="D821" s="4">
        <v>1848.3150000000001</v>
      </c>
      <c r="E821" s="4">
        <v>1848.7339999999999</v>
      </c>
      <c r="F821" s="4"/>
      <c r="G821" s="4"/>
      <c r="H821" s="26" t="s">
        <v>2397</v>
      </c>
      <c r="I821" s="4"/>
      <c r="J821" s="6">
        <v>0</v>
      </c>
      <c r="K821" s="29" t="s">
        <v>1767</v>
      </c>
      <c r="L821" s="4"/>
      <c r="M821" s="3"/>
    </row>
    <row r="822" spans="1:13" x14ac:dyDescent="0.3">
      <c r="A822" s="3">
        <v>103</v>
      </c>
      <c r="B822" s="3">
        <v>103</v>
      </c>
      <c r="C822" s="4">
        <v>1848.8340000000001</v>
      </c>
      <c r="D822" s="4">
        <v>1848.7339999999999</v>
      </c>
      <c r="E822" s="4">
        <v>1848.933</v>
      </c>
      <c r="F822" s="4"/>
      <c r="G822" s="4"/>
      <c r="H822" s="25" t="s">
        <v>2398</v>
      </c>
      <c r="I822" s="4"/>
      <c r="J822" s="6">
        <v>0</v>
      </c>
      <c r="K822" s="30" t="s">
        <v>1767</v>
      </c>
      <c r="L822" s="4"/>
      <c r="M822" s="3"/>
    </row>
    <row r="823" spans="1:13" x14ac:dyDescent="0.3">
      <c r="A823" s="3">
        <v>103</v>
      </c>
      <c r="B823" s="3">
        <v>103</v>
      </c>
      <c r="C823" s="4">
        <v>1849.327</v>
      </c>
      <c r="D823" s="4">
        <v>1848.933</v>
      </c>
      <c r="E823" s="4">
        <v>1849.721</v>
      </c>
      <c r="F823" s="4"/>
      <c r="G823" s="4"/>
      <c r="H823" s="26" t="s">
        <v>2399</v>
      </c>
      <c r="I823" s="4"/>
      <c r="J823" s="6">
        <v>0</v>
      </c>
      <c r="K823" s="29" t="s">
        <v>1767</v>
      </c>
      <c r="L823" s="4"/>
      <c r="M823" s="3"/>
    </row>
    <row r="824" spans="1:13" x14ac:dyDescent="0.3">
      <c r="A824" s="3">
        <v>103</v>
      </c>
      <c r="B824" s="3">
        <v>103</v>
      </c>
      <c r="C824" s="4">
        <v>1849.739</v>
      </c>
      <c r="D824" s="4">
        <v>1849.721</v>
      </c>
      <c r="E824" s="4">
        <v>1849.7560000000001</v>
      </c>
      <c r="F824" s="4"/>
      <c r="G824" s="4"/>
      <c r="H824" s="25" t="s">
        <v>2400</v>
      </c>
      <c r="I824" s="4"/>
      <c r="J824" s="6">
        <v>0</v>
      </c>
      <c r="K824" s="30" t="s">
        <v>1767</v>
      </c>
      <c r="L824" s="4"/>
      <c r="M824" s="3"/>
    </row>
    <row r="825" spans="1:13" x14ac:dyDescent="0.3">
      <c r="A825" s="3">
        <v>103</v>
      </c>
      <c r="B825" s="3">
        <v>103</v>
      </c>
      <c r="C825" s="4">
        <v>1850.1210000000001</v>
      </c>
      <c r="D825" s="4">
        <v>1849.7560000000001</v>
      </c>
      <c r="E825" s="4">
        <v>1850.4860000000001</v>
      </c>
      <c r="F825" s="4"/>
      <c r="G825" s="4"/>
      <c r="H825" s="26" t="s">
        <v>2401</v>
      </c>
      <c r="I825" s="4"/>
      <c r="J825" s="6">
        <v>0</v>
      </c>
      <c r="K825" s="29" t="s">
        <v>1767</v>
      </c>
      <c r="L825" s="4"/>
      <c r="M825" s="3"/>
    </row>
    <row r="826" spans="1:13" x14ac:dyDescent="0.3">
      <c r="A826" s="3">
        <v>103</v>
      </c>
      <c r="B826" s="3">
        <v>103</v>
      </c>
      <c r="C826" s="4">
        <v>1850.7280000000001</v>
      </c>
      <c r="D826" s="4">
        <v>1850.4860000000001</v>
      </c>
      <c r="E826" s="4">
        <v>1850.97</v>
      </c>
      <c r="F826" s="4"/>
      <c r="G826" s="4"/>
      <c r="H826" s="25" t="s">
        <v>2402</v>
      </c>
      <c r="I826" s="4"/>
      <c r="J826" s="6">
        <v>0</v>
      </c>
      <c r="K826" s="30" t="s">
        <v>1767</v>
      </c>
      <c r="L826" s="4"/>
      <c r="M826" s="3"/>
    </row>
    <row r="827" spans="1:13" x14ac:dyDescent="0.3">
      <c r="A827" s="3">
        <v>103</v>
      </c>
      <c r="B827" s="3">
        <v>103</v>
      </c>
      <c r="C827" s="4">
        <v>1851.29</v>
      </c>
      <c r="D827" s="4">
        <v>1850.97</v>
      </c>
      <c r="E827" s="4">
        <v>1851.6089999999999</v>
      </c>
      <c r="F827" s="4"/>
      <c r="G827" s="4"/>
      <c r="H827" s="26" t="s">
        <v>2403</v>
      </c>
      <c r="I827" s="4"/>
      <c r="J827" s="6">
        <v>0</v>
      </c>
      <c r="K827" s="29" t="s">
        <v>1767</v>
      </c>
      <c r="L827" s="4"/>
      <c r="M827" s="3"/>
    </row>
    <row r="828" spans="1:13" x14ac:dyDescent="0.3">
      <c r="A828" s="3">
        <v>103</v>
      </c>
      <c r="B828" s="3">
        <v>103</v>
      </c>
      <c r="C828" s="4">
        <v>1851.829</v>
      </c>
      <c r="D828" s="4">
        <v>1851.6089999999999</v>
      </c>
      <c r="E828" s="4">
        <v>1852.049</v>
      </c>
      <c r="F828" s="4"/>
      <c r="G828" s="4"/>
      <c r="H828" s="25" t="s">
        <v>2404</v>
      </c>
      <c r="I828" s="4"/>
      <c r="J828" s="6">
        <v>0</v>
      </c>
      <c r="K828" s="30" t="s">
        <v>1767</v>
      </c>
      <c r="L828" s="4"/>
      <c r="M828" s="3"/>
    </row>
    <row r="829" spans="1:13" x14ac:dyDescent="0.3">
      <c r="A829" s="3">
        <v>103</v>
      </c>
      <c r="B829" s="3">
        <v>103</v>
      </c>
      <c r="C829" s="4">
        <v>1852.539</v>
      </c>
      <c r="D829" s="4">
        <v>1852.049</v>
      </c>
      <c r="E829" s="4">
        <v>1853.028</v>
      </c>
      <c r="F829" s="4"/>
      <c r="G829" s="4"/>
      <c r="H829" s="26" t="s">
        <v>2405</v>
      </c>
      <c r="I829" s="4"/>
      <c r="J829" s="6">
        <v>0</v>
      </c>
      <c r="K829" s="29" t="s">
        <v>1767</v>
      </c>
      <c r="L829" s="4"/>
      <c r="M829" s="3"/>
    </row>
    <row r="830" spans="1:13" x14ac:dyDescent="0.3">
      <c r="A830" s="3">
        <v>103</v>
      </c>
      <c r="B830" s="3">
        <v>103</v>
      </c>
      <c r="C830" s="4">
        <v>1853.057</v>
      </c>
      <c r="D830" s="4">
        <v>1853.028</v>
      </c>
      <c r="E830" s="4">
        <v>1853.085</v>
      </c>
      <c r="F830" s="4"/>
      <c r="G830" s="4"/>
      <c r="H830" s="25" t="s">
        <v>2406</v>
      </c>
      <c r="I830" s="4"/>
      <c r="J830" s="6">
        <v>0</v>
      </c>
      <c r="K830" s="30" t="s">
        <v>1767</v>
      </c>
      <c r="L830" s="4"/>
      <c r="M830" s="3"/>
    </row>
    <row r="831" spans="1:13" x14ac:dyDescent="0.3">
      <c r="A831" s="3">
        <v>103</v>
      </c>
      <c r="B831" s="3">
        <v>103</v>
      </c>
      <c r="C831" s="4">
        <v>1853.5060000000001</v>
      </c>
      <c r="D831" s="4">
        <v>1853.085</v>
      </c>
      <c r="E831" s="4">
        <v>1853.9259999999999</v>
      </c>
      <c r="F831" s="4"/>
      <c r="G831" s="4"/>
      <c r="H831" s="26" t="s">
        <v>2407</v>
      </c>
      <c r="I831" s="4"/>
      <c r="J831" s="6">
        <v>0</v>
      </c>
      <c r="K831" s="29" t="s">
        <v>1767</v>
      </c>
      <c r="L831" s="4"/>
      <c r="M831" s="3"/>
    </row>
    <row r="832" spans="1:13" x14ac:dyDescent="0.3">
      <c r="A832" s="3">
        <v>103</v>
      </c>
      <c r="B832" s="3">
        <v>103</v>
      </c>
      <c r="C832" s="4">
        <v>1854.0429999999999</v>
      </c>
      <c r="D832" s="4">
        <v>1853.9259999999999</v>
      </c>
      <c r="E832" s="4">
        <v>1854.16</v>
      </c>
      <c r="F832" s="4"/>
      <c r="G832" s="4"/>
      <c r="H832" s="25" t="s">
        <v>2408</v>
      </c>
      <c r="I832" s="4"/>
      <c r="J832" s="6">
        <v>0</v>
      </c>
      <c r="K832" s="30" t="s">
        <v>1767</v>
      </c>
      <c r="L832" s="4"/>
      <c r="M832" s="3"/>
    </row>
    <row r="833" spans="1:13" x14ac:dyDescent="0.3">
      <c r="A833" s="3">
        <v>103</v>
      </c>
      <c r="B833" s="3">
        <v>103</v>
      </c>
      <c r="C833" s="4">
        <v>1854.5989999999999</v>
      </c>
      <c r="D833" s="4">
        <v>1854.16</v>
      </c>
      <c r="E833" s="4">
        <v>1855.038</v>
      </c>
      <c r="F833" s="4"/>
      <c r="G833" s="4"/>
      <c r="H833" s="26" t="s">
        <v>2409</v>
      </c>
      <c r="I833" s="4"/>
      <c r="J833" s="6">
        <v>0</v>
      </c>
      <c r="K833" s="29" t="s">
        <v>1767</v>
      </c>
      <c r="L833" s="4"/>
      <c r="M833" s="3"/>
    </row>
    <row r="834" spans="1:13" x14ac:dyDescent="0.3">
      <c r="A834" s="3">
        <v>103</v>
      </c>
      <c r="B834" s="3">
        <v>103</v>
      </c>
      <c r="C834" s="4">
        <v>1855.0730000000001</v>
      </c>
      <c r="D834" s="4">
        <v>1855.038</v>
      </c>
      <c r="E834" s="4">
        <v>1855.1079999999999</v>
      </c>
      <c r="F834" s="4"/>
      <c r="G834" s="4"/>
      <c r="H834" s="25" t="s">
        <v>2410</v>
      </c>
      <c r="I834" s="4"/>
      <c r="J834" s="6">
        <v>0</v>
      </c>
      <c r="K834" s="30" t="s">
        <v>1767</v>
      </c>
      <c r="L834" s="4"/>
      <c r="M834" s="3"/>
    </row>
    <row r="835" spans="1:13" x14ac:dyDescent="0.3">
      <c r="A835" s="3">
        <v>103</v>
      </c>
      <c r="B835" s="3">
        <v>103</v>
      </c>
      <c r="C835" s="4">
        <v>1855.4649999999999</v>
      </c>
      <c r="D835" s="4">
        <v>1855.1079999999999</v>
      </c>
      <c r="E835" s="4">
        <v>1855.8219999999999</v>
      </c>
      <c r="F835" s="4"/>
      <c r="G835" s="4"/>
      <c r="H835" s="26" t="s">
        <v>2411</v>
      </c>
      <c r="I835" s="4"/>
      <c r="J835" s="6">
        <v>0</v>
      </c>
      <c r="K835" s="29" t="s">
        <v>1767</v>
      </c>
      <c r="L835" s="4"/>
      <c r="M835" s="3"/>
    </row>
    <row r="836" spans="1:13" x14ac:dyDescent="0.3">
      <c r="A836" s="3">
        <v>103</v>
      </c>
      <c r="B836" s="3">
        <v>103</v>
      </c>
      <c r="C836" s="4">
        <v>1856.2719999999999</v>
      </c>
      <c r="D836" s="4">
        <v>1855.8219999999999</v>
      </c>
      <c r="E836" s="4">
        <v>1856.722</v>
      </c>
      <c r="F836" s="4"/>
      <c r="G836" s="4"/>
      <c r="H836" s="25" t="s">
        <v>2412</v>
      </c>
      <c r="I836" s="4"/>
      <c r="J836" s="6">
        <v>0</v>
      </c>
      <c r="K836" s="30" t="s">
        <v>1767</v>
      </c>
      <c r="L836" s="4"/>
      <c r="M836" s="3"/>
    </row>
    <row r="837" spans="1:13" x14ac:dyDescent="0.3">
      <c r="A837" s="3">
        <v>103</v>
      </c>
      <c r="B837" s="3">
        <v>103</v>
      </c>
      <c r="C837" s="4">
        <v>1857.136</v>
      </c>
      <c r="D837" s="4">
        <v>1856.722</v>
      </c>
      <c r="E837" s="4">
        <v>1857.55</v>
      </c>
      <c r="F837" s="4"/>
      <c r="G837" s="4"/>
      <c r="H837" s="26" t="s">
        <v>2413</v>
      </c>
      <c r="I837" s="4"/>
      <c r="J837" s="6">
        <v>0</v>
      </c>
      <c r="K837" s="29" t="s">
        <v>1767</v>
      </c>
      <c r="L837" s="4"/>
      <c r="M837" s="3"/>
    </row>
    <row r="838" spans="1:13" x14ac:dyDescent="0.3">
      <c r="A838" s="3">
        <v>103</v>
      </c>
      <c r="B838" s="3">
        <v>103</v>
      </c>
      <c r="C838" s="4">
        <v>1857.6310000000001</v>
      </c>
      <c r="D838" s="4">
        <v>1857.55</v>
      </c>
      <c r="E838" s="4">
        <v>1857.711</v>
      </c>
      <c r="F838" s="4"/>
      <c r="G838" s="4"/>
      <c r="H838" s="25" t="s">
        <v>2414</v>
      </c>
      <c r="I838" s="4"/>
      <c r="J838" s="6">
        <v>0</v>
      </c>
      <c r="K838" s="30" t="s">
        <v>1767</v>
      </c>
      <c r="L838" s="4"/>
      <c r="M838" s="3"/>
    </row>
    <row r="839" spans="1:13" x14ac:dyDescent="0.3">
      <c r="A839" s="3">
        <v>103</v>
      </c>
      <c r="B839" s="3">
        <v>103</v>
      </c>
      <c r="C839" s="4">
        <v>1858.0550000000001</v>
      </c>
      <c r="D839" s="4">
        <v>1857.711</v>
      </c>
      <c r="E839" s="4">
        <v>1858.3979999999999</v>
      </c>
      <c r="F839" s="4"/>
      <c r="G839" s="4"/>
      <c r="H839" s="26" t="s">
        <v>2415</v>
      </c>
      <c r="I839" s="4"/>
      <c r="J839" s="6">
        <v>0</v>
      </c>
      <c r="K839" s="29" t="s">
        <v>1767</v>
      </c>
      <c r="L839" s="4"/>
      <c r="M839" s="3"/>
    </row>
    <row r="840" spans="1:13" x14ac:dyDescent="0.3">
      <c r="A840" s="3">
        <v>103</v>
      </c>
      <c r="B840" s="3">
        <v>103</v>
      </c>
      <c r="C840" s="4">
        <v>1858.442</v>
      </c>
      <c r="D840" s="4">
        <v>1858.3979999999999</v>
      </c>
      <c r="E840" s="4">
        <v>1858.4860000000001</v>
      </c>
      <c r="F840" s="4"/>
      <c r="G840" s="4"/>
      <c r="H840" s="25" t="s">
        <v>2416</v>
      </c>
      <c r="I840" s="4"/>
      <c r="J840" s="6">
        <v>0</v>
      </c>
      <c r="K840" s="30" t="s">
        <v>1767</v>
      </c>
      <c r="L840" s="4"/>
      <c r="M840" s="3"/>
    </row>
    <row r="841" spans="1:13" x14ac:dyDescent="0.3">
      <c r="A841" s="3">
        <v>103</v>
      </c>
      <c r="B841" s="3">
        <v>103</v>
      </c>
      <c r="C841" s="4">
        <v>1858.665</v>
      </c>
      <c r="D841" s="4">
        <v>1858.4860000000001</v>
      </c>
      <c r="E841" s="4">
        <v>1858.8440000000001</v>
      </c>
      <c r="F841" s="4"/>
      <c r="G841" s="4"/>
      <c r="H841" s="26" t="s">
        <v>2417</v>
      </c>
      <c r="I841" s="4"/>
      <c r="J841" s="6">
        <v>0</v>
      </c>
      <c r="K841" s="29" t="s">
        <v>1767</v>
      </c>
      <c r="L841" s="4"/>
      <c r="M841" s="3"/>
    </row>
    <row r="842" spans="1:13" x14ac:dyDescent="0.3">
      <c r="A842" s="3">
        <v>103</v>
      </c>
      <c r="B842" s="3">
        <v>103</v>
      </c>
      <c r="C842" s="4">
        <v>1858.932</v>
      </c>
      <c r="D842" s="4">
        <v>1858.8440000000001</v>
      </c>
      <c r="E842" s="4">
        <v>1859.02</v>
      </c>
      <c r="F842" s="4"/>
      <c r="G842" s="4"/>
      <c r="H842" s="25" t="s">
        <v>2418</v>
      </c>
      <c r="I842" s="4"/>
      <c r="J842" s="6">
        <v>0</v>
      </c>
      <c r="K842" s="30" t="s">
        <v>1767</v>
      </c>
      <c r="L842" s="4"/>
      <c r="M842" s="3"/>
    </row>
    <row r="843" spans="1:13" x14ac:dyDescent="0.3">
      <c r="A843" s="3">
        <v>103</v>
      </c>
      <c r="B843" s="3">
        <v>103</v>
      </c>
      <c r="C843" s="4">
        <v>1859.508</v>
      </c>
      <c r="D843" s="4">
        <v>1859.02</v>
      </c>
      <c r="E843" s="4">
        <v>1859.9960000000001</v>
      </c>
      <c r="F843" s="4"/>
      <c r="G843" s="4"/>
      <c r="H843" s="26" t="s">
        <v>2419</v>
      </c>
      <c r="I843" s="4"/>
      <c r="J843" s="6">
        <v>0</v>
      </c>
      <c r="K843" s="29" t="s">
        <v>1767</v>
      </c>
      <c r="L843" s="4"/>
      <c r="M843" s="3"/>
    </row>
    <row r="844" spans="1:13" x14ac:dyDescent="0.3">
      <c r="A844" s="3">
        <v>103</v>
      </c>
      <c r="B844" s="3">
        <v>103</v>
      </c>
      <c r="C844" s="4">
        <v>1860.0930000000001</v>
      </c>
      <c r="D844" s="4">
        <v>1859.9960000000001</v>
      </c>
      <c r="E844" s="4">
        <v>1860.19</v>
      </c>
      <c r="F844" s="4"/>
      <c r="G844" s="4"/>
      <c r="H844" s="25" t="s">
        <v>2420</v>
      </c>
      <c r="I844" s="4"/>
      <c r="J844" s="6">
        <v>0</v>
      </c>
      <c r="K844" s="30" t="s">
        <v>1767</v>
      </c>
      <c r="L844" s="4"/>
      <c r="M844" s="3"/>
    </row>
    <row r="845" spans="1:13" x14ac:dyDescent="0.3">
      <c r="A845" s="3">
        <v>103</v>
      </c>
      <c r="B845" s="3">
        <v>103</v>
      </c>
      <c r="C845" s="4">
        <v>1860.6980000000001</v>
      </c>
      <c r="D845" s="4">
        <v>1860.19</v>
      </c>
      <c r="E845" s="4">
        <v>1861.2059999999999</v>
      </c>
      <c r="F845" s="4"/>
      <c r="G845" s="4"/>
      <c r="H845" s="26" t="s">
        <v>2421</v>
      </c>
      <c r="I845" s="4"/>
      <c r="J845" s="6">
        <v>0</v>
      </c>
      <c r="K845" s="29" t="s">
        <v>1767</v>
      </c>
      <c r="L845" s="4"/>
      <c r="M845" s="3"/>
    </row>
    <row r="846" spans="1:13" x14ac:dyDescent="0.3">
      <c r="A846" s="3">
        <v>103</v>
      </c>
      <c r="B846" s="3">
        <v>103</v>
      </c>
      <c r="C846" s="4">
        <v>1861.5119999999999</v>
      </c>
      <c r="D846" s="4">
        <v>1861.2059999999999</v>
      </c>
      <c r="E846" s="4">
        <v>1861.817</v>
      </c>
      <c r="F846" s="4"/>
      <c r="G846" s="4"/>
      <c r="H846" s="25" t="s">
        <v>2422</v>
      </c>
      <c r="I846" s="4"/>
      <c r="J846" s="6">
        <v>0</v>
      </c>
      <c r="K846" s="30" t="s">
        <v>1767</v>
      </c>
      <c r="L846" s="4"/>
      <c r="M846" s="3"/>
    </row>
    <row r="847" spans="1:13" x14ac:dyDescent="0.3">
      <c r="A847" s="3">
        <v>103</v>
      </c>
      <c r="B847" s="3">
        <v>103</v>
      </c>
      <c r="C847" s="4">
        <v>1862.1220000000001</v>
      </c>
      <c r="D847" s="4">
        <v>1861.817</v>
      </c>
      <c r="E847" s="4">
        <v>1862.4269999999999</v>
      </c>
      <c r="F847" s="4"/>
      <c r="G847" s="4"/>
      <c r="H847" s="26" t="s">
        <v>2423</v>
      </c>
      <c r="I847" s="4"/>
      <c r="J847" s="6">
        <v>0</v>
      </c>
      <c r="K847" s="29" t="s">
        <v>1767</v>
      </c>
      <c r="L847" s="4"/>
      <c r="M847" s="3"/>
    </row>
    <row r="848" spans="1:13" x14ac:dyDescent="0.3">
      <c r="A848" s="3">
        <v>103</v>
      </c>
      <c r="B848" s="3">
        <v>103</v>
      </c>
      <c r="C848" s="4">
        <v>1862.5150000000001</v>
      </c>
      <c r="D848" s="4">
        <v>1862.4269999999999</v>
      </c>
      <c r="E848" s="4">
        <v>1862.6030000000001</v>
      </c>
      <c r="F848" s="4"/>
      <c r="G848" s="4"/>
      <c r="H848" s="25" t="s">
        <v>2424</v>
      </c>
      <c r="I848" s="4"/>
      <c r="J848" s="6">
        <v>0</v>
      </c>
      <c r="K848" s="30" t="s">
        <v>1767</v>
      </c>
      <c r="L848" s="4"/>
      <c r="M848" s="3"/>
    </row>
    <row r="849" spans="1:13" x14ac:dyDescent="0.3">
      <c r="A849" s="3">
        <v>103</v>
      </c>
      <c r="B849" s="3">
        <v>103</v>
      </c>
      <c r="C849" s="4">
        <v>1863.0139999999999</v>
      </c>
      <c r="D849" s="4">
        <v>1862.6030000000001</v>
      </c>
      <c r="E849" s="4">
        <v>1863.424</v>
      </c>
      <c r="F849" s="4"/>
      <c r="G849" s="4"/>
      <c r="H849" s="26" t="s">
        <v>2425</v>
      </c>
      <c r="I849" s="4"/>
      <c r="J849" s="6">
        <v>0</v>
      </c>
      <c r="K849" s="29" t="s">
        <v>1767</v>
      </c>
      <c r="L849" s="4"/>
      <c r="M849" s="3"/>
    </row>
    <row r="850" spans="1:13" x14ac:dyDescent="0.3">
      <c r="A850" s="3">
        <v>103</v>
      </c>
      <c r="B850" s="3">
        <v>103</v>
      </c>
      <c r="C850" s="4">
        <v>1863.6489999999999</v>
      </c>
      <c r="D850" s="4">
        <v>1863.424</v>
      </c>
      <c r="E850" s="4">
        <v>1863.873</v>
      </c>
      <c r="F850" s="4"/>
      <c r="G850" s="4"/>
      <c r="H850" s="25" t="s">
        <v>2426</v>
      </c>
      <c r="I850" s="4"/>
      <c r="J850" s="6">
        <v>0</v>
      </c>
      <c r="K850" s="30" t="s">
        <v>1767</v>
      </c>
      <c r="L850" s="4"/>
      <c r="M850" s="3"/>
    </row>
    <row r="851" spans="1:13" x14ac:dyDescent="0.3">
      <c r="A851" s="3">
        <v>103</v>
      </c>
      <c r="B851" s="3">
        <v>103</v>
      </c>
      <c r="C851" s="4">
        <v>1864.2629999999999</v>
      </c>
      <c r="D851" s="4">
        <v>1863.873</v>
      </c>
      <c r="E851" s="4">
        <v>1864.652</v>
      </c>
      <c r="F851" s="4"/>
      <c r="G851" s="4"/>
      <c r="H851" s="26" t="s">
        <v>2427</v>
      </c>
      <c r="I851" s="4"/>
      <c r="J851" s="6">
        <v>0</v>
      </c>
      <c r="K851" s="29" t="s">
        <v>1767</v>
      </c>
      <c r="L851" s="4"/>
      <c r="M851" s="3"/>
    </row>
    <row r="852" spans="1:13" x14ac:dyDescent="0.3">
      <c r="A852" s="3">
        <v>103</v>
      </c>
      <c r="B852" s="3">
        <v>103</v>
      </c>
      <c r="C852" s="4">
        <v>1864.8979999999999</v>
      </c>
      <c r="D852" s="4">
        <v>1864.652</v>
      </c>
      <c r="E852" s="4">
        <v>1865.144</v>
      </c>
      <c r="F852" s="4"/>
      <c r="G852" s="4"/>
      <c r="H852" s="25" t="s">
        <v>2428</v>
      </c>
      <c r="I852" s="4"/>
      <c r="J852" s="6">
        <v>0</v>
      </c>
      <c r="K852" s="30" t="s">
        <v>1767</v>
      </c>
      <c r="L852" s="4"/>
      <c r="M852" s="3"/>
    </row>
    <row r="853" spans="1:13" x14ac:dyDescent="0.3">
      <c r="A853" s="3">
        <v>103</v>
      </c>
      <c r="B853" s="3">
        <v>103</v>
      </c>
      <c r="C853" s="4">
        <v>1865.652</v>
      </c>
      <c r="D853" s="4">
        <v>1865.144</v>
      </c>
      <c r="E853" s="4">
        <v>1866.1590000000001</v>
      </c>
      <c r="F853" s="4"/>
      <c r="G853" s="4"/>
      <c r="H853" s="26" t="s">
        <v>2429</v>
      </c>
      <c r="I853" s="4"/>
      <c r="J853" s="6">
        <v>0</v>
      </c>
      <c r="K853" s="29" t="s">
        <v>1767</v>
      </c>
      <c r="L853" s="4"/>
      <c r="M853" s="3"/>
    </row>
    <row r="854" spans="1:13" x14ac:dyDescent="0.3">
      <c r="A854" s="3">
        <v>103</v>
      </c>
      <c r="B854" s="3">
        <v>103</v>
      </c>
      <c r="C854" s="4">
        <v>1866.6479999999999</v>
      </c>
      <c r="D854" s="4">
        <v>1866.1590000000001</v>
      </c>
      <c r="E854" s="4">
        <v>1867.136</v>
      </c>
      <c r="F854" s="4"/>
      <c r="G854" s="4"/>
      <c r="H854" s="25" t="s">
        <v>2430</v>
      </c>
      <c r="I854" s="4"/>
      <c r="J854" s="6">
        <v>0</v>
      </c>
      <c r="K854" s="30" t="s">
        <v>1767</v>
      </c>
      <c r="L854" s="4"/>
      <c r="M854" s="3"/>
    </row>
    <row r="855" spans="1:13" x14ac:dyDescent="0.3">
      <c r="A855" s="3">
        <v>103</v>
      </c>
      <c r="B855" s="3">
        <v>103</v>
      </c>
      <c r="C855" s="4">
        <v>1867.308</v>
      </c>
      <c r="D855" s="4">
        <v>1867.136</v>
      </c>
      <c r="E855" s="4">
        <v>1867.48</v>
      </c>
      <c r="F855" s="4"/>
      <c r="G855" s="4"/>
      <c r="H855" s="26" t="s">
        <v>2431</v>
      </c>
      <c r="I855" s="4"/>
      <c r="J855" s="6">
        <v>0</v>
      </c>
      <c r="K855" s="29" t="s">
        <v>1767</v>
      </c>
      <c r="L855" s="4"/>
      <c r="M855" s="3"/>
    </row>
    <row r="856" spans="1:13" x14ac:dyDescent="0.3">
      <c r="A856" s="3">
        <v>103</v>
      </c>
      <c r="B856" s="3">
        <v>103</v>
      </c>
      <c r="C856" s="4">
        <v>1867.942</v>
      </c>
      <c r="D856" s="4">
        <v>1867.48</v>
      </c>
      <c r="E856" s="4">
        <v>1868.403</v>
      </c>
      <c r="F856" s="4"/>
      <c r="G856" s="4"/>
      <c r="H856" s="25" t="s">
        <v>2432</v>
      </c>
      <c r="I856" s="4"/>
      <c r="J856" s="6">
        <v>0</v>
      </c>
      <c r="K856" s="30" t="s">
        <v>1767</v>
      </c>
      <c r="L856" s="4"/>
      <c r="M856" s="3"/>
    </row>
    <row r="857" spans="1:13" x14ac:dyDescent="0.3">
      <c r="A857" s="3">
        <v>103</v>
      </c>
      <c r="B857" s="3">
        <v>103</v>
      </c>
      <c r="C857" s="4">
        <v>1868.6469999999999</v>
      </c>
      <c r="D857" s="4">
        <v>1868.403</v>
      </c>
      <c r="E857" s="4">
        <v>1868.8910000000001</v>
      </c>
      <c r="F857" s="4"/>
      <c r="G857" s="4"/>
      <c r="H857" s="26" t="s">
        <v>2433</v>
      </c>
      <c r="I857" s="4"/>
      <c r="J857" s="6">
        <v>0</v>
      </c>
      <c r="K857" s="29" t="s">
        <v>1767</v>
      </c>
      <c r="L857" s="4"/>
      <c r="M857" s="3"/>
    </row>
    <row r="858" spans="1:13" x14ac:dyDescent="0.3">
      <c r="A858" s="3">
        <v>103</v>
      </c>
      <c r="B858" s="3">
        <v>103</v>
      </c>
      <c r="C858" s="4">
        <v>1869.4549999999999</v>
      </c>
      <c r="D858" s="4">
        <v>1868.8910000000001</v>
      </c>
      <c r="E858" s="4">
        <v>1870.018</v>
      </c>
      <c r="F858" s="4"/>
      <c r="G858" s="4"/>
      <c r="H858" s="25" t="s">
        <v>2434</v>
      </c>
      <c r="I858" s="4"/>
      <c r="J858" s="6">
        <v>0</v>
      </c>
      <c r="K858" s="30" t="s">
        <v>1767</v>
      </c>
      <c r="L858" s="4"/>
      <c r="M858" s="3"/>
    </row>
    <row r="859" spans="1:13" x14ac:dyDescent="0.3">
      <c r="A859" s="3">
        <v>103</v>
      </c>
      <c r="B859" s="3">
        <v>103</v>
      </c>
      <c r="C859" s="4">
        <v>1870.431</v>
      </c>
      <c r="D859" s="4">
        <v>1870.018</v>
      </c>
      <c r="E859" s="4">
        <v>1870.8440000000001</v>
      </c>
      <c r="F859" s="4"/>
      <c r="G859" s="4"/>
      <c r="H859" s="26" t="s">
        <v>2435</v>
      </c>
      <c r="I859" s="4"/>
      <c r="J859" s="6">
        <v>0</v>
      </c>
      <c r="K859" s="29" t="s">
        <v>1767</v>
      </c>
      <c r="L859" s="4"/>
      <c r="M859" s="3"/>
    </row>
    <row r="860" spans="1:13" x14ac:dyDescent="0.3">
      <c r="A860" s="3">
        <v>103</v>
      </c>
      <c r="B860" s="3">
        <v>103</v>
      </c>
      <c r="C860" s="4">
        <v>1870.91</v>
      </c>
      <c r="D860" s="4">
        <v>1870.8440000000001</v>
      </c>
      <c r="E860" s="4">
        <v>1870.9760000000001</v>
      </c>
      <c r="F860" s="4"/>
      <c r="G860" s="4"/>
      <c r="H860" s="25" t="s">
        <v>2436</v>
      </c>
      <c r="I860" s="4"/>
      <c r="J860" s="6">
        <v>0</v>
      </c>
      <c r="K860" s="30" t="s">
        <v>1767</v>
      </c>
      <c r="L860" s="4"/>
      <c r="M860" s="3"/>
    </row>
    <row r="861" spans="1:13" x14ac:dyDescent="0.3">
      <c r="A861" s="3">
        <v>103</v>
      </c>
      <c r="B861" s="3">
        <v>103</v>
      </c>
      <c r="C861" s="4">
        <v>1871.165</v>
      </c>
      <c r="D861" s="4">
        <v>1870.9760000000001</v>
      </c>
      <c r="E861" s="4">
        <v>1871.3530000000001</v>
      </c>
      <c r="F861" s="4"/>
      <c r="G861" s="4"/>
      <c r="H861" s="26" t="s">
        <v>2437</v>
      </c>
      <c r="I861" s="4"/>
      <c r="J861" s="6">
        <v>0</v>
      </c>
      <c r="K861" s="29" t="s">
        <v>1767</v>
      </c>
      <c r="L861" s="4"/>
      <c r="M861" s="3"/>
    </row>
    <row r="862" spans="1:13" x14ac:dyDescent="0.3">
      <c r="A862" s="3">
        <v>103</v>
      </c>
      <c r="B862" s="3">
        <v>103</v>
      </c>
      <c r="C862" s="4">
        <v>1871.412</v>
      </c>
      <c r="D862" s="4">
        <v>1871.3530000000001</v>
      </c>
      <c r="E862" s="4">
        <v>1871.471</v>
      </c>
      <c r="F862" s="4"/>
      <c r="G862" s="4"/>
      <c r="H862" s="25" t="s">
        <v>2438</v>
      </c>
      <c r="I862" s="4"/>
      <c r="J862" s="6">
        <v>0</v>
      </c>
      <c r="K862" s="30" t="s">
        <v>1767</v>
      </c>
      <c r="L862" s="4"/>
      <c r="M862" s="3"/>
    </row>
    <row r="863" spans="1:13" x14ac:dyDescent="0.3">
      <c r="A863" s="3">
        <v>103</v>
      </c>
      <c r="B863" s="3">
        <v>103</v>
      </c>
      <c r="C863" s="4">
        <v>1871.9290000000001</v>
      </c>
      <c r="D863" s="4">
        <v>1871.471</v>
      </c>
      <c r="E863" s="4">
        <v>1872.3869999999999</v>
      </c>
      <c r="F863" s="4"/>
      <c r="G863" s="4"/>
      <c r="H863" s="26" t="s">
        <v>2439</v>
      </c>
      <c r="I863" s="4"/>
      <c r="J863" s="6">
        <v>0</v>
      </c>
      <c r="K863" s="29" t="s">
        <v>1767</v>
      </c>
      <c r="L863" s="4"/>
      <c r="M863" s="3"/>
    </row>
    <row r="864" spans="1:13" x14ac:dyDescent="0.3">
      <c r="A864" s="3">
        <v>103</v>
      </c>
      <c r="B864" s="3">
        <v>103</v>
      </c>
      <c r="C864" s="4">
        <v>1872.4490000000001</v>
      </c>
      <c r="D864" s="4">
        <v>1872.3869999999999</v>
      </c>
      <c r="E864" s="4">
        <v>1872.511</v>
      </c>
      <c r="F864" s="4"/>
      <c r="G864" s="4"/>
      <c r="H864" s="25" t="s">
        <v>2440</v>
      </c>
      <c r="I864" s="4"/>
      <c r="J864" s="6">
        <v>0</v>
      </c>
      <c r="K864" s="30" t="s">
        <v>1767</v>
      </c>
      <c r="L864" s="4"/>
      <c r="M864" s="3"/>
    </row>
    <row r="865" spans="1:13" x14ac:dyDescent="0.3">
      <c r="A865" s="3">
        <v>103</v>
      </c>
      <c r="B865" s="3">
        <v>103</v>
      </c>
      <c r="C865" s="4">
        <v>1873.204</v>
      </c>
      <c r="D865" s="4">
        <v>1872.511</v>
      </c>
      <c r="E865" s="4">
        <v>1873.896</v>
      </c>
      <c r="F865" s="4"/>
      <c r="G865" s="4"/>
      <c r="H865" s="26" t="s">
        <v>2441</v>
      </c>
      <c r="I865" s="4"/>
      <c r="J865" s="6">
        <v>0</v>
      </c>
      <c r="K865" s="29" t="s">
        <v>1767</v>
      </c>
      <c r="L865" s="4"/>
      <c r="M865" s="3"/>
    </row>
    <row r="866" spans="1:13" x14ac:dyDescent="0.3">
      <c r="A866" s="3">
        <v>103</v>
      </c>
      <c r="B866" s="3">
        <v>103</v>
      </c>
      <c r="C866" s="4">
        <v>1873.973</v>
      </c>
      <c r="D866" s="4">
        <v>1873.896</v>
      </c>
      <c r="E866" s="4">
        <v>1874.049</v>
      </c>
      <c r="F866" s="4"/>
      <c r="G866" s="4"/>
      <c r="H866" s="25" t="s">
        <v>2442</v>
      </c>
      <c r="I866" s="4"/>
      <c r="J866" s="6">
        <v>0</v>
      </c>
      <c r="K866" s="30" t="s">
        <v>1767</v>
      </c>
      <c r="L866" s="4"/>
      <c r="M866" s="3"/>
    </row>
    <row r="867" spans="1:13" x14ac:dyDescent="0.3">
      <c r="A867" s="3">
        <v>103</v>
      </c>
      <c r="B867" s="3">
        <v>103</v>
      </c>
      <c r="C867" s="4">
        <v>1874.3710000000001</v>
      </c>
      <c r="D867" s="4">
        <v>1874.049</v>
      </c>
      <c r="E867" s="4">
        <v>1874.693</v>
      </c>
      <c r="F867" s="4"/>
      <c r="G867" s="4"/>
      <c r="H867" s="26" t="s">
        <v>2443</v>
      </c>
      <c r="I867" s="4"/>
      <c r="J867" s="6">
        <v>0</v>
      </c>
      <c r="K867" s="29" t="s">
        <v>1767</v>
      </c>
      <c r="L867" s="4"/>
      <c r="M867" s="3"/>
    </row>
    <row r="868" spans="1:13" x14ac:dyDescent="0.3">
      <c r="A868" s="3">
        <v>103</v>
      </c>
      <c r="B868" s="3">
        <v>103</v>
      </c>
      <c r="C868" s="4">
        <v>1874.9190000000001</v>
      </c>
      <c r="D868" s="4">
        <v>1874.693</v>
      </c>
      <c r="E868" s="4">
        <v>1875.145</v>
      </c>
      <c r="F868" s="4"/>
      <c r="G868" s="4"/>
      <c r="H868" s="25" t="s">
        <v>2444</v>
      </c>
      <c r="I868" s="4"/>
      <c r="J868" s="6">
        <v>0</v>
      </c>
      <c r="K868" s="30" t="s">
        <v>1767</v>
      </c>
      <c r="L868" s="4"/>
      <c r="M868" s="3"/>
    </row>
    <row r="869" spans="1:13" x14ac:dyDescent="0.3">
      <c r="A869" s="3">
        <v>103</v>
      </c>
      <c r="B869" s="3">
        <v>103</v>
      </c>
      <c r="C869" s="4">
        <v>1875.4159999999999</v>
      </c>
      <c r="D869" s="4">
        <v>1875.145</v>
      </c>
      <c r="E869" s="4">
        <v>1875.6859999999999</v>
      </c>
      <c r="F869" s="4"/>
      <c r="G869" s="4"/>
      <c r="H869" s="26" t="s">
        <v>2445</v>
      </c>
      <c r="I869" s="4"/>
      <c r="J869" s="6">
        <v>0</v>
      </c>
      <c r="K869" s="29" t="s">
        <v>1767</v>
      </c>
      <c r="L869" s="4"/>
      <c r="M869" s="3"/>
    </row>
    <row r="870" spans="1:13" x14ac:dyDescent="0.3">
      <c r="A870" s="3">
        <v>103</v>
      </c>
      <c r="B870" s="3">
        <v>103</v>
      </c>
      <c r="C870" s="4">
        <v>1875.8219999999999</v>
      </c>
      <c r="D870" s="4">
        <v>1875.6859999999999</v>
      </c>
      <c r="E870" s="4">
        <v>1875.9580000000001</v>
      </c>
      <c r="F870" s="4"/>
      <c r="G870" s="4"/>
      <c r="H870" s="25" t="s">
        <v>2446</v>
      </c>
      <c r="I870" s="4"/>
      <c r="J870" s="6">
        <v>0</v>
      </c>
      <c r="K870" s="30" t="s">
        <v>1767</v>
      </c>
      <c r="L870" s="4"/>
      <c r="M870" s="3"/>
    </row>
    <row r="871" spans="1:13" x14ac:dyDescent="0.3">
      <c r="A871" s="3">
        <v>103</v>
      </c>
      <c r="B871" s="3">
        <v>103</v>
      </c>
      <c r="C871" s="4">
        <v>1876.1220000000001</v>
      </c>
      <c r="D871" s="4">
        <v>1875.9580000000001</v>
      </c>
      <c r="E871" s="4">
        <v>1876.2860000000001</v>
      </c>
      <c r="F871" s="4"/>
      <c r="G871" s="4"/>
      <c r="H871" s="26" t="s">
        <v>2447</v>
      </c>
      <c r="I871" s="4"/>
      <c r="J871" s="6">
        <v>0</v>
      </c>
      <c r="K871" s="29" t="s">
        <v>1767</v>
      </c>
      <c r="L871" s="4"/>
      <c r="M871" s="3"/>
    </row>
    <row r="872" spans="1:13" x14ac:dyDescent="0.3">
      <c r="A872" s="3">
        <v>103</v>
      </c>
      <c r="B872" s="3">
        <v>103</v>
      </c>
      <c r="C872" s="4">
        <v>1876.3130000000001</v>
      </c>
      <c r="D872" s="4">
        <v>1876.2860000000001</v>
      </c>
      <c r="E872" s="4">
        <v>1876.34</v>
      </c>
      <c r="F872" s="4"/>
      <c r="G872" s="4"/>
      <c r="H872" s="25" t="s">
        <v>2448</v>
      </c>
      <c r="I872" s="4"/>
      <c r="J872" s="6">
        <v>0</v>
      </c>
      <c r="K872" s="30" t="s">
        <v>1767</v>
      </c>
      <c r="L872" s="4"/>
      <c r="M872" s="3"/>
    </row>
    <row r="873" spans="1:13" x14ac:dyDescent="0.3">
      <c r="A873" s="3">
        <v>103</v>
      </c>
      <c r="B873" s="3">
        <v>103</v>
      </c>
      <c r="C873" s="4">
        <v>1876.604</v>
      </c>
      <c r="D873" s="4">
        <v>1876.34</v>
      </c>
      <c r="E873" s="4">
        <v>1876.867</v>
      </c>
      <c r="F873" s="4"/>
      <c r="G873" s="4"/>
      <c r="H873" s="26" t="s">
        <v>2449</v>
      </c>
      <c r="I873" s="4"/>
      <c r="J873" s="6">
        <v>0</v>
      </c>
      <c r="K873" s="29" t="s">
        <v>1767</v>
      </c>
      <c r="L873" s="4"/>
      <c r="M873" s="3"/>
    </row>
    <row r="874" spans="1:13" x14ac:dyDescent="0.3">
      <c r="A874" s="3">
        <v>103</v>
      </c>
      <c r="B874" s="3">
        <v>103</v>
      </c>
      <c r="C874" s="4">
        <v>1876.8979999999999</v>
      </c>
      <c r="D874" s="4">
        <v>1876.867</v>
      </c>
      <c r="E874" s="4">
        <v>1876.9280000000001</v>
      </c>
      <c r="F874" s="4"/>
      <c r="G874" s="4"/>
      <c r="H874" s="25" t="s">
        <v>2450</v>
      </c>
      <c r="I874" s="4"/>
      <c r="J874" s="6">
        <v>0</v>
      </c>
      <c r="K874" s="30" t="s">
        <v>1767</v>
      </c>
      <c r="L874" s="4"/>
      <c r="M874" s="3"/>
    </row>
    <row r="875" spans="1:13" x14ac:dyDescent="0.3">
      <c r="A875" s="3">
        <v>103</v>
      </c>
      <c r="B875" s="3">
        <v>103</v>
      </c>
      <c r="C875" s="4">
        <v>1877.1590000000001</v>
      </c>
      <c r="D875" s="4">
        <v>1876.9280000000001</v>
      </c>
      <c r="E875" s="4">
        <v>1877.3889999999999</v>
      </c>
      <c r="F875" s="4"/>
      <c r="G875" s="4"/>
      <c r="H875" s="26" t="s">
        <v>2451</v>
      </c>
      <c r="I875" s="4"/>
      <c r="J875" s="6">
        <v>0</v>
      </c>
      <c r="K875" s="29" t="s">
        <v>1767</v>
      </c>
      <c r="L875" s="4"/>
      <c r="M875" s="3"/>
    </row>
    <row r="876" spans="1:13" x14ac:dyDescent="0.3">
      <c r="A876" s="3">
        <v>103</v>
      </c>
      <c r="B876" s="3">
        <v>103</v>
      </c>
      <c r="C876" s="4">
        <v>1877.479</v>
      </c>
      <c r="D876" s="4">
        <v>1877.3889999999999</v>
      </c>
      <c r="E876" s="4">
        <v>1877.568</v>
      </c>
      <c r="F876" s="4"/>
      <c r="G876" s="4"/>
      <c r="H876" s="25" t="s">
        <v>2452</v>
      </c>
      <c r="I876" s="4"/>
      <c r="J876" s="6">
        <v>0</v>
      </c>
      <c r="K876" s="30" t="s">
        <v>1767</v>
      </c>
      <c r="L876" s="4"/>
      <c r="M876" s="3"/>
    </row>
    <row r="877" spans="1:13" x14ac:dyDescent="0.3">
      <c r="A877" s="3">
        <v>103</v>
      </c>
      <c r="B877" s="3">
        <v>103</v>
      </c>
      <c r="C877" s="4">
        <v>1877.8630000000001</v>
      </c>
      <c r="D877" s="4">
        <v>1877.568</v>
      </c>
      <c r="E877" s="4">
        <v>1878.1569999999999</v>
      </c>
      <c r="F877" s="4"/>
      <c r="G877" s="4"/>
      <c r="H877" s="26" t="s">
        <v>2453</v>
      </c>
      <c r="I877" s="4"/>
      <c r="J877" s="6">
        <v>0</v>
      </c>
      <c r="K877" s="29" t="s">
        <v>1767</v>
      </c>
      <c r="L877" s="4"/>
      <c r="M877" s="3"/>
    </row>
    <row r="878" spans="1:13" x14ac:dyDescent="0.3">
      <c r="A878" s="3">
        <v>103</v>
      </c>
      <c r="B878" s="3">
        <v>103</v>
      </c>
      <c r="C878" s="4">
        <v>1878.1969999999999</v>
      </c>
      <c r="D878" s="4">
        <v>1878.1569999999999</v>
      </c>
      <c r="E878" s="4">
        <v>1878.2370000000001</v>
      </c>
      <c r="F878" s="4"/>
      <c r="G878" s="4"/>
      <c r="H878" s="25" t="s">
        <v>2454</v>
      </c>
      <c r="I878" s="4"/>
      <c r="J878" s="6">
        <v>0</v>
      </c>
      <c r="K878" s="30" t="s">
        <v>1767</v>
      </c>
      <c r="L878" s="4"/>
      <c r="M878" s="3"/>
    </row>
    <row r="879" spans="1:13" x14ac:dyDescent="0.3">
      <c r="A879" s="3">
        <v>103</v>
      </c>
      <c r="B879" s="3">
        <v>103</v>
      </c>
      <c r="C879" s="4">
        <v>1878.403</v>
      </c>
      <c r="D879" s="4">
        <v>1878.2370000000001</v>
      </c>
      <c r="E879" s="4">
        <v>1878.569</v>
      </c>
      <c r="F879" s="4"/>
      <c r="G879" s="4"/>
      <c r="H879" s="26" t="s">
        <v>2455</v>
      </c>
      <c r="I879" s="4"/>
      <c r="J879" s="6">
        <v>0</v>
      </c>
      <c r="K879" s="29" t="s">
        <v>1767</v>
      </c>
      <c r="L879" s="4"/>
      <c r="M879" s="3"/>
    </row>
    <row r="880" spans="1:13" x14ac:dyDescent="0.3">
      <c r="A880" s="3">
        <v>103</v>
      </c>
      <c r="B880" s="3">
        <v>103</v>
      </c>
      <c r="C880" s="4">
        <v>1878.6510000000001</v>
      </c>
      <c r="D880" s="4">
        <v>1878.569</v>
      </c>
      <c r="E880" s="4">
        <v>1878.732</v>
      </c>
      <c r="F880" s="4"/>
      <c r="G880" s="4"/>
      <c r="H880" s="25" t="s">
        <v>2456</v>
      </c>
      <c r="I880" s="4"/>
      <c r="J880" s="6">
        <v>0</v>
      </c>
      <c r="K880" s="30" t="s">
        <v>1767</v>
      </c>
      <c r="L880" s="4"/>
      <c r="M880" s="3"/>
    </row>
    <row r="881" spans="1:13" x14ac:dyDescent="0.3">
      <c r="A881" s="3">
        <v>103</v>
      </c>
      <c r="B881" s="3">
        <v>103</v>
      </c>
      <c r="C881" s="4">
        <v>1878.8979999999999</v>
      </c>
      <c r="D881" s="4">
        <v>1878.732</v>
      </c>
      <c r="E881" s="4">
        <v>1879.0630000000001</v>
      </c>
      <c r="F881" s="4"/>
      <c r="G881" s="4"/>
      <c r="H881" s="26" t="s">
        <v>2457</v>
      </c>
      <c r="I881" s="4"/>
      <c r="J881" s="6">
        <v>0</v>
      </c>
      <c r="K881" s="29" t="s">
        <v>1767</v>
      </c>
      <c r="L881" s="4"/>
      <c r="M881" s="3"/>
    </row>
    <row r="882" spans="1:13" x14ac:dyDescent="0.3">
      <c r="A882" s="3">
        <v>103</v>
      </c>
      <c r="B882" s="3">
        <v>103</v>
      </c>
      <c r="C882" s="4">
        <v>1879.107</v>
      </c>
      <c r="D882" s="4">
        <v>1879.0630000000001</v>
      </c>
      <c r="E882" s="4">
        <v>1879.15</v>
      </c>
      <c r="F882" s="4"/>
      <c r="G882" s="4"/>
      <c r="H882" s="25" t="s">
        <v>2458</v>
      </c>
      <c r="I882" s="4"/>
      <c r="J882" s="6">
        <v>0</v>
      </c>
      <c r="K882" s="30" t="s">
        <v>1767</v>
      </c>
      <c r="L882" s="4"/>
      <c r="M882" s="3"/>
    </row>
    <row r="883" spans="1:13" x14ac:dyDescent="0.3">
      <c r="A883" s="3">
        <v>103</v>
      </c>
      <c r="B883" s="3">
        <v>103</v>
      </c>
      <c r="C883" s="4">
        <v>1879.3320000000001</v>
      </c>
      <c r="D883" s="4">
        <v>1879.15</v>
      </c>
      <c r="E883" s="4">
        <v>1879.5129999999999</v>
      </c>
      <c r="F883" s="4"/>
      <c r="G883" s="4"/>
      <c r="H883" s="26" t="s">
        <v>2459</v>
      </c>
      <c r="I883" s="4"/>
      <c r="J883" s="6">
        <v>0</v>
      </c>
      <c r="K883" s="29" t="s">
        <v>1767</v>
      </c>
      <c r="L883" s="4"/>
      <c r="M883" s="3"/>
    </row>
    <row r="884" spans="1:13" x14ac:dyDescent="0.3">
      <c r="A884" s="3">
        <v>103</v>
      </c>
      <c r="B884" s="3">
        <v>103</v>
      </c>
      <c r="C884" s="4">
        <v>1879.5309999999999</v>
      </c>
      <c r="D884" s="4">
        <v>1879.5129999999999</v>
      </c>
      <c r="E884" s="4">
        <v>1879.548</v>
      </c>
      <c r="F884" s="4"/>
      <c r="G884" s="4"/>
      <c r="H884" s="25" t="s">
        <v>2460</v>
      </c>
      <c r="I884" s="4"/>
      <c r="J884" s="6">
        <v>0</v>
      </c>
      <c r="K884" s="30" t="s">
        <v>1767</v>
      </c>
      <c r="L884" s="4"/>
      <c r="M884" s="3"/>
    </row>
    <row r="885" spans="1:13" x14ac:dyDescent="0.3">
      <c r="A885" s="3">
        <v>103</v>
      </c>
      <c r="B885" s="3">
        <v>103</v>
      </c>
      <c r="C885" s="4">
        <v>1879.7260000000001</v>
      </c>
      <c r="D885" s="4">
        <v>1879.548</v>
      </c>
      <c r="E885" s="4">
        <v>1879.904</v>
      </c>
      <c r="F885" s="4"/>
      <c r="G885" s="4"/>
      <c r="H885" s="26" t="s">
        <v>2461</v>
      </c>
      <c r="I885" s="4"/>
      <c r="J885" s="6">
        <v>0</v>
      </c>
      <c r="K885" s="29" t="s">
        <v>1767</v>
      </c>
      <c r="L885" s="4"/>
      <c r="M885" s="3"/>
    </row>
    <row r="886" spans="1:13" x14ac:dyDescent="0.3">
      <c r="A886" s="3">
        <v>103</v>
      </c>
      <c r="B886" s="3">
        <v>103</v>
      </c>
      <c r="C886" s="4">
        <v>1879.9259999999999</v>
      </c>
      <c r="D886" s="4">
        <v>1879.904</v>
      </c>
      <c r="E886" s="4">
        <v>1879.9480000000001</v>
      </c>
      <c r="F886" s="4"/>
      <c r="G886" s="4"/>
      <c r="H886" s="25" t="s">
        <v>2462</v>
      </c>
      <c r="I886" s="4"/>
      <c r="J886" s="6">
        <v>0</v>
      </c>
      <c r="K886" s="30" t="s">
        <v>1767</v>
      </c>
      <c r="L886" s="4"/>
      <c r="M886" s="3"/>
    </row>
    <row r="887" spans="1:13" x14ac:dyDescent="0.3">
      <c r="A887" s="3">
        <v>103</v>
      </c>
      <c r="B887" s="3">
        <v>103</v>
      </c>
      <c r="C887" s="4">
        <v>1880.1389999999999</v>
      </c>
      <c r="D887" s="4">
        <v>1879.9480000000001</v>
      </c>
      <c r="E887" s="4">
        <v>1880.33</v>
      </c>
      <c r="F887" s="4"/>
      <c r="G887" s="4"/>
      <c r="H887" s="26" t="s">
        <v>2463</v>
      </c>
      <c r="I887" s="4"/>
      <c r="J887" s="6">
        <v>0</v>
      </c>
      <c r="K887" s="29" t="s">
        <v>1767</v>
      </c>
      <c r="L887" s="4"/>
      <c r="M887" s="3"/>
    </row>
    <row r="888" spans="1:13" x14ac:dyDescent="0.3">
      <c r="A888" s="3">
        <v>103</v>
      </c>
      <c r="B888" s="3">
        <v>103</v>
      </c>
      <c r="C888" s="4">
        <v>1880.434</v>
      </c>
      <c r="D888" s="4">
        <v>1880.33</v>
      </c>
      <c r="E888" s="4">
        <v>1880.538</v>
      </c>
      <c r="F888" s="4"/>
      <c r="G888" s="4"/>
      <c r="H888" s="25" t="s">
        <v>2464</v>
      </c>
      <c r="I888" s="4"/>
      <c r="J888" s="6">
        <v>0</v>
      </c>
      <c r="K888" s="30" t="s">
        <v>1767</v>
      </c>
      <c r="L888" s="4"/>
      <c r="M888" s="3"/>
    </row>
    <row r="889" spans="1:13" x14ac:dyDescent="0.3">
      <c r="A889" s="3">
        <v>103</v>
      </c>
      <c r="B889" s="3">
        <v>103</v>
      </c>
      <c r="C889" s="4">
        <v>1880.7940000000001</v>
      </c>
      <c r="D889" s="4">
        <v>1880.538</v>
      </c>
      <c r="E889" s="4">
        <v>1881.05</v>
      </c>
      <c r="F889" s="4"/>
      <c r="G889" s="4"/>
      <c r="H889" s="26" t="s">
        <v>2465</v>
      </c>
      <c r="I889" s="4"/>
      <c r="J889" s="6">
        <v>0</v>
      </c>
      <c r="K889" s="29" t="s">
        <v>1767</v>
      </c>
      <c r="L889" s="4"/>
      <c r="M889" s="3"/>
    </row>
    <row r="890" spans="1:13" x14ac:dyDescent="0.3">
      <c r="A890" s="3">
        <v>103</v>
      </c>
      <c r="B890" s="3">
        <v>103</v>
      </c>
      <c r="C890" s="4">
        <v>1881.0940000000001</v>
      </c>
      <c r="D890" s="4">
        <v>1881.05</v>
      </c>
      <c r="E890" s="4">
        <v>1881.1369999999999</v>
      </c>
      <c r="F890" s="4"/>
      <c r="G890" s="4"/>
      <c r="H890" s="25" t="s">
        <v>2466</v>
      </c>
      <c r="I890" s="4"/>
      <c r="J890" s="6">
        <v>0</v>
      </c>
      <c r="K890" s="30" t="s">
        <v>1767</v>
      </c>
      <c r="L890" s="4"/>
      <c r="M890" s="3"/>
    </row>
    <row r="891" spans="1:13" x14ac:dyDescent="0.3">
      <c r="A891" s="3">
        <v>103</v>
      </c>
      <c r="B891" s="3">
        <v>103</v>
      </c>
      <c r="C891" s="4">
        <v>1881.4349999999999</v>
      </c>
      <c r="D891" s="4">
        <v>1881.1369999999999</v>
      </c>
      <c r="E891" s="4">
        <v>1881.7329999999999</v>
      </c>
      <c r="F891" s="4"/>
      <c r="G891" s="4"/>
      <c r="H891" s="26" t="s">
        <v>2467</v>
      </c>
      <c r="I891" s="4"/>
      <c r="J891" s="6">
        <v>0</v>
      </c>
      <c r="K891" s="29" t="s">
        <v>1767</v>
      </c>
      <c r="L891" s="4"/>
      <c r="M891" s="3"/>
    </row>
    <row r="892" spans="1:13" x14ac:dyDescent="0.3">
      <c r="A892" s="3">
        <v>103</v>
      </c>
      <c r="B892" s="3">
        <v>103</v>
      </c>
      <c r="C892" s="4">
        <v>1881.758</v>
      </c>
      <c r="D892" s="4">
        <v>1881.7329999999999</v>
      </c>
      <c r="E892" s="4">
        <v>1881.7819999999999</v>
      </c>
      <c r="F892" s="4"/>
      <c r="G892" s="4"/>
      <c r="H892" s="25" t="s">
        <v>2468</v>
      </c>
      <c r="I892" s="4"/>
      <c r="J892" s="6">
        <v>0</v>
      </c>
      <c r="K892" s="30" t="s">
        <v>1767</v>
      </c>
      <c r="L892" s="4"/>
      <c r="M892" s="3"/>
    </row>
    <row r="893" spans="1:13" x14ac:dyDescent="0.3">
      <c r="A893" s="3">
        <v>103</v>
      </c>
      <c r="B893" s="3">
        <v>103</v>
      </c>
      <c r="C893" s="4">
        <v>1882.0029999999999</v>
      </c>
      <c r="D893" s="4">
        <v>1881.7819999999999</v>
      </c>
      <c r="E893" s="4">
        <v>1882.2239999999999</v>
      </c>
      <c r="F893" s="4"/>
      <c r="G893" s="4"/>
      <c r="H893" s="26" t="s">
        <v>2469</v>
      </c>
      <c r="I893" s="4"/>
      <c r="J893" s="6">
        <v>0</v>
      </c>
      <c r="K893" s="29" t="s">
        <v>1767</v>
      </c>
      <c r="L893" s="4"/>
      <c r="M893" s="3"/>
    </row>
    <row r="894" spans="1:13" x14ac:dyDescent="0.3">
      <c r="A894" s="3">
        <v>103</v>
      </c>
      <c r="B894" s="3">
        <v>103</v>
      </c>
      <c r="C894" s="4">
        <v>1882.3679999999999</v>
      </c>
      <c r="D894" s="4">
        <v>1882.2239999999999</v>
      </c>
      <c r="E894" s="4">
        <v>1882.511</v>
      </c>
      <c r="F894" s="4"/>
      <c r="G894" s="4"/>
      <c r="H894" s="25" t="s">
        <v>2470</v>
      </c>
      <c r="I894" s="4"/>
      <c r="J894" s="6">
        <v>0</v>
      </c>
      <c r="K894" s="30" t="s">
        <v>1767</v>
      </c>
      <c r="L894" s="4"/>
      <c r="M894" s="3"/>
    </row>
    <row r="895" spans="1:13" x14ac:dyDescent="0.3">
      <c r="A895" s="3">
        <v>103</v>
      </c>
      <c r="B895" s="3">
        <v>103</v>
      </c>
      <c r="C895" s="4">
        <v>1882.6980000000001</v>
      </c>
      <c r="D895" s="4">
        <v>1882.511</v>
      </c>
      <c r="E895" s="4">
        <v>1882.884</v>
      </c>
      <c r="F895" s="4"/>
      <c r="G895" s="4"/>
      <c r="H895" s="26" t="s">
        <v>2471</v>
      </c>
      <c r="I895" s="4"/>
      <c r="J895" s="6">
        <v>0</v>
      </c>
      <c r="K895" s="29" t="s">
        <v>1767</v>
      </c>
      <c r="L895" s="4"/>
      <c r="M895" s="3"/>
    </row>
    <row r="896" spans="1:13" x14ac:dyDescent="0.3">
      <c r="A896" s="3">
        <v>103</v>
      </c>
      <c r="B896" s="3">
        <v>103</v>
      </c>
      <c r="C896" s="4">
        <v>1882.9</v>
      </c>
      <c r="D896" s="4">
        <v>1882.884</v>
      </c>
      <c r="E896" s="4">
        <v>1882.9159999999999</v>
      </c>
      <c r="F896" s="4"/>
      <c r="G896" s="4"/>
      <c r="H896" s="25" t="s">
        <v>2472</v>
      </c>
      <c r="I896" s="4"/>
      <c r="J896" s="6">
        <v>0</v>
      </c>
      <c r="K896" s="30" t="s">
        <v>1767</v>
      </c>
      <c r="L896" s="4"/>
      <c r="M896" s="3"/>
    </row>
    <row r="897" spans="1:13" x14ac:dyDescent="0.3">
      <c r="A897" s="3">
        <v>103</v>
      </c>
      <c r="B897" s="3">
        <v>103</v>
      </c>
      <c r="C897" s="4">
        <v>1883.223</v>
      </c>
      <c r="D897" s="4">
        <v>1882.9159999999999</v>
      </c>
      <c r="E897" s="4">
        <v>1883.53</v>
      </c>
      <c r="F897" s="4"/>
      <c r="G897" s="4"/>
      <c r="H897" s="26" t="s">
        <v>2473</v>
      </c>
      <c r="I897" s="4"/>
      <c r="J897" s="6">
        <v>0</v>
      </c>
      <c r="K897" s="29" t="s">
        <v>1767</v>
      </c>
      <c r="L897" s="4"/>
      <c r="M897" s="3"/>
    </row>
    <row r="898" spans="1:13" x14ac:dyDescent="0.3">
      <c r="A898" s="3">
        <v>103</v>
      </c>
      <c r="B898" s="3">
        <v>103</v>
      </c>
      <c r="C898" s="4">
        <v>1883.547</v>
      </c>
      <c r="D898" s="4">
        <v>1883.53</v>
      </c>
      <c r="E898" s="4">
        <v>1883.5630000000001</v>
      </c>
      <c r="F898" s="4"/>
      <c r="G898" s="4"/>
      <c r="H898" s="25" t="s">
        <v>2474</v>
      </c>
      <c r="I898" s="4"/>
      <c r="J898" s="6">
        <v>0</v>
      </c>
      <c r="K898" s="30" t="s">
        <v>1767</v>
      </c>
      <c r="L898" s="4"/>
      <c r="M898" s="3"/>
    </row>
    <row r="899" spans="1:13" x14ac:dyDescent="0.3">
      <c r="A899" s="3">
        <v>103</v>
      </c>
      <c r="B899" s="3">
        <v>103</v>
      </c>
      <c r="C899" s="4">
        <v>1883.7339999999999</v>
      </c>
      <c r="D899" s="4">
        <v>1883.5630000000001</v>
      </c>
      <c r="E899" s="4">
        <v>1883.904</v>
      </c>
      <c r="F899" s="4"/>
      <c r="G899" s="4"/>
      <c r="H899" s="26" t="s">
        <v>2475</v>
      </c>
      <c r="I899" s="4"/>
      <c r="J899" s="6">
        <v>0</v>
      </c>
      <c r="K899" s="29" t="s">
        <v>1767</v>
      </c>
      <c r="L899" s="4"/>
      <c r="M899" s="3"/>
    </row>
    <row r="900" spans="1:13" x14ac:dyDescent="0.3">
      <c r="A900" s="3">
        <v>103</v>
      </c>
      <c r="B900" s="3">
        <v>103</v>
      </c>
      <c r="C900" s="4">
        <v>1883.9559999999999</v>
      </c>
      <c r="D900" s="4">
        <v>1883.904</v>
      </c>
      <c r="E900" s="4">
        <v>1884.0070000000001</v>
      </c>
      <c r="F900" s="4"/>
      <c r="G900" s="4"/>
      <c r="H900" s="25" t="s">
        <v>2476</v>
      </c>
      <c r="I900" s="4"/>
      <c r="J900" s="6">
        <v>0</v>
      </c>
      <c r="K900" s="30" t="s">
        <v>1767</v>
      </c>
      <c r="L900" s="4"/>
      <c r="M900" s="3"/>
    </row>
    <row r="901" spans="1:13" x14ac:dyDescent="0.3">
      <c r="A901" s="3">
        <v>103</v>
      </c>
      <c r="B901" s="3">
        <v>103</v>
      </c>
      <c r="C901" s="4">
        <v>1884.124</v>
      </c>
      <c r="D901" s="4">
        <v>1884.0070000000001</v>
      </c>
      <c r="E901" s="4">
        <v>1884.24</v>
      </c>
      <c r="F901" s="4"/>
      <c r="G901" s="4"/>
      <c r="H901" s="26" t="s">
        <v>2477</v>
      </c>
      <c r="I901" s="4"/>
      <c r="J901" s="6">
        <v>0</v>
      </c>
      <c r="K901" s="29" t="s">
        <v>1767</v>
      </c>
      <c r="L901" s="4"/>
      <c r="M901" s="3"/>
    </row>
    <row r="902" spans="1:13" x14ac:dyDescent="0.3">
      <c r="A902" s="3">
        <v>103</v>
      </c>
      <c r="B902" s="3">
        <v>103</v>
      </c>
      <c r="C902" s="4">
        <v>1884.337</v>
      </c>
      <c r="D902" s="4">
        <v>1884.24</v>
      </c>
      <c r="E902" s="4">
        <v>1884.434</v>
      </c>
      <c r="F902" s="4"/>
      <c r="G902" s="4"/>
      <c r="H902" s="25" t="s">
        <v>2478</v>
      </c>
      <c r="I902" s="4"/>
      <c r="J902" s="6">
        <v>0</v>
      </c>
      <c r="K902" s="30" t="s">
        <v>1767</v>
      </c>
      <c r="L902" s="4"/>
      <c r="M902" s="3"/>
    </row>
    <row r="903" spans="1:13" x14ac:dyDescent="0.3">
      <c r="A903" s="3">
        <v>103</v>
      </c>
      <c r="B903" s="3">
        <v>103</v>
      </c>
      <c r="C903" s="4">
        <v>1884.624</v>
      </c>
      <c r="D903" s="4">
        <v>1884.434</v>
      </c>
      <c r="E903" s="4">
        <v>1884.8130000000001</v>
      </c>
      <c r="F903" s="4"/>
      <c r="G903" s="4"/>
      <c r="H903" s="26" t="s">
        <v>2479</v>
      </c>
      <c r="I903" s="4"/>
      <c r="J903" s="6">
        <v>0</v>
      </c>
      <c r="K903" s="29" t="s">
        <v>1767</v>
      </c>
      <c r="L903" s="4"/>
      <c r="M903" s="3"/>
    </row>
    <row r="904" spans="1:13" x14ac:dyDescent="0.3">
      <c r="A904" s="3">
        <v>103</v>
      </c>
      <c r="B904" s="3">
        <v>103</v>
      </c>
      <c r="C904" s="4">
        <v>1884.982</v>
      </c>
      <c r="D904" s="4">
        <v>1884.8130000000001</v>
      </c>
      <c r="E904" s="4">
        <v>1885.1510000000001</v>
      </c>
      <c r="F904" s="4"/>
      <c r="G904" s="4"/>
      <c r="H904" s="25" t="s">
        <v>2480</v>
      </c>
      <c r="I904" s="4"/>
      <c r="J904" s="6">
        <v>0</v>
      </c>
      <c r="K904" s="30" t="s">
        <v>1767</v>
      </c>
      <c r="L904" s="4"/>
      <c r="M904" s="3"/>
    </row>
    <row r="905" spans="1:13" x14ac:dyDescent="0.3">
      <c r="A905" s="3">
        <v>103</v>
      </c>
      <c r="B905" s="3">
        <v>103</v>
      </c>
      <c r="C905" s="4">
        <v>1885.299</v>
      </c>
      <c r="D905" s="4">
        <v>1885.1510000000001</v>
      </c>
      <c r="E905" s="4">
        <v>1885.4469999999999</v>
      </c>
      <c r="F905" s="4"/>
      <c r="G905" s="4"/>
      <c r="H905" s="26" t="s">
        <v>2481</v>
      </c>
      <c r="I905" s="4"/>
      <c r="J905" s="6">
        <v>0</v>
      </c>
      <c r="K905" s="29" t="s">
        <v>1767</v>
      </c>
      <c r="L905" s="4"/>
      <c r="M905" s="3"/>
    </row>
    <row r="906" spans="1:13" x14ac:dyDescent="0.3">
      <c r="A906" s="3">
        <v>103</v>
      </c>
      <c r="B906" s="3">
        <v>103</v>
      </c>
      <c r="C906" s="4">
        <v>1885.4970000000001</v>
      </c>
      <c r="D906" s="4">
        <v>1885.4469999999999</v>
      </c>
      <c r="E906" s="4">
        <v>1885.547</v>
      </c>
      <c r="F906" s="4"/>
      <c r="G906" s="4"/>
      <c r="H906" s="25" t="s">
        <v>2482</v>
      </c>
      <c r="I906" s="4"/>
      <c r="J906" s="6">
        <v>0</v>
      </c>
      <c r="K906" s="30" t="s">
        <v>1767</v>
      </c>
      <c r="L906" s="4"/>
      <c r="M906" s="3"/>
    </row>
    <row r="907" spans="1:13" x14ac:dyDescent="0.3">
      <c r="A907" s="3">
        <v>103</v>
      </c>
      <c r="B907" s="3">
        <v>103</v>
      </c>
      <c r="C907" s="4">
        <v>1885.8589999999999</v>
      </c>
      <c r="D907" s="4">
        <v>1885.547</v>
      </c>
      <c r="E907" s="4">
        <v>1886.171</v>
      </c>
      <c r="F907" s="4"/>
      <c r="G907" s="4"/>
      <c r="H907" s="26" t="s">
        <v>2483</v>
      </c>
      <c r="I907" s="4"/>
      <c r="J907" s="6">
        <v>0</v>
      </c>
      <c r="K907" s="29" t="s">
        <v>1767</v>
      </c>
      <c r="L907" s="4"/>
      <c r="M907" s="3"/>
    </row>
    <row r="908" spans="1:13" x14ac:dyDescent="0.3">
      <c r="A908" s="3">
        <v>103</v>
      </c>
      <c r="B908" s="3">
        <v>103</v>
      </c>
      <c r="C908" s="4">
        <v>1886.1959999999999</v>
      </c>
      <c r="D908" s="4">
        <v>1886.171</v>
      </c>
      <c r="E908" s="4">
        <v>1886.22</v>
      </c>
      <c r="F908" s="4"/>
      <c r="G908" s="4"/>
      <c r="H908" s="25" t="s">
        <v>2484</v>
      </c>
      <c r="I908" s="4"/>
      <c r="J908" s="6">
        <v>0</v>
      </c>
      <c r="K908" s="30" t="s">
        <v>1767</v>
      </c>
      <c r="L908" s="4"/>
      <c r="M908" s="3"/>
    </row>
    <row r="909" spans="1:13" x14ac:dyDescent="0.3">
      <c r="A909" s="3">
        <v>103</v>
      </c>
      <c r="B909" s="3">
        <v>103</v>
      </c>
      <c r="C909" s="4">
        <v>1886.3820000000001</v>
      </c>
      <c r="D909" s="4">
        <v>1886.22</v>
      </c>
      <c r="E909" s="4">
        <v>1886.5429999999999</v>
      </c>
      <c r="F909" s="4"/>
      <c r="G909" s="4"/>
      <c r="H909" s="26" t="s">
        <v>2485</v>
      </c>
      <c r="I909" s="4"/>
      <c r="J909" s="6">
        <v>0</v>
      </c>
      <c r="K909" s="29" t="s">
        <v>1767</v>
      </c>
      <c r="L909" s="4"/>
      <c r="M909" s="3"/>
    </row>
    <row r="910" spans="1:13" x14ac:dyDescent="0.3">
      <c r="A910" s="3">
        <v>103</v>
      </c>
      <c r="B910" s="3">
        <v>103</v>
      </c>
      <c r="C910" s="4">
        <v>1886.663</v>
      </c>
      <c r="D910" s="4">
        <v>1886.5429999999999</v>
      </c>
      <c r="E910" s="4">
        <v>1886.7819999999999</v>
      </c>
      <c r="F910" s="4"/>
      <c r="G910" s="4"/>
      <c r="H910" s="25" t="s">
        <v>2486</v>
      </c>
      <c r="I910" s="4"/>
      <c r="J910" s="6">
        <v>0</v>
      </c>
      <c r="K910" s="30" t="s">
        <v>1767</v>
      </c>
      <c r="L910" s="4"/>
      <c r="M910" s="3"/>
    </row>
    <row r="911" spans="1:13" x14ac:dyDescent="0.3">
      <c r="A911" s="3">
        <v>103</v>
      </c>
      <c r="B911" s="3">
        <v>103</v>
      </c>
      <c r="C911" s="4">
        <v>1887.1079999999999</v>
      </c>
      <c r="D911" s="4">
        <v>1886.7819999999999</v>
      </c>
      <c r="E911" s="4">
        <v>1887.433</v>
      </c>
      <c r="F911" s="4"/>
      <c r="G911" s="4"/>
      <c r="H911" s="26" t="s">
        <v>2487</v>
      </c>
      <c r="I911" s="4"/>
      <c r="J911" s="6">
        <v>0</v>
      </c>
      <c r="K911" s="29" t="s">
        <v>1767</v>
      </c>
      <c r="L911" s="4"/>
      <c r="M911" s="3"/>
    </row>
    <row r="912" spans="1:13" x14ac:dyDescent="0.3">
      <c r="A912" s="3">
        <v>103</v>
      </c>
      <c r="B912" s="3">
        <v>103</v>
      </c>
      <c r="C912" s="4">
        <v>1887.4490000000001</v>
      </c>
      <c r="D912" s="4">
        <v>1887.433</v>
      </c>
      <c r="E912" s="4">
        <v>1887.4639999999999</v>
      </c>
      <c r="F912" s="4"/>
      <c r="G912" s="4"/>
      <c r="H912" s="25" t="s">
        <v>2488</v>
      </c>
      <c r="I912" s="4"/>
      <c r="J912" s="6">
        <v>0</v>
      </c>
      <c r="K912" s="30" t="s">
        <v>1767</v>
      </c>
      <c r="L912" s="4"/>
      <c r="M912" s="3"/>
    </row>
    <row r="913" spans="1:13" x14ac:dyDescent="0.3">
      <c r="A913" s="3">
        <v>103</v>
      </c>
      <c r="B913" s="3">
        <v>103</v>
      </c>
      <c r="C913" s="4">
        <v>1887.771</v>
      </c>
      <c r="D913" s="4">
        <v>1887.4639999999999</v>
      </c>
      <c r="E913" s="4">
        <v>1888.078</v>
      </c>
      <c r="F913" s="4"/>
      <c r="G913" s="4"/>
      <c r="H913" s="26" t="s">
        <v>2489</v>
      </c>
      <c r="I913" s="4"/>
      <c r="J913" s="6">
        <v>0</v>
      </c>
      <c r="K913" s="29" t="s">
        <v>1767</v>
      </c>
      <c r="L913" s="4"/>
      <c r="M913" s="3"/>
    </row>
    <row r="914" spans="1:13" x14ac:dyDescent="0.3">
      <c r="A914" s="3">
        <v>103</v>
      </c>
      <c r="B914" s="3">
        <v>103</v>
      </c>
      <c r="C914" s="4">
        <v>1888.1690000000001</v>
      </c>
      <c r="D914" s="4">
        <v>1888.078</v>
      </c>
      <c r="E914" s="4">
        <v>1888.26</v>
      </c>
      <c r="F914" s="4"/>
      <c r="G914" s="4"/>
      <c r="H914" s="25" t="s">
        <v>2490</v>
      </c>
      <c r="I914" s="4"/>
      <c r="J914" s="6">
        <v>0</v>
      </c>
      <c r="K914" s="30" t="s">
        <v>1767</v>
      </c>
      <c r="L914" s="4"/>
      <c r="M914" s="3"/>
    </row>
    <row r="915" spans="1:13" x14ac:dyDescent="0.3">
      <c r="A915" s="3">
        <v>103</v>
      </c>
      <c r="B915" s="3">
        <v>103</v>
      </c>
      <c r="C915" s="4">
        <v>1888.4580000000001</v>
      </c>
      <c r="D915" s="4">
        <v>1888.26</v>
      </c>
      <c r="E915" s="4">
        <v>1888.655</v>
      </c>
      <c r="F915" s="4"/>
      <c r="G915" s="4"/>
      <c r="H915" s="26" t="s">
        <v>2491</v>
      </c>
      <c r="I915" s="4"/>
      <c r="J915" s="6">
        <v>0</v>
      </c>
      <c r="K915" s="29" t="s">
        <v>1767</v>
      </c>
      <c r="L915" s="4"/>
      <c r="M915" s="3"/>
    </row>
    <row r="916" spans="1:13" x14ac:dyDescent="0.3">
      <c r="A916" s="3">
        <v>103</v>
      </c>
      <c r="B916" s="3">
        <v>103</v>
      </c>
      <c r="C916" s="4">
        <v>1888.789</v>
      </c>
      <c r="D916" s="4">
        <v>1888.655</v>
      </c>
      <c r="E916" s="4">
        <v>1888.923</v>
      </c>
      <c r="F916" s="4"/>
      <c r="G916" s="4"/>
      <c r="H916" s="25" t="s">
        <v>2492</v>
      </c>
      <c r="I916" s="4"/>
      <c r="J916" s="6">
        <v>0</v>
      </c>
      <c r="K916" s="30" t="s">
        <v>1767</v>
      </c>
      <c r="L916" s="4"/>
      <c r="M916" s="3"/>
    </row>
    <row r="917" spans="1:13" x14ac:dyDescent="0.3">
      <c r="A917" s="3">
        <v>103</v>
      </c>
      <c r="B917" s="3">
        <v>103</v>
      </c>
      <c r="C917" s="4">
        <v>1889.271</v>
      </c>
      <c r="D917" s="4">
        <v>1888.923</v>
      </c>
      <c r="E917" s="4">
        <v>1889.6179999999999</v>
      </c>
      <c r="F917" s="4"/>
      <c r="G917" s="4"/>
      <c r="H917" s="26" t="s">
        <v>2493</v>
      </c>
      <c r="I917" s="4"/>
      <c r="J917" s="6">
        <v>0</v>
      </c>
      <c r="K917" s="29" t="s">
        <v>1767</v>
      </c>
      <c r="L917" s="4"/>
      <c r="M917" s="3"/>
    </row>
    <row r="918" spans="1:13" x14ac:dyDescent="0.3">
      <c r="A918" s="3">
        <v>103</v>
      </c>
      <c r="B918" s="3">
        <v>103</v>
      </c>
      <c r="C918" s="4">
        <v>1889.941</v>
      </c>
      <c r="D918" s="4">
        <v>1889.6179999999999</v>
      </c>
      <c r="E918" s="4">
        <v>1890.2629999999999</v>
      </c>
      <c r="F918" s="4"/>
      <c r="G918" s="4"/>
      <c r="H918" s="25" t="s">
        <v>2494</v>
      </c>
      <c r="I918" s="4"/>
      <c r="J918" s="6">
        <v>0</v>
      </c>
      <c r="K918" s="30" t="s">
        <v>1767</v>
      </c>
      <c r="L918" s="4"/>
      <c r="M918" s="3"/>
    </row>
    <row r="919" spans="1:13" x14ac:dyDescent="0.3">
      <c r="A919" s="3">
        <v>103</v>
      </c>
      <c r="B919" s="3">
        <v>103</v>
      </c>
      <c r="C919" s="4">
        <v>1890.7550000000001</v>
      </c>
      <c r="D919" s="4">
        <v>1890.2629999999999</v>
      </c>
      <c r="E919" s="4">
        <v>1891.2460000000001</v>
      </c>
      <c r="F919" s="4"/>
      <c r="G919" s="4"/>
      <c r="H919" s="26" t="s">
        <v>2495</v>
      </c>
      <c r="I919" s="4"/>
      <c r="J919" s="6">
        <v>0</v>
      </c>
      <c r="K919" s="29" t="s">
        <v>1767</v>
      </c>
      <c r="L919" s="4"/>
      <c r="M919" s="3"/>
    </row>
    <row r="920" spans="1:13" x14ac:dyDescent="0.3">
      <c r="A920" s="3">
        <v>103</v>
      </c>
      <c r="B920" s="3">
        <v>103</v>
      </c>
      <c r="C920" s="4">
        <v>1891.402</v>
      </c>
      <c r="D920" s="4">
        <v>1891.2460000000001</v>
      </c>
      <c r="E920" s="4">
        <v>1891.557</v>
      </c>
      <c r="F920" s="4"/>
      <c r="G920" s="4"/>
      <c r="H920" s="25" t="s">
        <v>2496</v>
      </c>
      <c r="I920" s="4"/>
      <c r="J920" s="6">
        <v>0</v>
      </c>
      <c r="K920" s="30" t="s">
        <v>1767</v>
      </c>
      <c r="L920" s="4"/>
      <c r="M920" s="3"/>
    </row>
    <row r="921" spans="1:13" x14ac:dyDescent="0.3">
      <c r="A921" s="3">
        <v>103</v>
      </c>
      <c r="B921" s="3">
        <v>103</v>
      </c>
      <c r="C921" s="4">
        <v>1891.7059999999999</v>
      </c>
      <c r="D921" s="4">
        <v>1891.557</v>
      </c>
      <c r="E921" s="4">
        <v>1891.855</v>
      </c>
      <c r="F921" s="4"/>
      <c r="G921" s="4"/>
      <c r="H921" s="26" t="s">
        <v>2497</v>
      </c>
      <c r="I921" s="4"/>
      <c r="J921" s="6">
        <v>0</v>
      </c>
      <c r="K921" s="29" t="s">
        <v>1767</v>
      </c>
      <c r="L921" s="4"/>
      <c r="M921" s="3"/>
    </row>
    <row r="922" spans="1:13" x14ac:dyDescent="0.3">
      <c r="A922" s="3">
        <v>103</v>
      </c>
      <c r="B922" s="3">
        <v>103</v>
      </c>
      <c r="C922" s="4">
        <v>1892.02</v>
      </c>
      <c r="D922" s="4">
        <v>1891.855</v>
      </c>
      <c r="E922" s="4">
        <v>1892.184</v>
      </c>
      <c r="F922" s="4"/>
      <c r="G922" s="4"/>
      <c r="H922" s="25" t="s">
        <v>2498</v>
      </c>
      <c r="I922" s="4"/>
      <c r="J922" s="6">
        <v>0</v>
      </c>
      <c r="K922" s="30" t="s">
        <v>1767</v>
      </c>
      <c r="L922" s="4"/>
      <c r="M922" s="3"/>
    </row>
    <row r="923" spans="1:13" x14ac:dyDescent="0.3">
      <c r="A923" s="3">
        <v>103</v>
      </c>
      <c r="B923" s="3">
        <v>103</v>
      </c>
      <c r="C923" s="4">
        <v>1892.4839999999999</v>
      </c>
      <c r="D923" s="4">
        <v>1892.184</v>
      </c>
      <c r="E923" s="4">
        <v>1892.7829999999999</v>
      </c>
      <c r="F923" s="4"/>
      <c r="G923" s="4"/>
      <c r="H923" s="26" t="s">
        <v>2499</v>
      </c>
      <c r="I923" s="4"/>
      <c r="J923" s="6">
        <v>0</v>
      </c>
      <c r="K923" s="29" t="s">
        <v>1767</v>
      </c>
      <c r="L923" s="4"/>
      <c r="M923" s="3"/>
    </row>
    <row r="924" spans="1:13" x14ac:dyDescent="0.3">
      <c r="A924" s="3">
        <v>103</v>
      </c>
      <c r="B924" s="3">
        <v>103</v>
      </c>
      <c r="C924" s="4">
        <v>1892.865</v>
      </c>
      <c r="D924" s="4">
        <v>1892.7829999999999</v>
      </c>
      <c r="E924" s="4">
        <v>1892.9469999999999</v>
      </c>
      <c r="F924" s="4"/>
      <c r="G924" s="4"/>
      <c r="H924" s="25" t="s">
        <v>2500</v>
      </c>
      <c r="I924" s="4"/>
      <c r="J924" s="6">
        <v>0</v>
      </c>
      <c r="K924" s="30" t="s">
        <v>1767</v>
      </c>
      <c r="L924" s="4"/>
      <c r="M924" s="3"/>
    </row>
    <row r="925" spans="1:13" x14ac:dyDescent="0.3">
      <c r="A925" s="3">
        <v>103</v>
      </c>
      <c r="B925" s="3">
        <v>103</v>
      </c>
      <c r="C925" s="4">
        <v>1893.3040000000001</v>
      </c>
      <c r="D925" s="4">
        <v>1892.9469999999999</v>
      </c>
      <c r="E925" s="4">
        <v>1893.6610000000001</v>
      </c>
      <c r="F925" s="4"/>
      <c r="G925" s="4"/>
      <c r="H925" s="26" t="s">
        <v>2501</v>
      </c>
      <c r="I925" s="4"/>
      <c r="J925" s="6">
        <v>0</v>
      </c>
      <c r="K925" s="29" t="s">
        <v>1767</v>
      </c>
      <c r="L925" s="4"/>
      <c r="M925" s="3"/>
    </row>
    <row r="926" spans="1:13" x14ac:dyDescent="0.3">
      <c r="A926" s="3">
        <v>103</v>
      </c>
      <c r="B926" s="3">
        <v>103</v>
      </c>
      <c r="C926" s="4">
        <v>1893.7940000000001</v>
      </c>
      <c r="D926" s="4">
        <v>1893.6610000000001</v>
      </c>
      <c r="E926" s="4">
        <v>1893.9259999999999</v>
      </c>
      <c r="F926" s="4"/>
      <c r="G926" s="4"/>
      <c r="H926" s="25" t="s">
        <v>2502</v>
      </c>
      <c r="I926" s="4"/>
      <c r="J926" s="6">
        <v>0</v>
      </c>
      <c r="K926" s="30" t="s">
        <v>1767</v>
      </c>
      <c r="L926" s="4"/>
      <c r="M926" s="3"/>
    </row>
    <row r="927" spans="1:13" x14ac:dyDescent="0.3">
      <c r="A927" s="3">
        <v>103</v>
      </c>
      <c r="B927" s="3">
        <v>103</v>
      </c>
      <c r="C927" s="4">
        <v>1894.3389999999999</v>
      </c>
      <c r="D927" s="4">
        <v>1893.9259999999999</v>
      </c>
      <c r="E927" s="4">
        <v>1894.752</v>
      </c>
      <c r="F927" s="4"/>
      <c r="G927" s="4"/>
      <c r="H927" s="26" t="s">
        <v>2503</v>
      </c>
      <c r="I927" s="4"/>
      <c r="J927" s="6">
        <v>0</v>
      </c>
      <c r="K927" s="29" t="s">
        <v>1767</v>
      </c>
      <c r="L927" s="4"/>
      <c r="M927" s="3"/>
    </row>
    <row r="928" spans="1:13" x14ac:dyDescent="0.3">
      <c r="A928" s="3">
        <v>103</v>
      </c>
      <c r="B928" s="3">
        <v>103</v>
      </c>
      <c r="C928" s="4">
        <v>1895.2819999999999</v>
      </c>
      <c r="D928" s="4">
        <v>1894.752</v>
      </c>
      <c r="E928" s="4">
        <v>1895.8119999999999</v>
      </c>
      <c r="F928" s="4"/>
      <c r="G928" s="4"/>
      <c r="H928" s="25" t="s">
        <v>2504</v>
      </c>
      <c r="I928" s="4"/>
      <c r="J928" s="6">
        <v>0</v>
      </c>
      <c r="K928" s="30" t="s">
        <v>1767</v>
      </c>
      <c r="L928" s="4"/>
      <c r="M928" s="3"/>
    </row>
    <row r="929" spans="1:13" x14ac:dyDescent="0.3">
      <c r="A929" s="3">
        <v>103</v>
      </c>
      <c r="B929" s="3">
        <v>103</v>
      </c>
      <c r="C929" s="4">
        <v>1896.2909999999999</v>
      </c>
      <c r="D929" s="4">
        <v>1895.8119999999999</v>
      </c>
      <c r="E929" s="4">
        <v>1896.769</v>
      </c>
      <c r="F929" s="4"/>
      <c r="G929" s="4"/>
      <c r="H929" s="26" t="s">
        <v>2505</v>
      </c>
      <c r="I929" s="4"/>
      <c r="J929" s="6">
        <v>0</v>
      </c>
      <c r="K929" s="29" t="s">
        <v>1767</v>
      </c>
      <c r="L929" s="4"/>
      <c r="M929" s="3"/>
    </row>
    <row r="930" spans="1:13" x14ac:dyDescent="0.3">
      <c r="A930" s="3">
        <v>103</v>
      </c>
      <c r="B930" s="3">
        <v>103</v>
      </c>
      <c r="C930" s="4">
        <v>1897.229</v>
      </c>
      <c r="D930" s="4">
        <v>1896.769</v>
      </c>
      <c r="E930" s="4">
        <v>1897.6890000000001</v>
      </c>
      <c r="F930" s="4"/>
      <c r="G930" s="4"/>
      <c r="H930" s="25" t="s">
        <v>2506</v>
      </c>
      <c r="I930" s="4"/>
      <c r="J930" s="6">
        <v>0</v>
      </c>
      <c r="K930" s="30" t="s">
        <v>1767</v>
      </c>
      <c r="L930" s="4"/>
      <c r="M930" s="3"/>
    </row>
    <row r="931" spans="1:13" x14ac:dyDescent="0.3">
      <c r="A931" s="3">
        <v>103</v>
      </c>
      <c r="B931" s="3">
        <v>103</v>
      </c>
      <c r="C931" s="4">
        <v>1898.115</v>
      </c>
      <c r="D931" s="4">
        <v>1897.6890000000001</v>
      </c>
      <c r="E931" s="4">
        <v>1898.54</v>
      </c>
      <c r="F931" s="4"/>
      <c r="G931" s="4"/>
      <c r="H931" s="26" t="s">
        <v>2507</v>
      </c>
      <c r="I931" s="4"/>
      <c r="J931" s="6">
        <v>0</v>
      </c>
      <c r="K931" s="29" t="s">
        <v>1767</v>
      </c>
      <c r="L931" s="4"/>
      <c r="M931" s="3"/>
    </row>
    <row r="932" spans="1:13" x14ac:dyDescent="0.3">
      <c r="A932" s="3">
        <v>103</v>
      </c>
      <c r="B932" s="3">
        <v>103</v>
      </c>
      <c r="C932" s="4">
        <v>1898.826</v>
      </c>
      <c r="D932" s="4">
        <v>1898.54</v>
      </c>
      <c r="E932" s="4">
        <v>1899.1110000000001</v>
      </c>
      <c r="F932" s="4"/>
      <c r="G932" s="4"/>
      <c r="H932" s="25" t="s">
        <v>2508</v>
      </c>
      <c r="I932" s="4"/>
      <c r="J932" s="6">
        <v>0</v>
      </c>
      <c r="K932" s="30" t="s">
        <v>1767</v>
      </c>
      <c r="L932" s="4"/>
      <c r="M932" s="3"/>
    </row>
    <row r="933" spans="1:13" x14ac:dyDescent="0.3">
      <c r="A933" s="3">
        <v>103</v>
      </c>
      <c r="B933" s="3">
        <v>103</v>
      </c>
      <c r="C933" s="4">
        <v>1899.4269999999999</v>
      </c>
      <c r="D933" s="4">
        <v>1899.1110000000001</v>
      </c>
      <c r="E933" s="4">
        <v>1899.7429999999999</v>
      </c>
      <c r="F933" s="4"/>
      <c r="G933" s="4"/>
      <c r="H933" s="26" t="s">
        <v>2509</v>
      </c>
      <c r="I933" s="4"/>
      <c r="J933" s="6">
        <v>0</v>
      </c>
      <c r="K933" s="29" t="s">
        <v>1767</v>
      </c>
      <c r="L933" s="4"/>
      <c r="M933" s="3"/>
    </row>
    <row r="934" spans="1:13" x14ac:dyDescent="0.3">
      <c r="A934" s="3">
        <v>103</v>
      </c>
      <c r="B934" s="3">
        <v>103</v>
      </c>
      <c r="C934" s="4">
        <v>1900.174</v>
      </c>
      <c r="D934" s="4">
        <v>1899.7429999999999</v>
      </c>
      <c r="E934" s="4">
        <v>1900.604</v>
      </c>
      <c r="F934" s="4"/>
      <c r="G934" s="4"/>
      <c r="H934" s="25" t="s">
        <v>2510</v>
      </c>
      <c r="I934" s="4"/>
      <c r="J934" s="6">
        <v>0</v>
      </c>
      <c r="K934" s="30" t="s">
        <v>1767</v>
      </c>
      <c r="L934" s="4"/>
      <c r="M934" s="3"/>
    </row>
    <row r="935" spans="1:13" x14ac:dyDescent="0.3">
      <c r="A935" s="3">
        <v>103</v>
      </c>
      <c r="B935" s="3">
        <v>103</v>
      </c>
      <c r="C935" s="4">
        <v>1900.7329999999999</v>
      </c>
      <c r="D935" s="4">
        <v>1900.604</v>
      </c>
      <c r="E935" s="4">
        <v>1900.8610000000001</v>
      </c>
      <c r="F935" s="4"/>
      <c r="G935" s="4"/>
      <c r="H935" s="26" t="s">
        <v>2511</v>
      </c>
      <c r="I935" s="4"/>
      <c r="J935" s="6">
        <v>0</v>
      </c>
      <c r="K935" s="29" t="s">
        <v>1767</v>
      </c>
      <c r="L935" s="4"/>
      <c r="M935" s="3"/>
    </row>
    <row r="936" spans="1:13" x14ac:dyDescent="0.3">
      <c r="A936" s="3">
        <v>103</v>
      </c>
      <c r="B936" s="3">
        <v>103</v>
      </c>
      <c r="C936" s="4">
        <v>1900.9580000000001</v>
      </c>
      <c r="D936" s="4">
        <v>1900.8610000000001</v>
      </c>
      <c r="E936" s="4">
        <v>1901.0550000000001</v>
      </c>
      <c r="F936" s="4"/>
      <c r="G936" s="4"/>
      <c r="H936" s="25" t="s">
        <v>2512</v>
      </c>
      <c r="I936" s="4"/>
      <c r="J936" s="6">
        <v>0</v>
      </c>
      <c r="K936" s="30" t="s">
        <v>1767</v>
      </c>
      <c r="L936" s="4"/>
      <c r="M936" s="3"/>
    </row>
    <row r="937" spans="1:13" x14ac:dyDescent="0.3">
      <c r="A937" s="3">
        <v>103</v>
      </c>
      <c r="B937" s="3">
        <v>103</v>
      </c>
      <c r="C937" s="4">
        <v>1901.19</v>
      </c>
      <c r="D937" s="4">
        <v>1901.0550000000001</v>
      </c>
      <c r="E937" s="4">
        <v>1901.325</v>
      </c>
      <c r="F937" s="4"/>
      <c r="G937" s="4"/>
      <c r="H937" s="26" t="s">
        <v>2513</v>
      </c>
      <c r="I937" s="4"/>
      <c r="J937" s="6">
        <v>0</v>
      </c>
      <c r="K937" s="29" t="s">
        <v>1767</v>
      </c>
      <c r="L937" s="4"/>
      <c r="M937" s="3"/>
    </row>
    <row r="938" spans="1:13" x14ac:dyDescent="0.3">
      <c r="A938" s="3">
        <v>103</v>
      </c>
      <c r="B938" s="3">
        <v>103</v>
      </c>
      <c r="C938" s="4">
        <v>1901.473</v>
      </c>
      <c r="D938" s="4">
        <v>1901.325</v>
      </c>
      <c r="E938" s="4">
        <v>1901.62</v>
      </c>
      <c r="F938" s="4"/>
      <c r="G938" s="4"/>
      <c r="H938" s="25" t="s">
        <v>2514</v>
      </c>
      <c r="I938" s="4"/>
      <c r="J938" s="6">
        <v>0</v>
      </c>
      <c r="K938" s="30" t="s">
        <v>1767</v>
      </c>
      <c r="L938" s="4"/>
      <c r="M938" s="3"/>
    </row>
    <row r="939" spans="1:13" x14ac:dyDescent="0.3">
      <c r="A939" s="3">
        <v>103</v>
      </c>
      <c r="B939" s="3">
        <v>103</v>
      </c>
      <c r="C939" s="4">
        <v>1901.873</v>
      </c>
      <c r="D939" s="4">
        <v>1901.62</v>
      </c>
      <c r="E939" s="4">
        <v>1902.126</v>
      </c>
      <c r="F939" s="4"/>
      <c r="G939" s="4"/>
      <c r="H939" s="26" t="s">
        <v>2515</v>
      </c>
      <c r="I939" s="4"/>
      <c r="J939" s="6">
        <v>0</v>
      </c>
      <c r="K939" s="29" t="s">
        <v>1767</v>
      </c>
      <c r="L939" s="4"/>
      <c r="M939" s="3"/>
    </row>
    <row r="940" spans="1:13" x14ac:dyDescent="0.3">
      <c r="A940" s="3">
        <v>103</v>
      </c>
      <c r="B940" s="3">
        <v>103</v>
      </c>
      <c r="C940" s="4">
        <v>1902.328</v>
      </c>
      <c r="D940" s="4">
        <v>1902.126</v>
      </c>
      <c r="E940" s="4">
        <v>1902.529</v>
      </c>
      <c r="F940" s="4"/>
      <c r="G940" s="4"/>
      <c r="H940" s="25" t="s">
        <v>2516</v>
      </c>
      <c r="I940" s="4"/>
      <c r="J940" s="6">
        <v>0</v>
      </c>
      <c r="K940" s="30" t="s">
        <v>1767</v>
      </c>
      <c r="L940" s="4"/>
      <c r="M940" s="3"/>
    </row>
    <row r="941" spans="1:13" x14ac:dyDescent="0.3">
      <c r="A941" s="3">
        <v>103</v>
      </c>
      <c r="B941" s="3">
        <v>103</v>
      </c>
      <c r="C941" s="4">
        <v>1902.884</v>
      </c>
      <c r="D941" s="4">
        <v>1902.529</v>
      </c>
      <c r="E941" s="4">
        <v>1903.239</v>
      </c>
      <c r="F941" s="4"/>
      <c r="G941" s="4"/>
      <c r="H941" s="26" t="s">
        <v>2517</v>
      </c>
      <c r="I941" s="4"/>
      <c r="J941" s="6">
        <v>0</v>
      </c>
      <c r="K941" s="29" t="s">
        <v>1767</v>
      </c>
      <c r="L941" s="4"/>
      <c r="M941" s="3"/>
    </row>
    <row r="942" spans="1:13" x14ac:dyDescent="0.3">
      <c r="A942" s="3">
        <v>103</v>
      </c>
      <c r="B942" s="3">
        <v>103</v>
      </c>
      <c r="C942" s="4">
        <v>1903.299</v>
      </c>
      <c r="D942" s="4">
        <v>1903.239</v>
      </c>
      <c r="E942" s="4">
        <v>1903.3589999999999</v>
      </c>
      <c r="F942" s="4"/>
      <c r="G942" s="4"/>
      <c r="H942" s="25" t="s">
        <v>2518</v>
      </c>
      <c r="I942" s="4"/>
      <c r="J942" s="6">
        <v>0</v>
      </c>
      <c r="K942" s="30" t="s">
        <v>1767</v>
      </c>
      <c r="L942" s="4"/>
      <c r="M942" s="3"/>
    </row>
    <row r="943" spans="1:13" x14ac:dyDescent="0.3">
      <c r="A943" s="3">
        <v>103</v>
      </c>
      <c r="B943" s="3">
        <v>103</v>
      </c>
      <c r="C943" s="4">
        <v>1903.5509999999999</v>
      </c>
      <c r="D943" s="4">
        <v>1903.3589999999999</v>
      </c>
      <c r="E943" s="4">
        <v>1903.7429999999999</v>
      </c>
      <c r="F943" s="4"/>
      <c r="G943" s="4"/>
      <c r="H943" s="26" t="s">
        <v>2519</v>
      </c>
      <c r="I943" s="4"/>
      <c r="J943" s="6">
        <v>0</v>
      </c>
      <c r="K943" s="29" t="s">
        <v>1767</v>
      </c>
      <c r="L943" s="4"/>
      <c r="M943" s="3"/>
    </row>
    <row r="944" spans="1:13" x14ac:dyDescent="0.3">
      <c r="A944" s="3">
        <v>103</v>
      </c>
      <c r="B944" s="3">
        <v>103</v>
      </c>
      <c r="C944" s="4">
        <v>1903.779</v>
      </c>
      <c r="D944" s="4">
        <v>1903.7429999999999</v>
      </c>
      <c r="E944" s="4">
        <v>1903.8140000000001</v>
      </c>
      <c r="F944" s="4"/>
      <c r="G944" s="4"/>
      <c r="H944" s="25" t="s">
        <v>2520</v>
      </c>
      <c r="I944" s="4"/>
      <c r="J944" s="6">
        <v>0</v>
      </c>
      <c r="K944" s="30" t="s">
        <v>1767</v>
      </c>
      <c r="L944" s="4"/>
      <c r="M944" s="3"/>
    </row>
    <row r="945" spans="1:13" x14ac:dyDescent="0.3">
      <c r="A945" s="3">
        <v>103</v>
      </c>
      <c r="B945" s="3">
        <v>103</v>
      </c>
      <c r="C945" s="4">
        <v>1904.404</v>
      </c>
      <c r="D945" s="4">
        <v>1903.8140000000001</v>
      </c>
      <c r="E945" s="4">
        <v>1904.9939999999999</v>
      </c>
      <c r="F945" s="4"/>
      <c r="G945" s="4"/>
      <c r="H945" s="26" t="s">
        <v>2521</v>
      </c>
      <c r="I945" s="4"/>
      <c r="J945" s="6">
        <v>0</v>
      </c>
      <c r="K945" s="29" t="s">
        <v>1767</v>
      </c>
      <c r="L945" s="4"/>
      <c r="M945" s="3"/>
    </row>
    <row r="946" spans="1:13" x14ac:dyDescent="0.3">
      <c r="A946" s="3">
        <v>103</v>
      </c>
      <c r="B946" s="3">
        <v>103</v>
      </c>
      <c r="C946" s="4">
        <v>1905.268</v>
      </c>
      <c r="D946" s="4">
        <v>1904.9939999999999</v>
      </c>
      <c r="E946" s="4">
        <v>1905.5419999999999</v>
      </c>
      <c r="F946" s="4"/>
      <c r="G946" s="4"/>
      <c r="H946" s="25" t="s">
        <v>2522</v>
      </c>
      <c r="I946" s="4"/>
      <c r="J946" s="6">
        <v>0</v>
      </c>
      <c r="K946" s="30" t="s">
        <v>1767</v>
      </c>
      <c r="L946" s="4"/>
      <c r="M946" s="3"/>
    </row>
    <row r="947" spans="1:13" x14ac:dyDescent="0.3">
      <c r="A947" s="3">
        <v>103</v>
      </c>
      <c r="B947" s="3">
        <v>103</v>
      </c>
      <c r="C947" s="4">
        <v>1905.6610000000001</v>
      </c>
      <c r="D947" s="4">
        <v>1905.5419999999999</v>
      </c>
      <c r="E947" s="4">
        <v>1905.78</v>
      </c>
      <c r="F947" s="4"/>
      <c r="G947" s="4"/>
      <c r="H947" s="26" t="s">
        <v>2523</v>
      </c>
      <c r="I947" s="4"/>
      <c r="J947" s="6">
        <v>0</v>
      </c>
      <c r="K947" s="29" t="s">
        <v>1767</v>
      </c>
      <c r="L947" s="4"/>
      <c r="M947" s="3"/>
    </row>
    <row r="948" spans="1:13" x14ac:dyDescent="0.3">
      <c r="A948" s="3">
        <v>103</v>
      </c>
      <c r="B948" s="3">
        <v>103</v>
      </c>
      <c r="C948" s="4">
        <v>1905.943</v>
      </c>
      <c r="D948" s="4">
        <v>1905.78</v>
      </c>
      <c r="E948" s="4">
        <v>1906.105</v>
      </c>
      <c r="F948" s="4"/>
      <c r="G948" s="4"/>
      <c r="H948" s="25" t="s">
        <v>2524</v>
      </c>
      <c r="I948" s="4"/>
      <c r="J948" s="6">
        <v>0</v>
      </c>
      <c r="K948" s="30" t="s">
        <v>1767</v>
      </c>
      <c r="L948" s="4"/>
      <c r="M948" s="3"/>
    </row>
    <row r="949" spans="1:13" x14ac:dyDescent="0.3">
      <c r="A949" s="3">
        <v>103</v>
      </c>
      <c r="B949" s="3">
        <v>103</v>
      </c>
      <c r="C949" s="4">
        <v>1906.789</v>
      </c>
      <c r="D949" s="4">
        <v>1906.105</v>
      </c>
      <c r="E949" s="4">
        <v>1907.472</v>
      </c>
      <c r="F949" s="4"/>
      <c r="G949" s="4"/>
      <c r="H949" s="26" t="s">
        <v>2525</v>
      </c>
      <c r="I949" s="4"/>
      <c r="J949" s="6">
        <v>0</v>
      </c>
      <c r="K949" s="29" t="s">
        <v>1767</v>
      </c>
      <c r="L949" s="4"/>
      <c r="M949" s="3"/>
    </row>
    <row r="950" spans="1:13" x14ac:dyDescent="0.3">
      <c r="A950" s="3">
        <v>103</v>
      </c>
      <c r="B950" s="3">
        <v>103</v>
      </c>
      <c r="C950" s="4">
        <v>1907.5329999999999</v>
      </c>
      <c r="D950" s="4">
        <v>1907.472</v>
      </c>
      <c r="E950" s="4">
        <v>1907.5930000000001</v>
      </c>
      <c r="F950" s="4"/>
      <c r="G950" s="4"/>
      <c r="H950" s="25" t="s">
        <v>2526</v>
      </c>
      <c r="I950" s="4"/>
      <c r="J950" s="6">
        <v>0</v>
      </c>
      <c r="K950" s="30" t="s">
        <v>1767</v>
      </c>
      <c r="L950" s="4"/>
      <c r="M950" s="3"/>
    </row>
    <row r="951" spans="1:13" x14ac:dyDescent="0.3">
      <c r="A951" s="3">
        <v>103</v>
      </c>
      <c r="B951" s="3">
        <v>103</v>
      </c>
      <c r="C951" s="4">
        <v>1907.7529999999999</v>
      </c>
      <c r="D951" s="4">
        <v>1907.5930000000001</v>
      </c>
      <c r="E951" s="4">
        <v>1907.913</v>
      </c>
      <c r="F951" s="4"/>
      <c r="G951" s="4"/>
      <c r="H951" s="26" t="s">
        <v>2527</v>
      </c>
      <c r="I951" s="4"/>
      <c r="J951" s="6">
        <v>0</v>
      </c>
      <c r="K951" s="29" t="s">
        <v>1767</v>
      </c>
      <c r="L951" s="4"/>
      <c r="M951" s="3"/>
    </row>
    <row r="952" spans="1:13" x14ac:dyDescent="0.3">
      <c r="A952" s="3">
        <v>103</v>
      </c>
      <c r="B952" s="3">
        <v>103</v>
      </c>
      <c r="C952" s="4">
        <v>1908.0050000000001</v>
      </c>
      <c r="D952" s="4">
        <v>1907.913</v>
      </c>
      <c r="E952" s="4">
        <v>1908.096</v>
      </c>
      <c r="F952" s="4"/>
      <c r="G952" s="4"/>
      <c r="H952" s="25" t="s">
        <v>2528</v>
      </c>
      <c r="I952" s="4"/>
      <c r="J952" s="6">
        <v>0</v>
      </c>
      <c r="K952" s="30" t="s">
        <v>1767</v>
      </c>
      <c r="L952" s="4"/>
      <c r="M952" s="3"/>
    </row>
    <row r="953" spans="1:13" x14ac:dyDescent="0.3">
      <c r="A953" s="3">
        <v>103</v>
      </c>
      <c r="B953" s="3">
        <v>103</v>
      </c>
      <c r="C953" s="4">
        <v>1908.2380000000001</v>
      </c>
      <c r="D953" s="4">
        <v>1908.096</v>
      </c>
      <c r="E953" s="4">
        <v>1908.3789999999999</v>
      </c>
      <c r="F953" s="4"/>
      <c r="G953" s="4"/>
      <c r="H953" s="26" t="s">
        <v>2529</v>
      </c>
      <c r="I953" s="4"/>
      <c r="J953" s="6">
        <v>0</v>
      </c>
      <c r="K953" s="29" t="s">
        <v>1767</v>
      </c>
      <c r="L953" s="4"/>
      <c r="M953" s="3"/>
    </row>
    <row r="954" spans="1:13" x14ac:dyDescent="0.3">
      <c r="A954" s="3">
        <v>103</v>
      </c>
      <c r="B954" s="3">
        <v>103</v>
      </c>
      <c r="C954" s="4">
        <v>1908.4670000000001</v>
      </c>
      <c r="D954" s="4">
        <v>1908.3789999999999</v>
      </c>
      <c r="E954" s="4">
        <v>1908.5550000000001</v>
      </c>
      <c r="F954" s="4"/>
      <c r="G954" s="4"/>
      <c r="H954" s="25" t="s">
        <v>2530</v>
      </c>
      <c r="I954" s="4"/>
      <c r="J954" s="6">
        <v>0</v>
      </c>
      <c r="K954" s="30" t="s">
        <v>1767</v>
      </c>
      <c r="L954" s="4"/>
      <c r="M954" s="3"/>
    </row>
    <row r="955" spans="1:13" x14ac:dyDescent="0.3">
      <c r="A955" s="3">
        <v>103</v>
      </c>
      <c r="B955" s="3">
        <v>103</v>
      </c>
      <c r="C955" s="4">
        <v>1908.741</v>
      </c>
      <c r="D955" s="4">
        <v>1908.5550000000001</v>
      </c>
      <c r="E955" s="4">
        <v>1908.9269999999999</v>
      </c>
      <c r="F955" s="4"/>
      <c r="G955" s="4"/>
      <c r="H955" s="26" t="s">
        <v>2531</v>
      </c>
      <c r="I955" s="4"/>
      <c r="J955" s="6">
        <v>0</v>
      </c>
      <c r="K955" s="29" t="s">
        <v>1767</v>
      </c>
      <c r="L955" s="4"/>
      <c r="M955" s="3"/>
    </row>
    <row r="956" spans="1:13" x14ac:dyDescent="0.3">
      <c r="A956" s="3">
        <v>103</v>
      </c>
      <c r="B956" s="3">
        <v>103</v>
      </c>
      <c r="C956" s="4">
        <v>1909.0930000000001</v>
      </c>
      <c r="D956" s="4">
        <v>1908.9269999999999</v>
      </c>
      <c r="E956" s="4">
        <v>1909.259</v>
      </c>
      <c r="F956" s="4"/>
      <c r="G956" s="4"/>
      <c r="H956" s="25" t="s">
        <v>2532</v>
      </c>
      <c r="I956" s="4"/>
      <c r="J956" s="6">
        <v>0</v>
      </c>
      <c r="K956" s="30" t="s">
        <v>1767</v>
      </c>
      <c r="L956" s="4"/>
      <c r="M956" s="3"/>
    </row>
    <row r="957" spans="1:13" x14ac:dyDescent="0.3">
      <c r="A957" s="3">
        <v>103</v>
      </c>
      <c r="B957" s="3">
        <v>103</v>
      </c>
      <c r="C957" s="4">
        <v>1909.491</v>
      </c>
      <c r="D957" s="4">
        <v>1909.259</v>
      </c>
      <c r="E957" s="4">
        <v>1909.723</v>
      </c>
      <c r="F957" s="4"/>
      <c r="G957" s="4"/>
      <c r="H957" s="26" t="s">
        <v>2533</v>
      </c>
      <c r="I957" s="4"/>
      <c r="J957" s="6">
        <v>0</v>
      </c>
      <c r="K957" s="29" t="s">
        <v>1767</v>
      </c>
      <c r="L957" s="4"/>
      <c r="M957" s="3"/>
    </row>
    <row r="958" spans="1:13" x14ac:dyDescent="0.3">
      <c r="A958" s="3">
        <v>103</v>
      </c>
      <c r="B958" s="3">
        <v>103</v>
      </c>
      <c r="C958" s="4">
        <v>1909.8219999999999</v>
      </c>
      <c r="D958" s="4">
        <v>1909.723</v>
      </c>
      <c r="E958" s="4">
        <v>1909.921</v>
      </c>
      <c r="F958" s="4"/>
      <c r="G958" s="4"/>
      <c r="H958" s="25" t="s">
        <v>2534</v>
      </c>
      <c r="I958" s="4"/>
      <c r="J958" s="6">
        <v>0</v>
      </c>
      <c r="K958" s="30" t="s">
        <v>1767</v>
      </c>
      <c r="L958" s="4"/>
      <c r="M958" s="3"/>
    </row>
    <row r="959" spans="1:13" x14ac:dyDescent="0.3">
      <c r="A959" s="3">
        <v>103</v>
      </c>
      <c r="B959" s="3">
        <v>103</v>
      </c>
      <c r="C959" s="4">
        <v>1910.1379999999999</v>
      </c>
      <c r="D959" s="4">
        <v>1909.921</v>
      </c>
      <c r="E959" s="4">
        <v>1910.354</v>
      </c>
      <c r="F959" s="4"/>
      <c r="G959" s="4"/>
      <c r="H959" s="26" t="s">
        <v>2535</v>
      </c>
      <c r="I959" s="4"/>
      <c r="J959" s="6">
        <v>0</v>
      </c>
      <c r="K959" s="29" t="s">
        <v>1767</v>
      </c>
      <c r="L959" s="4"/>
      <c r="M959" s="3"/>
    </row>
    <row r="960" spans="1:13" x14ac:dyDescent="0.3">
      <c r="A960" s="3">
        <v>103</v>
      </c>
      <c r="B960" s="3">
        <v>103</v>
      </c>
      <c r="C960" s="4">
        <v>1910.3779999999999</v>
      </c>
      <c r="D960" s="4">
        <v>1910.354</v>
      </c>
      <c r="E960" s="4">
        <v>1910.402</v>
      </c>
      <c r="F960" s="4"/>
      <c r="G960" s="4"/>
      <c r="H960" s="25" t="s">
        <v>2536</v>
      </c>
      <c r="I960" s="4"/>
      <c r="J960" s="6">
        <v>0</v>
      </c>
      <c r="K960" s="30" t="s">
        <v>1767</v>
      </c>
      <c r="L960" s="4"/>
      <c r="M960" s="3"/>
    </row>
    <row r="961" spans="1:13" x14ac:dyDescent="0.3">
      <c r="A961" s="3">
        <v>103</v>
      </c>
      <c r="B961" s="3">
        <v>103</v>
      </c>
      <c r="C961" s="4">
        <v>1910.787</v>
      </c>
      <c r="D961" s="4">
        <v>1910.402</v>
      </c>
      <c r="E961" s="4">
        <v>1911.172</v>
      </c>
      <c r="F961" s="4"/>
      <c r="G961" s="4"/>
      <c r="H961" s="26" t="s">
        <v>2537</v>
      </c>
      <c r="I961" s="4"/>
      <c r="J961" s="6">
        <v>0</v>
      </c>
      <c r="K961" s="29" t="s">
        <v>1767</v>
      </c>
      <c r="L961" s="4"/>
      <c r="M961" s="3"/>
    </row>
    <row r="962" spans="1:13" x14ac:dyDescent="0.3">
      <c r="A962" s="3">
        <v>103</v>
      </c>
      <c r="B962" s="3">
        <v>103</v>
      </c>
      <c r="C962" s="4">
        <v>1911.5119999999999</v>
      </c>
      <c r="D962" s="4">
        <v>1911.172</v>
      </c>
      <c r="E962" s="4">
        <v>1911.8510000000001</v>
      </c>
      <c r="F962" s="4"/>
      <c r="G962" s="4"/>
      <c r="H962" s="25" t="s">
        <v>2538</v>
      </c>
      <c r="I962" s="4"/>
      <c r="J962" s="6">
        <v>0</v>
      </c>
      <c r="K962" s="30" t="s">
        <v>1767</v>
      </c>
      <c r="L962" s="4"/>
      <c r="M962" s="3"/>
    </row>
    <row r="963" spans="1:13" x14ac:dyDescent="0.3">
      <c r="A963" s="3">
        <v>103</v>
      </c>
      <c r="B963" s="3">
        <v>103</v>
      </c>
      <c r="C963" s="4">
        <v>1912.192</v>
      </c>
      <c r="D963" s="4">
        <v>1911.8510000000001</v>
      </c>
      <c r="E963" s="4">
        <v>1912.5319999999999</v>
      </c>
      <c r="F963" s="4"/>
      <c r="G963" s="4"/>
      <c r="H963" s="26" t="s">
        <v>2539</v>
      </c>
      <c r="I963" s="4"/>
      <c r="J963" s="6">
        <v>0</v>
      </c>
      <c r="K963" s="29" t="s">
        <v>1767</v>
      </c>
      <c r="L963" s="4"/>
      <c r="M963" s="3"/>
    </row>
    <row r="964" spans="1:13" x14ac:dyDescent="0.3">
      <c r="A964" s="3">
        <v>103</v>
      </c>
      <c r="B964" s="3">
        <v>103</v>
      </c>
      <c r="C964" s="4">
        <v>1912.59</v>
      </c>
      <c r="D964" s="4">
        <v>1912.5319999999999</v>
      </c>
      <c r="E964" s="4">
        <v>1912.6479999999999</v>
      </c>
      <c r="F964" s="4"/>
      <c r="G964" s="4"/>
      <c r="H964" s="25" t="s">
        <v>2540</v>
      </c>
      <c r="I964" s="4"/>
      <c r="J964" s="6">
        <v>0</v>
      </c>
      <c r="K964" s="30" t="s">
        <v>1767</v>
      </c>
      <c r="L964" s="4"/>
      <c r="M964" s="3"/>
    </row>
    <row r="965" spans="1:13" x14ac:dyDescent="0.3">
      <c r="A965" s="3">
        <v>103</v>
      </c>
      <c r="B965" s="3">
        <v>103</v>
      </c>
      <c r="C965" s="4">
        <v>1912.942</v>
      </c>
      <c r="D965" s="4">
        <v>1912.6479999999999</v>
      </c>
      <c r="E965" s="4">
        <v>1913.2349999999999</v>
      </c>
      <c r="F965" s="4"/>
      <c r="G965" s="4"/>
      <c r="H965" s="26" t="s">
        <v>2541</v>
      </c>
      <c r="I965" s="4"/>
      <c r="J965" s="6">
        <v>0</v>
      </c>
      <c r="K965" s="29" t="s">
        <v>1767</v>
      </c>
      <c r="L965" s="4"/>
      <c r="M965" s="3"/>
    </row>
    <row r="966" spans="1:13" x14ac:dyDescent="0.3">
      <c r="A966" s="3">
        <v>103</v>
      </c>
      <c r="B966" s="3">
        <v>103</v>
      </c>
      <c r="C966" s="4">
        <v>1913.557</v>
      </c>
      <c r="D966" s="4">
        <v>1913.2349999999999</v>
      </c>
      <c r="E966" s="4">
        <v>1913.8789999999999</v>
      </c>
      <c r="F966" s="4"/>
      <c r="G966" s="4"/>
      <c r="H966" s="25" t="s">
        <v>2542</v>
      </c>
      <c r="I966" s="4"/>
      <c r="J966" s="6">
        <v>0</v>
      </c>
      <c r="K966" s="30" t="s">
        <v>1767</v>
      </c>
      <c r="L966" s="4"/>
      <c r="M966" s="3"/>
    </row>
    <row r="967" spans="1:13" x14ac:dyDescent="0.3">
      <c r="A967" s="3">
        <v>103</v>
      </c>
      <c r="B967" s="3">
        <v>103</v>
      </c>
      <c r="C967" s="4">
        <v>1914.452</v>
      </c>
      <c r="D967" s="4">
        <v>1913.8789999999999</v>
      </c>
      <c r="E967" s="4">
        <v>1915.0250000000001</v>
      </c>
      <c r="F967" s="4"/>
      <c r="G967" s="4"/>
      <c r="H967" s="26" t="s">
        <v>2543</v>
      </c>
      <c r="I967" s="4"/>
      <c r="J967" s="6">
        <v>0</v>
      </c>
      <c r="K967" s="29" t="s">
        <v>1767</v>
      </c>
      <c r="L967" s="4"/>
      <c r="M967" s="3"/>
    </row>
    <row r="968" spans="1:13" x14ac:dyDescent="0.3">
      <c r="A968" s="3">
        <v>103</v>
      </c>
      <c r="B968" s="3">
        <v>103</v>
      </c>
      <c r="C968" s="4">
        <v>1915.191</v>
      </c>
      <c r="D968" s="4">
        <v>1915.0250000000001</v>
      </c>
      <c r="E968" s="4">
        <v>1915.357</v>
      </c>
      <c r="F968" s="4"/>
      <c r="G968" s="4"/>
      <c r="H968" s="25" t="s">
        <v>2544</v>
      </c>
      <c r="I968" s="4"/>
      <c r="J968" s="6">
        <v>0</v>
      </c>
      <c r="K968" s="30" t="s">
        <v>1767</v>
      </c>
      <c r="L968" s="4"/>
      <c r="M968" s="3"/>
    </row>
    <row r="969" spans="1:13" x14ac:dyDescent="0.3">
      <c r="A969" s="3">
        <v>103</v>
      </c>
      <c r="B969" s="3">
        <v>103</v>
      </c>
      <c r="C969" s="4">
        <v>1915.838</v>
      </c>
      <c r="D969" s="4">
        <v>1915.357</v>
      </c>
      <c r="E969" s="4">
        <v>1916.318</v>
      </c>
      <c r="F969" s="4"/>
      <c r="G969" s="4"/>
      <c r="H969" s="26" t="s">
        <v>2545</v>
      </c>
      <c r="I969" s="4"/>
      <c r="J969" s="6">
        <v>0</v>
      </c>
      <c r="K969" s="29" t="s">
        <v>1767</v>
      </c>
      <c r="L969" s="4"/>
      <c r="M969" s="3"/>
    </row>
    <row r="970" spans="1:13" x14ac:dyDescent="0.3">
      <c r="A970" s="3">
        <v>103</v>
      </c>
      <c r="B970" s="3">
        <v>103</v>
      </c>
      <c r="C970" s="4">
        <v>1916.7370000000001</v>
      </c>
      <c r="D970" s="4">
        <v>1916.318</v>
      </c>
      <c r="E970" s="4">
        <v>1917.1559999999999</v>
      </c>
      <c r="F970" s="4"/>
      <c r="G970" s="4"/>
      <c r="H970" s="25" t="s">
        <v>2546</v>
      </c>
      <c r="I970" s="4"/>
      <c r="J970" s="6">
        <v>0</v>
      </c>
      <c r="K970" s="30" t="s">
        <v>1767</v>
      </c>
      <c r="L970" s="4"/>
      <c r="M970" s="3"/>
    </row>
    <row r="971" spans="1:13" x14ac:dyDescent="0.3">
      <c r="A971" s="3">
        <v>103</v>
      </c>
      <c r="B971" s="3">
        <v>103</v>
      </c>
      <c r="C971" s="4">
        <v>1917.3789999999999</v>
      </c>
      <c r="D971" s="4">
        <v>1917.1559999999999</v>
      </c>
      <c r="E971" s="4">
        <v>1917.6020000000001</v>
      </c>
      <c r="F971" s="4"/>
      <c r="G971" s="4"/>
      <c r="H971" s="26" t="s">
        <v>2547</v>
      </c>
      <c r="I971" s="4"/>
      <c r="J971" s="6">
        <v>0</v>
      </c>
      <c r="K971" s="29" t="s">
        <v>1767</v>
      </c>
      <c r="L971" s="4"/>
      <c r="M971" s="3"/>
    </row>
    <row r="972" spans="1:13" x14ac:dyDescent="0.3">
      <c r="A972" s="3">
        <v>103</v>
      </c>
      <c r="B972" s="3">
        <v>103</v>
      </c>
      <c r="C972" s="4">
        <v>1917.6679999999999</v>
      </c>
      <c r="D972" s="4">
        <v>1917.6020000000001</v>
      </c>
      <c r="E972" s="4">
        <v>1917.7329999999999</v>
      </c>
      <c r="F972" s="4"/>
      <c r="G972" s="4"/>
      <c r="H972" s="25" t="s">
        <v>2548</v>
      </c>
      <c r="I972" s="4"/>
      <c r="J972" s="6">
        <v>0</v>
      </c>
      <c r="K972" s="30" t="s">
        <v>1767</v>
      </c>
      <c r="L972" s="4"/>
      <c r="M972" s="3"/>
    </row>
    <row r="973" spans="1:13" x14ac:dyDescent="0.3">
      <c r="A973" s="3">
        <v>103</v>
      </c>
      <c r="B973" s="3">
        <v>103</v>
      </c>
      <c r="C973" s="4">
        <v>1917.9090000000001</v>
      </c>
      <c r="D973" s="4">
        <v>1917.7329999999999</v>
      </c>
      <c r="E973" s="4">
        <v>1918.0840000000001</v>
      </c>
      <c r="F973" s="4"/>
      <c r="G973" s="4"/>
      <c r="H973" s="26" t="s">
        <v>2549</v>
      </c>
      <c r="I973" s="4"/>
      <c r="J973" s="6">
        <v>0</v>
      </c>
      <c r="K973" s="29" t="s">
        <v>1767</v>
      </c>
      <c r="L973" s="4"/>
      <c r="M973" s="3"/>
    </row>
    <row r="974" spans="1:13" x14ac:dyDescent="0.3">
      <c r="A974" s="3">
        <v>103</v>
      </c>
      <c r="B974" s="3">
        <v>103</v>
      </c>
      <c r="C974" s="4">
        <v>1918.1559999999999</v>
      </c>
      <c r="D974" s="4">
        <v>1918.0840000000001</v>
      </c>
      <c r="E974" s="4">
        <v>1918.2280000000001</v>
      </c>
      <c r="F974" s="4"/>
      <c r="G974" s="4"/>
      <c r="H974" s="25" t="s">
        <v>2550</v>
      </c>
      <c r="I974" s="4"/>
      <c r="J974" s="6">
        <v>0</v>
      </c>
      <c r="K974" s="30" t="s">
        <v>1767</v>
      </c>
      <c r="L974" s="4"/>
      <c r="M974" s="3"/>
    </row>
    <row r="975" spans="1:13" x14ac:dyDescent="0.3">
      <c r="A975" s="3">
        <v>103</v>
      </c>
      <c r="B975" s="3">
        <v>103</v>
      </c>
      <c r="C975" s="4">
        <v>1918.492</v>
      </c>
      <c r="D975" s="4">
        <v>1918.2280000000001</v>
      </c>
      <c r="E975" s="4">
        <v>1918.7550000000001</v>
      </c>
      <c r="F975" s="4"/>
      <c r="G975" s="4"/>
      <c r="H975" s="26" t="s">
        <v>2551</v>
      </c>
      <c r="I975" s="4"/>
      <c r="J975" s="6">
        <v>0</v>
      </c>
      <c r="K975" s="29" t="s">
        <v>1767</v>
      </c>
      <c r="L975" s="4"/>
      <c r="M975" s="3"/>
    </row>
    <row r="976" spans="1:13" x14ac:dyDescent="0.3">
      <c r="A976" s="3">
        <v>103</v>
      </c>
      <c r="B976" s="3">
        <v>103</v>
      </c>
      <c r="C976" s="4">
        <v>1918.806</v>
      </c>
      <c r="D976" s="4">
        <v>1918.7550000000001</v>
      </c>
      <c r="E976" s="4">
        <v>1918.856</v>
      </c>
      <c r="F976" s="4"/>
      <c r="G976" s="4"/>
      <c r="H976" s="25" t="s">
        <v>2552</v>
      </c>
      <c r="I976" s="4"/>
      <c r="J976" s="6">
        <v>0</v>
      </c>
      <c r="K976" s="30" t="s">
        <v>1767</v>
      </c>
      <c r="L976" s="4"/>
      <c r="M976" s="3"/>
    </row>
    <row r="977" spans="1:13" x14ac:dyDescent="0.3">
      <c r="A977" s="3">
        <v>103</v>
      </c>
      <c r="B977" s="3">
        <v>103</v>
      </c>
      <c r="C977" s="4">
        <v>1919.107</v>
      </c>
      <c r="D977" s="4">
        <v>1918.856</v>
      </c>
      <c r="E977" s="4">
        <v>1919.3579999999999</v>
      </c>
      <c r="F977" s="4"/>
      <c r="G977" s="4"/>
      <c r="H977" s="26" t="s">
        <v>2553</v>
      </c>
      <c r="I977" s="4"/>
      <c r="J977" s="6">
        <v>0</v>
      </c>
      <c r="K977" s="29" t="s">
        <v>1767</v>
      </c>
      <c r="L977" s="4"/>
      <c r="M977" s="3"/>
    </row>
    <row r="978" spans="1:13" x14ac:dyDescent="0.3">
      <c r="A978" s="3">
        <v>103</v>
      </c>
      <c r="B978" s="3">
        <v>103</v>
      </c>
      <c r="C978" s="4">
        <v>1919.4179999999999</v>
      </c>
      <c r="D978" s="4">
        <v>1919.3579999999999</v>
      </c>
      <c r="E978" s="4">
        <v>1919.4780000000001</v>
      </c>
      <c r="F978" s="4"/>
      <c r="G978" s="4"/>
      <c r="H978" s="25" t="s">
        <v>2554</v>
      </c>
      <c r="I978" s="4"/>
      <c r="J978" s="6">
        <v>0</v>
      </c>
      <c r="K978" s="30" t="s">
        <v>1767</v>
      </c>
      <c r="L978" s="4"/>
      <c r="M978" s="3"/>
    </row>
    <row r="979" spans="1:13" x14ac:dyDescent="0.3">
      <c r="A979" s="3">
        <v>103</v>
      </c>
      <c r="B979" s="3">
        <v>103</v>
      </c>
      <c r="C979" s="4">
        <v>1919.663</v>
      </c>
      <c r="D979" s="4">
        <v>1919.4780000000001</v>
      </c>
      <c r="E979" s="4">
        <v>1919.847</v>
      </c>
      <c r="F979" s="4"/>
      <c r="G979" s="4"/>
      <c r="H979" s="26" t="s">
        <v>2555</v>
      </c>
      <c r="I979" s="4"/>
      <c r="J979" s="6">
        <v>0</v>
      </c>
      <c r="K979" s="29" t="s">
        <v>1767</v>
      </c>
      <c r="L979" s="4"/>
      <c r="M979" s="3"/>
    </row>
    <row r="980" spans="1:13" x14ac:dyDescent="0.3">
      <c r="A980" s="3">
        <v>103</v>
      </c>
      <c r="B980" s="3">
        <v>103</v>
      </c>
      <c r="C980" s="4">
        <v>1919.873</v>
      </c>
      <c r="D980" s="4">
        <v>1919.847</v>
      </c>
      <c r="E980" s="4">
        <v>1919.8989999999999</v>
      </c>
      <c r="F980" s="4"/>
      <c r="G980" s="4"/>
      <c r="H980" s="25" t="s">
        <v>2556</v>
      </c>
      <c r="I980" s="4"/>
      <c r="J980" s="6">
        <v>0</v>
      </c>
      <c r="K980" s="30" t="s">
        <v>1767</v>
      </c>
      <c r="L980" s="4"/>
      <c r="M980" s="3"/>
    </row>
    <row r="981" spans="1:13" x14ac:dyDescent="0.3">
      <c r="A981" s="3">
        <v>103</v>
      </c>
      <c r="B981" s="3">
        <v>103</v>
      </c>
      <c r="C981" s="4">
        <v>1920.125</v>
      </c>
      <c r="D981" s="4">
        <v>1919.8989999999999</v>
      </c>
      <c r="E981" s="4">
        <v>1920.3510000000001</v>
      </c>
      <c r="F981" s="4"/>
      <c r="G981" s="4"/>
      <c r="H981" s="26" t="s">
        <v>2557</v>
      </c>
      <c r="I981" s="4"/>
      <c r="J981" s="6">
        <v>0</v>
      </c>
      <c r="K981" s="29" t="s">
        <v>1767</v>
      </c>
      <c r="L981" s="4"/>
      <c r="M981" s="3"/>
    </row>
    <row r="982" spans="1:13" x14ac:dyDescent="0.3">
      <c r="A982" s="3">
        <v>103</v>
      </c>
      <c r="B982" s="3">
        <v>103</v>
      </c>
      <c r="C982" s="4">
        <v>1920.4179999999999</v>
      </c>
      <c r="D982" s="4">
        <v>1920.3510000000001</v>
      </c>
      <c r="E982" s="4">
        <v>1920.4849999999999</v>
      </c>
      <c r="F982" s="4"/>
      <c r="G982" s="4"/>
      <c r="H982" s="25" t="s">
        <v>2558</v>
      </c>
      <c r="I982" s="4"/>
      <c r="J982" s="6">
        <v>0</v>
      </c>
      <c r="K982" s="30" t="s">
        <v>1767</v>
      </c>
      <c r="L982" s="4"/>
      <c r="M982" s="3"/>
    </row>
    <row r="983" spans="1:13" x14ac:dyDescent="0.3">
      <c r="A983" s="3">
        <v>103</v>
      </c>
      <c r="B983" s="3">
        <v>103</v>
      </c>
      <c r="C983" s="4">
        <v>1920.874</v>
      </c>
      <c r="D983" s="4">
        <v>1920.4849999999999</v>
      </c>
      <c r="E983" s="4">
        <v>1921.2619999999999</v>
      </c>
      <c r="F983" s="4"/>
      <c r="G983" s="4"/>
      <c r="H983" s="26" t="s">
        <v>2559</v>
      </c>
      <c r="I983" s="4"/>
      <c r="J983" s="6">
        <v>0</v>
      </c>
      <c r="K983" s="29" t="s">
        <v>1767</v>
      </c>
      <c r="L983" s="4"/>
      <c r="M983" s="3"/>
    </row>
    <row r="984" spans="1:13" x14ac:dyDescent="0.3">
      <c r="A984" s="3">
        <v>103</v>
      </c>
      <c r="B984" s="3">
        <v>103</v>
      </c>
      <c r="C984" s="4">
        <v>1921.4929999999999</v>
      </c>
      <c r="D984" s="4">
        <v>1921.2619999999999</v>
      </c>
      <c r="E984" s="4">
        <v>1921.723</v>
      </c>
      <c r="F984" s="4"/>
      <c r="G984" s="4"/>
      <c r="H984" s="25" t="s">
        <v>2560</v>
      </c>
      <c r="I984" s="4"/>
      <c r="J984" s="6">
        <v>0</v>
      </c>
      <c r="K984" s="30" t="s">
        <v>1767</v>
      </c>
      <c r="L984" s="4"/>
      <c r="M984" s="3"/>
    </row>
    <row r="985" spans="1:13" x14ac:dyDescent="0.3">
      <c r="A985" s="3">
        <v>103</v>
      </c>
      <c r="B985" s="3">
        <v>103</v>
      </c>
      <c r="C985" s="4">
        <v>1922.1790000000001</v>
      </c>
      <c r="D985" s="4">
        <v>1921.723</v>
      </c>
      <c r="E985" s="4">
        <v>1922.634</v>
      </c>
      <c r="F985" s="4"/>
      <c r="G985" s="4"/>
      <c r="H985" s="26" t="s">
        <v>2561</v>
      </c>
      <c r="I985" s="4"/>
      <c r="J985" s="6">
        <v>0</v>
      </c>
      <c r="K985" s="29" t="s">
        <v>1767</v>
      </c>
      <c r="L985" s="4"/>
      <c r="M985" s="3"/>
    </row>
    <row r="986" spans="1:13" x14ac:dyDescent="0.3">
      <c r="A986" s="3">
        <v>103</v>
      </c>
      <c r="B986" s="3">
        <v>103</v>
      </c>
      <c r="C986" s="4">
        <v>1922.856</v>
      </c>
      <c r="D986" s="4">
        <v>1922.634</v>
      </c>
      <c r="E986" s="4">
        <v>1923.077</v>
      </c>
      <c r="F986" s="4"/>
      <c r="G986" s="4"/>
      <c r="H986" s="25" t="s">
        <v>2562</v>
      </c>
      <c r="I986" s="4"/>
      <c r="J986" s="6">
        <v>0</v>
      </c>
      <c r="K986" s="30" t="s">
        <v>1767</v>
      </c>
      <c r="L986" s="4"/>
      <c r="M986" s="3"/>
    </row>
    <row r="987" spans="1:13" x14ac:dyDescent="0.3">
      <c r="A987" s="3">
        <v>103</v>
      </c>
      <c r="B987" s="3">
        <v>103</v>
      </c>
      <c r="C987" s="4">
        <v>1923.586</v>
      </c>
      <c r="D987" s="4">
        <v>1923.077</v>
      </c>
      <c r="E987" s="4">
        <v>1924.095</v>
      </c>
      <c r="F987" s="4"/>
      <c r="G987" s="4"/>
      <c r="H987" s="26" t="s">
        <v>2563</v>
      </c>
      <c r="I987" s="4"/>
      <c r="J987" s="6">
        <v>0</v>
      </c>
      <c r="K987" s="29" t="s">
        <v>1767</v>
      </c>
      <c r="L987" s="4"/>
      <c r="M987" s="3"/>
    </row>
    <row r="988" spans="1:13" x14ac:dyDescent="0.3">
      <c r="A988" s="3">
        <v>103</v>
      </c>
      <c r="B988" s="3">
        <v>103</v>
      </c>
      <c r="C988" s="4">
        <v>1924.634</v>
      </c>
      <c r="D988" s="4">
        <v>1924.095</v>
      </c>
      <c r="E988" s="4">
        <v>1925.173</v>
      </c>
      <c r="F988" s="4"/>
      <c r="G988" s="4"/>
      <c r="H988" s="25" t="s">
        <v>2564</v>
      </c>
      <c r="I988" s="4"/>
      <c r="J988" s="6">
        <v>0</v>
      </c>
      <c r="K988" s="30" t="s">
        <v>1767</v>
      </c>
      <c r="L988" s="4"/>
      <c r="M988" s="3"/>
    </row>
    <row r="989" spans="1:13" x14ac:dyDescent="0.3">
      <c r="A989" s="3">
        <v>103</v>
      </c>
      <c r="B989" s="3">
        <v>103</v>
      </c>
      <c r="C989" s="4">
        <v>1925.31</v>
      </c>
      <c r="D989" s="4">
        <v>1925.173</v>
      </c>
      <c r="E989" s="4">
        <v>1925.4469999999999</v>
      </c>
      <c r="F989" s="4"/>
      <c r="G989" s="4"/>
      <c r="H989" s="26" t="s">
        <v>2565</v>
      </c>
      <c r="I989" s="4"/>
      <c r="J989" s="6">
        <v>0</v>
      </c>
      <c r="K989" s="29" t="s">
        <v>1767</v>
      </c>
      <c r="L989" s="4"/>
      <c r="M989" s="3"/>
    </row>
    <row r="990" spans="1:13" x14ac:dyDescent="0.3">
      <c r="A990" s="3">
        <v>103</v>
      </c>
      <c r="B990" s="3">
        <v>103</v>
      </c>
      <c r="C990" s="4">
        <v>1925.5329999999999</v>
      </c>
      <c r="D990" s="4">
        <v>1925.4469999999999</v>
      </c>
      <c r="E990" s="4">
        <v>1925.6179999999999</v>
      </c>
      <c r="F990" s="4"/>
      <c r="G990" s="4"/>
      <c r="H990" s="25" t="s">
        <v>2566</v>
      </c>
      <c r="I990" s="4"/>
      <c r="J990" s="6">
        <v>0</v>
      </c>
      <c r="K990" s="30" t="s">
        <v>1767</v>
      </c>
      <c r="L990" s="4"/>
      <c r="M990" s="3"/>
    </row>
    <row r="991" spans="1:13" x14ac:dyDescent="0.3">
      <c r="A991" s="3">
        <v>103</v>
      </c>
      <c r="B991" s="3">
        <v>103</v>
      </c>
      <c r="C991" s="4">
        <v>1925.9570000000001</v>
      </c>
      <c r="D991" s="4">
        <v>1925.6179999999999</v>
      </c>
      <c r="E991" s="4">
        <v>1926.2950000000001</v>
      </c>
      <c r="F991" s="4"/>
      <c r="G991" s="4"/>
      <c r="H991" s="26" t="s">
        <v>2567</v>
      </c>
      <c r="I991" s="4"/>
      <c r="J991" s="6">
        <v>0</v>
      </c>
      <c r="K991" s="29" t="s">
        <v>1767</v>
      </c>
      <c r="L991" s="4"/>
      <c r="M991" s="3"/>
    </row>
    <row r="992" spans="1:13" x14ac:dyDescent="0.3">
      <c r="A992" s="3">
        <v>103</v>
      </c>
      <c r="B992" s="3">
        <v>103</v>
      </c>
      <c r="C992" s="4">
        <v>1926.498</v>
      </c>
      <c r="D992" s="4">
        <v>1926.2950000000001</v>
      </c>
      <c r="E992" s="4">
        <v>1926.7</v>
      </c>
      <c r="F992" s="4"/>
      <c r="G992" s="4"/>
      <c r="H992" s="25" t="s">
        <v>2568</v>
      </c>
      <c r="I992" s="4"/>
      <c r="J992" s="6">
        <v>0</v>
      </c>
      <c r="K992" s="30" t="s">
        <v>1767</v>
      </c>
      <c r="L992" s="4"/>
      <c r="M992" s="3"/>
    </row>
    <row r="993" spans="1:13" x14ac:dyDescent="0.3">
      <c r="A993" s="3">
        <v>103</v>
      </c>
      <c r="B993" s="3">
        <v>103</v>
      </c>
      <c r="C993" s="4">
        <v>1927.414</v>
      </c>
      <c r="D993" s="4">
        <v>1926.7</v>
      </c>
      <c r="E993" s="4">
        <v>1928.127</v>
      </c>
      <c r="F993" s="4"/>
      <c r="G993" s="4"/>
      <c r="H993" s="26" t="s">
        <v>2569</v>
      </c>
      <c r="I993" s="4"/>
      <c r="J993" s="6">
        <v>0</v>
      </c>
      <c r="K993" s="29" t="s">
        <v>1767</v>
      </c>
      <c r="L993" s="4"/>
      <c r="M993" s="3"/>
    </row>
    <row r="994" spans="1:13" x14ac:dyDescent="0.3">
      <c r="A994" s="3">
        <v>103</v>
      </c>
      <c r="B994" s="3">
        <v>103</v>
      </c>
      <c r="C994" s="4">
        <v>1928.52</v>
      </c>
      <c r="D994" s="4">
        <v>1928.127</v>
      </c>
      <c r="E994" s="4">
        <v>1928.913</v>
      </c>
      <c r="F994" s="4"/>
      <c r="G994" s="4"/>
      <c r="H994" s="25" t="s">
        <v>2570</v>
      </c>
      <c r="I994" s="4"/>
      <c r="J994" s="6">
        <v>0</v>
      </c>
      <c r="K994" s="30" t="s">
        <v>1767</v>
      </c>
      <c r="L994" s="4"/>
      <c r="M994" s="3"/>
    </row>
    <row r="995" spans="1:13" x14ac:dyDescent="0.3">
      <c r="A995" s="3">
        <v>103</v>
      </c>
      <c r="B995" s="3">
        <v>103</v>
      </c>
      <c r="C995" s="4">
        <v>1929.1479999999999</v>
      </c>
      <c r="D995" s="4">
        <v>1928.913</v>
      </c>
      <c r="E995" s="4">
        <v>1929.3820000000001</v>
      </c>
      <c r="F995" s="4"/>
      <c r="G995" s="4"/>
      <c r="H995" s="26" t="s">
        <v>2571</v>
      </c>
      <c r="I995" s="4"/>
      <c r="J995" s="6">
        <v>0</v>
      </c>
      <c r="K995" s="29" t="s">
        <v>1767</v>
      </c>
      <c r="L995" s="4"/>
      <c r="M995" s="3"/>
    </row>
    <row r="996" spans="1:13" x14ac:dyDescent="0.3">
      <c r="A996" s="3">
        <v>103</v>
      </c>
      <c r="B996" s="3">
        <v>103</v>
      </c>
      <c r="C996" s="4">
        <v>1929.4359999999999</v>
      </c>
      <c r="D996" s="4">
        <v>1929.3820000000001</v>
      </c>
      <c r="E996" s="4">
        <v>1929.489</v>
      </c>
      <c r="F996" s="4"/>
      <c r="G996" s="4"/>
      <c r="H996" s="25" t="s">
        <v>2572</v>
      </c>
      <c r="I996" s="4"/>
      <c r="J996" s="6">
        <v>0</v>
      </c>
      <c r="K996" s="30" t="s">
        <v>1767</v>
      </c>
      <c r="L996" s="4"/>
      <c r="M996" s="3"/>
    </row>
    <row r="997" spans="1:13" x14ac:dyDescent="0.3">
      <c r="A997" s="3">
        <v>103</v>
      </c>
      <c r="B997" s="3">
        <v>103</v>
      </c>
      <c r="C997" s="4">
        <v>1929.7090000000001</v>
      </c>
      <c r="D997" s="4">
        <v>1929.489</v>
      </c>
      <c r="E997" s="4">
        <v>1929.9290000000001</v>
      </c>
      <c r="F997" s="4"/>
      <c r="G997" s="4"/>
      <c r="H997" s="26" t="s">
        <v>2573</v>
      </c>
      <c r="I997" s="4"/>
      <c r="J997" s="6">
        <v>0</v>
      </c>
      <c r="K997" s="29" t="s">
        <v>1767</v>
      </c>
      <c r="L997" s="4"/>
      <c r="M997" s="3"/>
    </row>
    <row r="998" spans="1:13" x14ac:dyDescent="0.3">
      <c r="A998" s="3">
        <v>103</v>
      </c>
      <c r="B998" s="3">
        <v>103</v>
      </c>
      <c r="C998" s="4">
        <v>1930.0709999999999</v>
      </c>
      <c r="D998" s="4">
        <v>1929.9290000000001</v>
      </c>
      <c r="E998" s="4">
        <v>1930.213</v>
      </c>
      <c r="F998" s="4"/>
      <c r="G998" s="4"/>
      <c r="H998" s="25" t="s">
        <v>2574</v>
      </c>
      <c r="I998" s="4"/>
      <c r="J998" s="6">
        <v>0</v>
      </c>
      <c r="K998" s="30" t="s">
        <v>1767</v>
      </c>
      <c r="L998" s="4"/>
      <c r="M998" s="3"/>
    </row>
    <row r="999" spans="1:13" x14ac:dyDescent="0.3">
      <c r="A999" s="3">
        <v>103</v>
      </c>
      <c r="B999" s="3">
        <v>103</v>
      </c>
      <c r="C999" s="4">
        <v>1930.4010000000001</v>
      </c>
      <c r="D999" s="4">
        <v>1930.213</v>
      </c>
      <c r="E999" s="4">
        <v>1930.588</v>
      </c>
      <c r="F999" s="4"/>
      <c r="G999" s="4"/>
      <c r="H999" s="26" t="s">
        <v>2575</v>
      </c>
      <c r="I999" s="4"/>
      <c r="J999" s="6">
        <v>0</v>
      </c>
      <c r="K999" s="29" t="s">
        <v>1767</v>
      </c>
      <c r="L999" s="4"/>
      <c r="M999" s="3"/>
    </row>
    <row r="1000" spans="1:13" x14ac:dyDescent="0.3">
      <c r="A1000" s="3">
        <v>103</v>
      </c>
      <c r="B1000" s="3">
        <v>103</v>
      </c>
      <c r="C1000" s="4">
        <v>1930.6759999999999</v>
      </c>
      <c r="D1000" s="4">
        <v>1930.588</v>
      </c>
      <c r="E1000" s="4">
        <v>1930.7629999999999</v>
      </c>
      <c r="F1000" s="4"/>
      <c r="G1000" s="4"/>
      <c r="H1000" s="25" t="s">
        <v>2576</v>
      </c>
      <c r="I1000" s="4"/>
      <c r="J1000" s="6">
        <v>0</v>
      </c>
      <c r="K1000" s="30" t="s">
        <v>1767</v>
      </c>
      <c r="L1000" s="4"/>
      <c r="M1000" s="3"/>
    </row>
    <row r="1001" spans="1:13" x14ac:dyDescent="0.3">
      <c r="A1001" s="3">
        <v>103</v>
      </c>
      <c r="B1001" s="3">
        <v>103</v>
      </c>
      <c r="C1001" s="4">
        <v>1931.037</v>
      </c>
      <c r="D1001" s="4">
        <v>1930.7629999999999</v>
      </c>
      <c r="E1001" s="4">
        <v>1931.3109999999999</v>
      </c>
      <c r="F1001" s="4"/>
      <c r="G1001" s="4"/>
      <c r="H1001" s="26" t="s">
        <v>2577</v>
      </c>
      <c r="I1001" s="4"/>
      <c r="J1001" s="6">
        <v>0</v>
      </c>
      <c r="K1001" s="29" t="s">
        <v>1767</v>
      </c>
      <c r="L1001" s="4"/>
      <c r="M1001" s="3"/>
    </row>
    <row r="1002" spans="1:13" x14ac:dyDescent="0.3">
      <c r="A1002" s="3">
        <v>103</v>
      </c>
      <c r="B1002" s="3">
        <v>103</v>
      </c>
      <c r="C1002" s="4">
        <v>1931.499</v>
      </c>
      <c r="D1002" s="4">
        <v>1931.3109999999999</v>
      </c>
      <c r="E1002" s="4">
        <v>1931.6859999999999</v>
      </c>
      <c r="F1002" s="4"/>
      <c r="G1002" s="4"/>
      <c r="H1002" s="25" t="s">
        <v>2578</v>
      </c>
      <c r="I1002" s="4"/>
      <c r="J1002" s="6">
        <v>0</v>
      </c>
      <c r="K1002" s="30" t="s">
        <v>1767</v>
      </c>
      <c r="L1002" s="4"/>
      <c r="M1002" s="3"/>
    </row>
    <row r="1003" spans="1:13" x14ac:dyDescent="0.3">
      <c r="A1003" s="3">
        <v>103</v>
      </c>
      <c r="B1003" s="3">
        <v>103</v>
      </c>
      <c r="C1003" s="4">
        <v>1931.894</v>
      </c>
      <c r="D1003" s="4">
        <v>1931.6859999999999</v>
      </c>
      <c r="E1003" s="4">
        <v>1932.1020000000001</v>
      </c>
      <c r="F1003" s="4"/>
      <c r="G1003" s="4"/>
      <c r="H1003" s="26" t="s">
        <v>2579</v>
      </c>
      <c r="I1003" s="4"/>
      <c r="J1003" s="6">
        <v>0</v>
      </c>
      <c r="K1003" s="29" t="s">
        <v>1767</v>
      </c>
      <c r="L1003" s="4"/>
      <c r="M1003" s="3"/>
    </row>
    <row r="1004" spans="1:13" x14ac:dyDescent="0.3">
      <c r="A1004" s="3">
        <v>103</v>
      </c>
      <c r="B1004" s="3">
        <v>103</v>
      </c>
      <c r="C1004" s="4">
        <v>1932.162</v>
      </c>
      <c r="D1004" s="4">
        <v>1932.1020000000001</v>
      </c>
      <c r="E1004" s="4">
        <v>1932.222</v>
      </c>
      <c r="F1004" s="4"/>
      <c r="G1004" s="4"/>
      <c r="H1004" s="25" t="s">
        <v>2580</v>
      </c>
      <c r="I1004" s="4"/>
      <c r="J1004" s="6">
        <v>0</v>
      </c>
      <c r="K1004" s="30" t="s">
        <v>1767</v>
      </c>
      <c r="L1004" s="4"/>
      <c r="M1004" s="3"/>
    </row>
    <row r="1005" spans="1:13" x14ac:dyDescent="0.3">
      <c r="A1005" s="3">
        <v>103</v>
      </c>
      <c r="B1005" s="3">
        <v>103</v>
      </c>
      <c r="C1005" s="4">
        <v>1932.569</v>
      </c>
      <c r="D1005" s="4">
        <v>1932.222</v>
      </c>
      <c r="E1005" s="4">
        <v>1932.915</v>
      </c>
      <c r="F1005" s="4"/>
      <c r="G1005" s="4"/>
      <c r="H1005" s="26" t="s">
        <v>2581</v>
      </c>
      <c r="I1005" s="4"/>
      <c r="J1005" s="6">
        <v>0</v>
      </c>
      <c r="K1005" s="29" t="s">
        <v>1767</v>
      </c>
      <c r="L1005" s="4"/>
      <c r="M1005" s="3"/>
    </row>
    <row r="1006" spans="1:13" x14ac:dyDescent="0.3">
      <c r="A1006" s="3">
        <v>103</v>
      </c>
      <c r="B1006" s="3">
        <v>103</v>
      </c>
      <c r="C1006" s="4">
        <v>1933.4590000000001</v>
      </c>
      <c r="D1006" s="4">
        <v>1932.915</v>
      </c>
      <c r="E1006" s="4">
        <v>1934.002</v>
      </c>
      <c r="F1006" s="4"/>
      <c r="G1006" s="4"/>
      <c r="H1006" s="25" t="s">
        <v>2582</v>
      </c>
      <c r="I1006" s="4"/>
      <c r="J1006" s="6">
        <v>0</v>
      </c>
      <c r="K1006" s="30" t="s">
        <v>1767</v>
      </c>
      <c r="L1006" s="4"/>
      <c r="M1006" s="3"/>
    </row>
    <row r="1007" spans="1:13" x14ac:dyDescent="0.3">
      <c r="A1007" s="3">
        <v>103</v>
      </c>
      <c r="B1007" s="3">
        <v>103</v>
      </c>
      <c r="C1007" s="4">
        <v>1934.357</v>
      </c>
      <c r="D1007" s="4">
        <v>1934.002</v>
      </c>
      <c r="E1007" s="4">
        <v>1934.712</v>
      </c>
      <c r="F1007" s="4"/>
      <c r="G1007" s="4"/>
      <c r="H1007" s="26" t="s">
        <v>2583</v>
      </c>
      <c r="I1007" s="4"/>
      <c r="J1007" s="6">
        <v>0</v>
      </c>
      <c r="K1007" s="29" t="s">
        <v>1767</v>
      </c>
      <c r="L1007" s="4"/>
      <c r="M1007" s="3"/>
    </row>
    <row r="1008" spans="1:13" x14ac:dyDescent="0.3">
      <c r="A1008" s="3">
        <v>103</v>
      </c>
      <c r="B1008" s="3">
        <v>103</v>
      </c>
      <c r="C1008" s="4">
        <v>1934.779</v>
      </c>
      <c r="D1008" s="4">
        <v>1934.712</v>
      </c>
      <c r="E1008" s="4">
        <v>1934.845</v>
      </c>
      <c r="F1008" s="4"/>
      <c r="G1008" s="4"/>
      <c r="H1008" s="25" t="s">
        <v>2584</v>
      </c>
      <c r="I1008" s="4"/>
      <c r="J1008" s="6">
        <v>0</v>
      </c>
      <c r="K1008" s="30" t="s">
        <v>1767</v>
      </c>
      <c r="L1008" s="4"/>
      <c r="M1008" s="3"/>
    </row>
    <row r="1009" spans="1:13" x14ac:dyDescent="0.3">
      <c r="A1009" s="3">
        <v>103</v>
      </c>
      <c r="B1009" s="3">
        <v>103</v>
      </c>
      <c r="C1009" s="4">
        <v>1935.1279999999999</v>
      </c>
      <c r="D1009" s="4">
        <v>1934.845</v>
      </c>
      <c r="E1009" s="4">
        <v>1935.41</v>
      </c>
      <c r="F1009" s="4"/>
      <c r="G1009" s="4"/>
      <c r="H1009" s="26" t="s">
        <v>2585</v>
      </c>
      <c r="I1009" s="4"/>
      <c r="J1009" s="6">
        <v>0</v>
      </c>
      <c r="K1009" s="29" t="s">
        <v>1767</v>
      </c>
      <c r="L1009" s="4"/>
      <c r="M1009" s="3"/>
    </row>
    <row r="1010" spans="1:13" x14ac:dyDescent="0.3">
      <c r="A1010" s="3">
        <v>103</v>
      </c>
      <c r="B1010" s="3">
        <v>103</v>
      </c>
      <c r="C1010" s="4">
        <v>1935.559</v>
      </c>
      <c r="D1010" s="4">
        <v>1935.41</v>
      </c>
      <c r="E1010" s="4">
        <v>1935.7070000000001</v>
      </c>
      <c r="F1010" s="4"/>
      <c r="G1010" s="4"/>
      <c r="H1010" s="25" t="s">
        <v>2586</v>
      </c>
      <c r="I1010" s="4"/>
      <c r="J1010" s="6">
        <v>0</v>
      </c>
      <c r="K1010" s="30" t="s">
        <v>1767</v>
      </c>
      <c r="L1010" s="4"/>
      <c r="M1010" s="3"/>
    </row>
    <row r="1011" spans="1:13" x14ac:dyDescent="0.3">
      <c r="A1011" s="3">
        <v>103</v>
      </c>
      <c r="B1011" s="3">
        <v>103</v>
      </c>
      <c r="C1011" s="4">
        <v>1935.9110000000001</v>
      </c>
      <c r="D1011" s="4">
        <v>1935.7070000000001</v>
      </c>
      <c r="E1011" s="4">
        <v>1936.114</v>
      </c>
      <c r="F1011" s="4"/>
      <c r="G1011" s="4"/>
      <c r="H1011" s="26" t="s">
        <v>2587</v>
      </c>
      <c r="I1011" s="4"/>
      <c r="J1011" s="6">
        <v>0</v>
      </c>
      <c r="K1011" s="29" t="s">
        <v>1767</v>
      </c>
      <c r="L1011" s="4"/>
      <c r="M1011" s="3"/>
    </row>
    <row r="1012" spans="1:13" x14ac:dyDescent="0.3">
      <c r="A1012" s="3">
        <v>103</v>
      </c>
      <c r="B1012" s="3">
        <v>103</v>
      </c>
      <c r="C1012" s="4">
        <v>1936.1659999999999</v>
      </c>
      <c r="D1012" s="4">
        <v>1936.114</v>
      </c>
      <c r="E1012" s="4">
        <v>1936.2180000000001</v>
      </c>
      <c r="F1012" s="4"/>
      <c r="G1012" s="4"/>
      <c r="H1012" s="25" t="s">
        <v>2588</v>
      </c>
      <c r="I1012" s="4"/>
      <c r="J1012" s="6">
        <v>0</v>
      </c>
      <c r="K1012" s="30" t="s">
        <v>1767</v>
      </c>
      <c r="L1012" s="4"/>
      <c r="M1012" s="3"/>
    </row>
    <row r="1013" spans="1:13" x14ac:dyDescent="0.3">
      <c r="A1013" s="3">
        <v>103</v>
      </c>
      <c r="B1013" s="3">
        <v>103</v>
      </c>
      <c r="C1013" s="4">
        <v>1936.7529999999999</v>
      </c>
      <c r="D1013" s="4">
        <v>1936.2180000000001</v>
      </c>
      <c r="E1013" s="4">
        <v>1937.287</v>
      </c>
      <c r="F1013" s="4"/>
      <c r="G1013" s="4"/>
      <c r="H1013" s="26" t="s">
        <v>2589</v>
      </c>
      <c r="I1013" s="4"/>
      <c r="J1013" s="6">
        <v>0</v>
      </c>
      <c r="K1013" s="29" t="s">
        <v>1767</v>
      </c>
      <c r="L1013" s="4"/>
      <c r="M1013" s="3"/>
    </row>
    <row r="1014" spans="1:13" x14ac:dyDescent="0.3">
      <c r="A1014" s="3">
        <v>103</v>
      </c>
      <c r="B1014" s="3">
        <v>103</v>
      </c>
      <c r="C1014" s="4">
        <v>1937.4480000000001</v>
      </c>
      <c r="D1014" s="4">
        <v>1937.287</v>
      </c>
      <c r="E1014" s="4">
        <v>1937.6089999999999</v>
      </c>
      <c r="F1014" s="4"/>
      <c r="G1014" s="4"/>
      <c r="H1014" s="25" t="s">
        <v>2590</v>
      </c>
      <c r="I1014" s="4"/>
      <c r="J1014" s="6">
        <v>0</v>
      </c>
      <c r="K1014" s="30" t="s">
        <v>1767</v>
      </c>
      <c r="L1014" s="4"/>
      <c r="M1014" s="3"/>
    </row>
    <row r="1015" spans="1:13" x14ac:dyDescent="0.3">
      <c r="A1015" s="3">
        <v>103</v>
      </c>
      <c r="B1015" s="3">
        <v>103</v>
      </c>
      <c r="C1015" s="4">
        <v>1937.873</v>
      </c>
      <c r="D1015" s="4">
        <v>1937.6089999999999</v>
      </c>
      <c r="E1015" s="4">
        <v>1938.1369999999999</v>
      </c>
      <c r="F1015" s="4"/>
      <c r="G1015" s="4"/>
      <c r="H1015" s="26" t="s">
        <v>2591</v>
      </c>
      <c r="I1015" s="4"/>
      <c r="J1015" s="6">
        <v>0</v>
      </c>
      <c r="K1015" s="29" t="s">
        <v>1767</v>
      </c>
      <c r="L1015" s="4"/>
      <c r="M1015" s="3"/>
    </row>
    <row r="1016" spans="1:13" x14ac:dyDescent="0.3">
      <c r="A1016" s="3">
        <v>103</v>
      </c>
      <c r="B1016" s="3">
        <v>103</v>
      </c>
      <c r="C1016" s="4">
        <v>1938.2429999999999</v>
      </c>
      <c r="D1016" s="4">
        <v>1938.1369999999999</v>
      </c>
      <c r="E1016" s="4">
        <v>1938.3489999999999</v>
      </c>
      <c r="F1016" s="4"/>
      <c r="G1016" s="4"/>
      <c r="H1016" s="25" t="s">
        <v>2592</v>
      </c>
      <c r="I1016" s="4"/>
      <c r="J1016" s="6">
        <v>0</v>
      </c>
      <c r="K1016" s="30" t="s">
        <v>1767</v>
      </c>
      <c r="L1016" s="4"/>
      <c r="M1016" s="3"/>
    </row>
    <row r="1017" spans="1:13" x14ac:dyDescent="0.3">
      <c r="A1017" s="3">
        <v>103</v>
      </c>
      <c r="B1017" s="3">
        <v>103</v>
      </c>
      <c r="C1017" s="4">
        <v>1938.7850000000001</v>
      </c>
      <c r="D1017" s="4">
        <v>1938.3489999999999</v>
      </c>
      <c r="E1017" s="4">
        <v>1939.221</v>
      </c>
      <c r="F1017" s="4"/>
      <c r="G1017" s="4"/>
      <c r="H1017" s="26" t="s">
        <v>2593</v>
      </c>
      <c r="I1017" s="4"/>
      <c r="J1017" s="6">
        <v>0</v>
      </c>
      <c r="K1017" s="29" t="s">
        <v>1767</v>
      </c>
      <c r="L1017" s="4"/>
      <c r="M1017" s="3"/>
    </row>
    <row r="1018" spans="1:13" x14ac:dyDescent="0.3">
      <c r="A1018" s="3">
        <v>103</v>
      </c>
      <c r="B1018" s="3">
        <v>103</v>
      </c>
      <c r="C1018" s="4">
        <v>1939.2840000000001</v>
      </c>
      <c r="D1018" s="4">
        <v>1939.221</v>
      </c>
      <c r="E1018" s="4">
        <v>1939.346</v>
      </c>
      <c r="F1018" s="4"/>
      <c r="G1018" s="4"/>
      <c r="H1018" s="25" t="s">
        <v>2594</v>
      </c>
      <c r="I1018" s="4"/>
      <c r="J1018" s="6">
        <v>0</v>
      </c>
      <c r="K1018" s="30" t="s">
        <v>1767</v>
      </c>
      <c r="L1018" s="4"/>
      <c r="M1018" s="3"/>
    </row>
    <row r="1019" spans="1:13" x14ac:dyDescent="0.3">
      <c r="A1019" s="3">
        <v>103</v>
      </c>
      <c r="B1019" s="3">
        <v>103</v>
      </c>
      <c r="C1019" s="4">
        <v>1939.71</v>
      </c>
      <c r="D1019" s="4">
        <v>1939.346</v>
      </c>
      <c r="E1019" s="4">
        <v>1940.0740000000001</v>
      </c>
      <c r="F1019" s="4"/>
      <c r="G1019" s="4"/>
      <c r="H1019" s="26" t="s">
        <v>2595</v>
      </c>
      <c r="I1019" s="4"/>
      <c r="J1019" s="6">
        <v>0</v>
      </c>
      <c r="K1019" s="29" t="s">
        <v>1767</v>
      </c>
      <c r="L1019" s="4"/>
      <c r="M1019" s="3"/>
    </row>
    <row r="1020" spans="1:13" x14ac:dyDescent="0.3">
      <c r="A1020" s="3">
        <v>103</v>
      </c>
      <c r="B1020" s="3">
        <v>103</v>
      </c>
      <c r="C1020" s="4">
        <v>1940.127</v>
      </c>
      <c r="D1020" s="4">
        <v>1940.0740000000001</v>
      </c>
      <c r="E1020" s="4">
        <v>1940.1790000000001</v>
      </c>
      <c r="F1020" s="4"/>
      <c r="G1020" s="4"/>
      <c r="H1020" s="25" t="s">
        <v>2596</v>
      </c>
      <c r="I1020" s="4"/>
      <c r="J1020" s="6">
        <v>0</v>
      </c>
      <c r="K1020" s="30" t="s">
        <v>1767</v>
      </c>
      <c r="L1020" s="4"/>
      <c r="M1020" s="3"/>
    </row>
    <row r="1021" spans="1:13" x14ac:dyDescent="0.3">
      <c r="A1021" s="3">
        <v>103</v>
      </c>
      <c r="B1021" s="3">
        <v>103</v>
      </c>
      <c r="C1021" s="4">
        <v>1940.6849999999999</v>
      </c>
      <c r="D1021" s="4">
        <v>1940.1790000000001</v>
      </c>
      <c r="E1021" s="4">
        <v>1941.19</v>
      </c>
      <c r="F1021" s="4"/>
      <c r="G1021" s="4"/>
      <c r="H1021" s="26" t="s">
        <v>2597</v>
      </c>
      <c r="I1021" s="4"/>
      <c r="J1021" s="6">
        <v>0</v>
      </c>
      <c r="K1021" s="29" t="s">
        <v>1767</v>
      </c>
      <c r="L1021" s="4"/>
      <c r="M1021" s="3"/>
    </row>
    <row r="1022" spans="1:13" x14ac:dyDescent="0.3">
      <c r="A1022" s="3">
        <v>103</v>
      </c>
      <c r="B1022" s="3">
        <v>103</v>
      </c>
      <c r="C1022" s="4">
        <v>1941.242</v>
      </c>
      <c r="D1022" s="4">
        <v>1941.19</v>
      </c>
      <c r="E1022" s="4">
        <v>1941.2929999999999</v>
      </c>
      <c r="F1022" s="4"/>
      <c r="G1022" s="4"/>
      <c r="H1022" s="25" t="s">
        <v>2598</v>
      </c>
      <c r="I1022" s="4"/>
      <c r="J1022" s="6">
        <v>0</v>
      </c>
      <c r="K1022" s="30" t="s">
        <v>1767</v>
      </c>
      <c r="L1022" s="4"/>
      <c r="M1022" s="3"/>
    </row>
    <row r="1023" spans="1:13" x14ac:dyDescent="0.3">
      <c r="A1023" s="3">
        <v>103</v>
      </c>
      <c r="B1023" s="3">
        <v>103</v>
      </c>
      <c r="C1023" s="4">
        <v>1941.4190000000001</v>
      </c>
      <c r="D1023" s="4">
        <v>1941.2929999999999</v>
      </c>
      <c r="E1023" s="4">
        <v>1941.5440000000001</v>
      </c>
      <c r="F1023" s="4"/>
      <c r="G1023" s="4"/>
      <c r="H1023" s="26" t="s">
        <v>2599</v>
      </c>
      <c r="I1023" s="4"/>
      <c r="J1023" s="6">
        <v>0</v>
      </c>
      <c r="K1023" s="29" t="s">
        <v>1767</v>
      </c>
      <c r="L1023" s="4"/>
      <c r="M1023" s="3"/>
    </row>
    <row r="1024" spans="1:13" x14ac:dyDescent="0.3">
      <c r="A1024" s="3">
        <v>103</v>
      </c>
      <c r="B1024" s="3">
        <v>103</v>
      </c>
      <c r="C1024" s="4">
        <v>1941.606</v>
      </c>
      <c r="D1024" s="4">
        <v>1941.5440000000001</v>
      </c>
      <c r="E1024" s="4">
        <v>1941.6669999999999</v>
      </c>
      <c r="F1024" s="4"/>
      <c r="G1024" s="4"/>
      <c r="H1024" s="25" t="s">
        <v>2600</v>
      </c>
      <c r="I1024" s="4"/>
      <c r="J1024" s="6">
        <v>0</v>
      </c>
      <c r="K1024" s="30" t="s">
        <v>1767</v>
      </c>
      <c r="L1024" s="4"/>
      <c r="M1024" s="3"/>
    </row>
    <row r="1025" spans="1:13" x14ac:dyDescent="0.3">
      <c r="A1025" s="3">
        <v>103</v>
      </c>
      <c r="B1025" s="3">
        <v>103</v>
      </c>
      <c r="C1025" s="4">
        <v>1941.847</v>
      </c>
      <c r="D1025" s="4">
        <v>1941.6669999999999</v>
      </c>
      <c r="E1025" s="4">
        <v>1942.027</v>
      </c>
      <c r="F1025" s="4"/>
      <c r="G1025" s="4"/>
      <c r="H1025" s="26" t="s">
        <v>2601</v>
      </c>
      <c r="I1025" s="4"/>
      <c r="J1025" s="6">
        <v>0</v>
      </c>
      <c r="K1025" s="29" t="s">
        <v>1767</v>
      </c>
      <c r="L1025" s="4"/>
      <c r="M1025" s="3"/>
    </row>
    <row r="1026" spans="1:13" x14ac:dyDescent="0.3">
      <c r="A1026" s="3">
        <v>103</v>
      </c>
      <c r="B1026" s="3">
        <v>103</v>
      </c>
      <c r="C1026" s="4">
        <v>1942.0530000000001</v>
      </c>
      <c r="D1026" s="4">
        <v>1942.027</v>
      </c>
      <c r="E1026" s="4">
        <v>1942.079</v>
      </c>
      <c r="F1026" s="4"/>
      <c r="G1026" s="4"/>
      <c r="H1026" s="25" t="s">
        <v>2602</v>
      </c>
      <c r="I1026" s="4"/>
      <c r="J1026" s="6">
        <v>0</v>
      </c>
      <c r="K1026" s="30" t="s">
        <v>1767</v>
      </c>
      <c r="L1026" s="4"/>
      <c r="M1026" s="3"/>
    </row>
    <row r="1027" spans="1:13" x14ac:dyDescent="0.3">
      <c r="A1027" s="3">
        <v>103</v>
      </c>
      <c r="B1027" s="3">
        <v>103</v>
      </c>
      <c r="C1027" s="4">
        <v>1942.239</v>
      </c>
      <c r="D1027" s="4">
        <v>1942.079</v>
      </c>
      <c r="E1027" s="4">
        <v>1942.3979999999999</v>
      </c>
      <c r="F1027" s="4"/>
      <c r="G1027" s="4"/>
      <c r="H1027" s="26" t="s">
        <v>2603</v>
      </c>
      <c r="I1027" s="4"/>
      <c r="J1027" s="6">
        <v>0</v>
      </c>
      <c r="K1027" s="29" t="s">
        <v>1767</v>
      </c>
      <c r="L1027" s="4"/>
      <c r="M1027" s="3"/>
    </row>
    <row r="1028" spans="1:13" x14ac:dyDescent="0.3">
      <c r="A1028" s="3">
        <v>103</v>
      </c>
      <c r="B1028" s="3">
        <v>103</v>
      </c>
      <c r="C1028" s="4">
        <v>1942.5129999999999</v>
      </c>
      <c r="D1028" s="4">
        <v>1942.3979999999999</v>
      </c>
      <c r="E1028" s="4">
        <v>1942.627</v>
      </c>
      <c r="F1028" s="4"/>
      <c r="G1028" s="4"/>
      <c r="H1028" s="25" t="s">
        <v>2604</v>
      </c>
      <c r="I1028" s="4"/>
      <c r="J1028" s="6">
        <v>0</v>
      </c>
      <c r="K1028" s="30" t="s">
        <v>1767</v>
      </c>
      <c r="L1028" s="4"/>
      <c r="M1028" s="3"/>
    </row>
    <row r="1029" spans="1:13" x14ac:dyDescent="0.3">
      <c r="A1029" s="3">
        <v>103</v>
      </c>
      <c r="B1029" s="3">
        <v>103</v>
      </c>
      <c r="C1029" s="4">
        <v>1942.8510000000001</v>
      </c>
      <c r="D1029" s="4">
        <v>1942.627</v>
      </c>
      <c r="E1029" s="4">
        <v>1943.075</v>
      </c>
      <c r="F1029" s="4"/>
      <c r="G1029" s="4"/>
      <c r="H1029" s="26" t="s">
        <v>2605</v>
      </c>
      <c r="I1029" s="4"/>
      <c r="J1029" s="6">
        <v>0</v>
      </c>
      <c r="K1029" s="29" t="s">
        <v>1767</v>
      </c>
      <c r="L1029" s="4"/>
      <c r="M1029" s="3"/>
    </row>
    <row r="1030" spans="1:13" x14ac:dyDescent="0.3">
      <c r="A1030" s="3">
        <v>103</v>
      </c>
      <c r="B1030" s="3">
        <v>103</v>
      </c>
      <c r="C1030" s="4">
        <v>1943.365</v>
      </c>
      <c r="D1030" s="4">
        <v>1943.075</v>
      </c>
      <c r="E1030" s="4">
        <v>1943.655</v>
      </c>
      <c r="F1030" s="4"/>
      <c r="G1030" s="4"/>
      <c r="H1030" s="25" t="s">
        <v>2606</v>
      </c>
      <c r="I1030" s="4"/>
      <c r="J1030" s="6">
        <v>0</v>
      </c>
      <c r="K1030" s="30" t="s">
        <v>1767</v>
      </c>
      <c r="L1030" s="4"/>
      <c r="M1030" s="3"/>
    </row>
    <row r="1031" spans="1:13" x14ac:dyDescent="0.3">
      <c r="A1031" s="3">
        <v>103</v>
      </c>
      <c r="B1031" s="3">
        <v>103</v>
      </c>
      <c r="C1031" s="4">
        <v>1943.9290000000001</v>
      </c>
      <c r="D1031" s="4">
        <v>1943.655</v>
      </c>
      <c r="E1031" s="4">
        <v>1944.202</v>
      </c>
      <c r="F1031" s="4"/>
      <c r="G1031" s="4"/>
      <c r="H1031" s="26" t="s">
        <v>2607</v>
      </c>
      <c r="I1031" s="4"/>
      <c r="J1031" s="6">
        <v>0</v>
      </c>
      <c r="K1031" s="29" t="s">
        <v>1767</v>
      </c>
      <c r="L1031" s="4"/>
      <c r="M1031" s="3"/>
    </row>
    <row r="1032" spans="1:13" x14ac:dyDescent="0.3">
      <c r="A1032" s="3">
        <v>103</v>
      </c>
      <c r="B1032" s="3">
        <v>103</v>
      </c>
      <c r="C1032" s="4">
        <v>1944.2560000000001</v>
      </c>
      <c r="D1032" s="4">
        <v>1944.202</v>
      </c>
      <c r="E1032" s="4">
        <v>1944.309</v>
      </c>
      <c r="F1032" s="4"/>
      <c r="G1032" s="4"/>
      <c r="H1032" s="25" t="s">
        <v>2608</v>
      </c>
      <c r="I1032" s="4"/>
      <c r="J1032" s="6">
        <v>0</v>
      </c>
      <c r="K1032" s="30" t="s">
        <v>1767</v>
      </c>
      <c r="L1032" s="4"/>
      <c r="M1032" s="3"/>
    </row>
    <row r="1033" spans="1:13" x14ac:dyDescent="0.3">
      <c r="A1033" s="3">
        <v>103</v>
      </c>
      <c r="B1033" s="3">
        <v>103</v>
      </c>
      <c r="C1033" s="4">
        <v>1944.646</v>
      </c>
      <c r="D1033" s="4">
        <v>1944.309</v>
      </c>
      <c r="E1033" s="4">
        <v>1944.9829999999999</v>
      </c>
      <c r="F1033" s="4"/>
      <c r="G1033" s="4"/>
      <c r="H1033" s="26" t="s">
        <v>2609</v>
      </c>
      <c r="I1033" s="4"/>
      <c r="J1033" s="6">
        <v>0</v>
      </c>
      <c r="K1033" s="29" t="s">
        <v>1767</v>
      </c>
      <c r="L1033" s="4"/>
      <c r="M1033" s="3"/>
    </row>
    <row r="1034" spans="1:13" x14ac:dyDescent="0.3">
      <c r="A1034" s="3">
        <v>103</v>
      </c>
      <c r="B1034" s="3">
        <v>103</v>
      </c>
      <c r="C1034" s="4">
        <v>1945.0530000000001</v>
      </c>
      <c r="D1034" s="4">
        <v>1944.9829999999999</v>
      </c>
      <c r="E1034" s="4">
        <v>1945.1220000000001</v>
      </c>
      <c r="F1034" s="4"/>
      <c r="G1034" s="4"/>
      <c r="H1034" s="25" t="s">
        <v>2610</v>
      </c>
      <c r="I1034" s="4"/>
      <c r="J1034" s="6">
        <v>0</v>
      </c>
      <c r="K1034" s="30" t="s">
        <v>1767</v>
      </c>
      <c r="L1034" s="4"/>
      <c r="M1034" s="3"/>
    </row>
    <row r="1035" spans="1:13" x14ac:dyDescent="0.3">
      <c r="A1035" s="3">
        <v>103</v>
      </c>
      <c r="B1035" s="3">
        <v>103</v>
      </c>
      <c r="C1035" s="4">
        <v>1945.4449999999999</v>
      </c>
      <c r="D1035" s="4">
        <v>1945.1220000000001</v>
      </c>
      <c r="E1035" s="4">
        <v>1945.7670000000001</v>
      </c>
      <c r="F1035" s="4"/>
      <c r="G1035" s="4"/>
      <c r="H1035" s="26" t="s">
        <v>2611</v>
      </c>
      <c r="I1035" s="4"/>
      <c r="J1035" s="6">
        <v>0</v>
      </c>
      <c r="K1035" s="29" t="s">
        <v>1767</v>
      </c>
      <c r="L1035" s="4"/>
      <c r="M1035" s="3"/>
    </row>
    <row r="1036" spans="1:13" x14ac:dyDescent="0.3">
      <c r="A1036" s="3">
        <v>103</v>
      </c>
      <c r="B1036" s="3">
        <v>103</v>
      </c>
      <c r="C1036" s="4">
        <v>1945.9570000000001</v>
      </c>
      <c r="D1036" s="4">
        <v>1945.7670000000001</v>
      </c>
      <c r="E1036" s="4">
        <v>1946.146</v>
      </c>
      <c r="F1036" s="4"/>
      <c r="G1036" s="4"/>
      <c r="H1036" s="25" t="s">
        <v>2612</v>
      </c>
      <c r="I1036" s="4"/>
      <c r="J1036" s="6">
        <v>0</v>
      </c>
      <c r="K1036" s="30" t="s">
        <v>1767</v>
      </c>
      <c r="L1036" s="4"/>
      <c r="M1036" s="3"/>
    </row>
    <row r="1037" spans="1:13" x14ac:dyDescent="0.3">
      <c r="A1037" s="3">
        <v>103</v>
      </c>
      <c r="B1037" s="3">
        <v>103</v>
      </c>
      <c r="C1037" s="4">
        <v>1946.461</v>
      </c>
      <c r="D1037" s="4">
        <v>1946.146</v>
      </c>
      <c r="E1037" s="4">
        <v>1946.7760000000001</v>
      </c>
      <c r="F1037" s="4"/>
      <c r="G1037" s="4"/>
      <c r="H1037" s="26" t="s">
        <v>2613</v>
      </c>
      <c r="I1037" s="4"/>
      <c r="J1037" s="6">
        <v>0</v>
      </c>
      <c r="K1037" s="29" t="s">
        <v>1767</v>
      </c>
      <c r="L1037" s="4"/>
      <c r="M1037" s="3"/>
    </row>
    <row r="1038" spans="1:13" x14ac:dyDescent="0.3">
      <c r="A1038" s="3">
        <v>103</v>
      </c>
      <c r="B1038" s="3">
        <v>103</v>
      </c>
      <c r="C1038" s="4">
        <v>1947.058</v>
      </c>
      <c r="D1038" s="4">
        <v>1946.7760000000001</v>
      </c>
      <c r="E1038" s="4">
        <v>1947.3389999999999</v>
      </c>
      <c r="F1038" s="4"/>
      <c r="G1038" s="4"/>
      <c r="H1038" s="25" t="s">
        <v>2614</v>
      </c>
      <c r="I1038" s="4"/>
      <c r="J1038" s="6">
        <v>0</v>
      </c>
      <c r="K1038" s="30" t="s">
        <v>1767</v>
      </c>
      <c r="L1038" s="4"/>
      <c r="M1038" s="3"/>
    </row>
    <row r="1039" spans="1:13" x14ac:dyDescent="0.3">
      <c r="A1039" s="3">
        <v>103</v>
      </c>
      <c r="B1039" s="3">
        <v>103</v>
      </c>
      <c r="C1039" s="4">
        <v>1947.6590000000001</v>
      </c>
      <c r="D1039" s="4">
        <v>1947.3389999999999</v>
      </c>
      <c r="E1039" s="4">
        <v>1947.979</v>
      </c>
      <c r="F1039" s="4"/>
      <c r="G1039" s="4"/>
      <c r="H1039" s="26" t="s">
        <v>2615</v>
      </c>
      <c r="I1039" s="4"/>
      <c r="J1039" s="6">
        <v>0</v>
      </c>
      <c r="K1039" s="29" t="s">
        <v>1767</v>
      </c>
      <c r="L1039" s="4"/>
      <c r="M1039" s="3"/>
    </row>
    <row r="1040" spans="1:13" x14ac:dyDescent="0.3">
      <c r="A1040" s="3">
        <v>103</v>
      </c>
      <c r="B1040" s="3">
        <v>103</v>
      </c>
      <c r="C1040" s="4">
        <v>1948.0450000000001</v>
      </c>
      <c r="D1040" s="4">
        <v>1947.979</v>
      </c>
      <c r="E1040" s="4">
        <v>1948.1110000000001</v>
      </c>
      <c r="F1040" s="4"/>
      <c r="G1040" s="4"/>
      <c r="H1040" s="25" t="s">
        <v>2616</v>
      </c>
      <c r="I1040" s="4"/>
      <c r="J1040" s="6">
        <v>0</v>
      </c>
      <c r="K1040" s="30" t="s">
        <v>1767</v>
      </c>
      <c r="L1040" s="4"/>
      <c r="M1040" s="3"/>
    </row>
    <row r="1041" spans="1:13" x14ac:dyDescent="0.3">
      <c r="A1041" s="3">
        <v>103</v>
      </c>
      <c r="B1041" s="3">
        <v>103</v>
      </c>
      <c r="C1041" s="4">
        <v>1948.662</v>
      </c>
      <c r="D1041" s="4">
        <v>1948.1110000000001</v>
      </c>
      <c r="E1041" s="4">
        <v>1949.213</v>
      </c>
      <c r="F1041" s="4"/>
      <c r="G1041" s="4"/>
      <c r="H1041" s="26" t="s">
        <v>2617</v>
      </c>
      <c r="I1041" s="4"/>
      <c r="J1041" s="6">
        <v>0</v>
      </c>
      <c r="K1041" s="29" t="s">
        <v>1767</v>
      </c>
      <c r="L1041" s="4"/>
      <c r="M1041" s="3"/>
    </row>
    <row r="1042" spans="1:13" x14ac:dyDescent="0.3">
      <c r="A1042" s="3">
        <v>103</v>
      </c>
      <c r="B1042" s="3">
        <v>103</v>
      </c>
      <c r="C1042" s="4">
        <v>1949.635</v>
      </c>
      <c r="D1042" s="4">
        <v>1949.213</v>
      </c>
      <c r="E1042" s="4">
        <v>1950.056</v>
      </c>
      <c r="F1042" s="4"/>
      <c r="G1042" s="4"/>
      <c r="H1042" s="25" t="s">
        <v>2618</v>
      </c>
      <c r="I1042" s="4"/>
      <c r="J1042" s="6">
        <v>0</v>
      </c>
      <c r="K1042" s="30" t="s">
        <v>1767</v>
      </c>
      <c r="L1042" s="4"/>
      <c r="M1042" s="3"/>
    </row>
    <row r="1043" spans="1:13" x14ac:dyDescent="0.3">
      <c r="A1043" s="3">
        <v>103</v>
      </c>
      <c r="B1043" s="3">
        <v>103</v>
      </c>
      <c r="C1043" s="4">
        <v>1950.393</v>
      </c>
      <c r="D1043" s="4">
        <v>1950.056</v>
      </c>
      <c r="E1043" s="4">
        <v>1950.729</v>
      </c>
      <c r="F1043" s="4"/>
      <c r="G1043" s="4"/>
      <c r="H1043" s="26" t="s">
        <v>2619</v>
      </c>
      <c r="I1043" s="4"/>
      <c r="J1043" s="6">
        <v>0</v>
      </c>
      <c r="K1043" s="29" t="s">
        <v>1767</v>
      </c>
      <c r="L1043" s="4"/>
      <c r="M1043" s="3"/>
    </row>
    <row r="1044" spans="1:13" x14ac:dyDescent="0.3">
      <c r="A1044" s="3">
        <v>103</v>
      </c>
      <c r="B1044" s="3">
        <v>103</v>
      </c>
      <c r="C1044" s="4">
        <v>1950.8019999999999</v>
      </c>
      <c r="D1044" s="4">
        <v>1950.729</v>
      </c>
      <c r="E1044" s="4">
        <v>1950.875</v>
      </c>
      <c r="F1044" s="4"/>
      <c r="G1044" s="4"/>
      <c r="H1044" s="25" t="s">
        <v>2620</v>
      </c>
      <c r="I1044" s="4"/>
      <c r="J1044" s="6">
        <v>0</v>
      </c>
      <c r="K1044" s="30" t="s">
        <v>1767</v>
      </c>
      <c r="L1044" s="4"/>
      <c r="M1044" s="3"/>
    </row>
    <row r="1045" spans="1:13" x14ac:dyDescent="0.3">
      <c r="A1045" s="3">
        <v>103</v>
      </c>
      <c r="B1045" s="3">
        <v>103</v>
      </c>
      <c r="C1045" s="4">
        <v>1951.172</v>
      </c>
      <c r="D1045" s="4">
        <v>1950.875</v>
      </c>
      <c r="E1045" s="4">
        <v>1951.4680000000001</v>
      </c>
      <c r="F1045" s="4"/>
      <c r="G1045" s="4"/>
      <c r="H1045" s="26" t="s">
        <v>2621</v>
      </c>
      <c r="I1045" s="4"/>
      <c r="J1045" s="6">
        <v>0</v>
      </c>
      <c r="K1045" s="29" t="s">
        <v>1767</v>
      </c>
      <c r="L1045" s="4"/>
      <c r="M1045" s="3"/>
    </row>
    <row r="1046" spans="1:13" x14ac:dyDescent="0.3">
      <c r="A1046" s="3">
        <v>103</v>
      </c>
      <c r="B1046" s="3">
        <v>103</v>
      </c>
      <c r="C1046" s="4">
        <v>1951.8009999999999</v>
      </c>
      <c r="D1046" s="4">
        <v>1951.4680000000001</v>
      </c>
      <c r="E1046" s="4">
        <v>1952.133</v>
      </c>
      <c r="F1046" s="4"/>
      <c r="G1046" s="4"/>
      <c r="H1046" s="25" t="s">
        <v>2622</v>
      </c>
      <c r="I1046" s="4"/>
      <c r="J1046" s="6">
        <v>0</v>
      </c>
      <c r="K1046" s="30" t="s">
        <v>1767</v>
      </c>
      <c r="L1046" s="4"/>
      <c r="M1046" s="3"/>
    </row>
    <row r="1047" spans="1:13" x14ac:dyDescent="0.3">
      <c r="A1047" s="3">
        <v>103</v>
      </c>
      <c r="B1047" s="3">
        <v>103</v>
      </c>
      <c r="C1047" s="4">
        <v>1952.588</v>
      </c>
      <c r="D1047" s="4">
        <v>1952.133</v>
      </c>
      <c r="E1047" s="4">
        <v>1953.0429999999999</v>
      </c>
      <c r="F1047" s="4"/>
      <c r="G1047" s="4"/>
      <c r="H1047" s="26" t="s">
        <v>2623</v>
      </c>
      <c r="I1047" s="4"/>
      <c r="J1047" s="6">
        <v>0</v>
      </c>
      <c r="K1047" s="29" t="s">
        <v>1767</v>
      </c>
      <c r="L1047" s="4"/>
      <c r="M1047" s="3"/>
    </row>
    <row r="1048" spans="1:13" x14ac:dyDescent="0.3">
      <c r="A1048" s="3">
        <v>103</v>
      </c>
      <c r="B1048" s="3">
        <v>103</v>
      </c>
      <c r="C1048" s="4">
        <v>1953.2619999999999</v>
      </c>
      <c r="D1048" s="4">
        <v>1953.0429999999999</v>
      </c>
      <c r="E1048" s="4">
        <v>1953.48</v>
      </c>
      <c r="F1048" s="4"/>
      <c r="G1048" s="4"/>
      <c r="H1048" s="25" t="s">
        <v>2624</v>
      </c>
      <c r="I1048" s="4"/>
      <c r="J1048" s="6">
        <v>0</v>
      </c>
      <c r="K1048" s="30" t="s">
        <v>1767</v>
      </c>
      <c r="L1048" s="4"/>
      <c r="M1048" s="3"/>
    </row>
    <row r="1049" spans="1:13" x14ac:dyDescent="0.3">
      <c r="A1049" s="3">
        <v>103</v>
      </c>
      <c r="B1049" s="3">
        <v>103</v>
      </c>
      <c r="C1049" s="4">
        <v>1953.84</v>
      </c>
      <c r="D1049" s="4">
        <v>1953.48</v>
      </c>
      <c r="E1049" s="4">
        <v>1954.1990000000001</v>
      </c>
      <c r="F1049" s="4"/>
      <c r="G1049" s="4"/>
      <c r="H1049" s="26" t="s">
        <v>2625</v>
      </c>
      <c r="I1049" s="4"/>
      <c r="J1049" s="6">
        <v>0</v>
      </c>
      <c r="K1049" s="29" t="s">
        <v>1767</v>
      </c>
      <c r="L1049" s="4"/>
      <c r="M1049" s="3"/>
    </row>
    <row r="1050" spans="1:13" x14ac:dyDescent="0.3">
      <c r="A1050" s="3">
        <v>103</v>
      </c>
      <c r="B1050" s="3">
        <v>103</v>
      </c>
      <c r="C1050" s="4">
        <v>1954.789</v>
      </c>
      <c r="D1050" s="4">
        <v>1954.1990000000001</v>
      </c>
      <c r="E1050" s="4">
        <v>1955.3789999999999</v>
      </c>
      <c r="F1050" s="4"/>
      <c r="G1050" s="4"/>
      <c r="H1050" s="25" t="s">
        <v>2626</v>
      </c>
      <c r="I1050" s="4"/>
      <c r="J1050" s="6">
        <v>0</v>
      </c>
      <c r="K1050" s="30" t="s">
        <v>1767</v>
      </c>
      <c r="L1050" s="4"/>
      <c r="M1050" s="3"/>
    </row>
    <row r="1051" spans="1:13" x14ac:dyDescent="0.3">
      <c r="A1051" s="3">
        <v>103</v>
      </c>
      <c r="B1051" s="3">
        <v>103</v>
      </c>
      <c r="C1051" s="4">
        <v>1955.6130000000001</v>
      </c>
      <c r="D1051" s="4">
        <v>1955.3789999999999</v>
      </c>
      <c r="E1051" s="4">
        <v>1955.847</v>
      </c>
      <c r="F1051" s="4"/>
      <c r="G1051" s="4"/>
      <c r="H1051" s="26" t="s">
        <v>2627</v>
      </c>
      <c r="I1051" s="4"/>
      <c r="J1051" s="6">
        <v>0</v>
      </c>
      <c r="K1051" s="29" t="s">
        <v>1767</v>
      </c>
      <c r="L1051" s="4"/>
      <c r="M1051" s="3"/>
    </row>
    <row r="1052" spans="1:13" x14ac:dyDescent="0.3">
      <c r="A1052" s="3">
        <v>103</v>
      </c>
      <c r="B1052" s="3">
        <v>103</v>
      </c>
      <c r="C1052" s="4">
        <v>1956.568</v>
      </c>
      <c r="D1052" s="4">
        <v>1955.847</v>
      </c>
      <c r="E1052" s="4">
        <v>1957.289</v>
      </c>
      <c r="F1052" s="4"/>
      <c r="G1052" s="4"/>
      <c r="H1052" s="25" t="s">
        <v>2628</v>
      </c>
      <c r="I1052" s="4"/>
      <c r="J1052" s="6">
        <v>0</v>
      </c>
      <c r="K1052" s="30" t="s">
        <v>1767</v>
      </c>
      <c r="L1052" s="4"/>
      <c r="M1052" s="3"/>
    </row>
    <row r="1053" spans="1:13" x14ac:dyDescent="0.3">
      <c r="A1053" s="3">
        <v>103</v>
      </c>
      <c r="B1053" s="3">
        <v>103</v>
      </c>
      <c r="C1053" s="4">
        <v>1957.7909999999999</v>
      </c>
      <c r="D1053" s="4">
        <v>1957.289</v>
      </c>
      <c r="E1053" s="4">
        <v>1958.2919999999999</v>
      </c>
      <c r="F1053" s="4"/>
      <c r="G1053" s="4"/>
      <c r="H1053" s="26" t="s">
        <v>2629</v>
      </c>
      <c r="I1053" s="4"/>
      <c r="J1053" s="6">
        <v>0</v>
      </c>
      <c r="K1053" s="29" t="s">
        <v>1767</v>
      </c>
      <c r="L1053" s="4"/>
      <c r="M1053" s="3"/>
    </row>
    <row r="1054" spans="1:13" x14ac:dyDescent="0.3">
      <c r="A1054" s="3">
        <v>103</v>
      </c>
      <c r="B1054" s="3">
        <v>103</v>
      </c>
      <c r="C1054" s="4">
        <v>1958.3789999999999</v>
      </c>
      <c r="D1054" s="4">
        <v>1958.2919999999999</v>
      </c>
      <c r="E1054" s="4">
        <v>1958.4649999999999</v>
      </c>
      <c r="F1054" s="4"/>
      <c r="G1054" s="4"/>
      <c r="H1054" s="25" t="s">
        <v>2630</v>
      </c>
      <c r="I1054" s="4"/>
      <c r="J1054" s="6">
        <v>0</v>
      </c>
      <c r="K1054" s="30" t="s">
        <v>1767</v>
      </c>
      <c r="L1054" s="4"/>
      <c r="M1054" s="3"/>
    </row>
    <row r="1055" spans="1:13" x14ac:dyDescent="0.3">
      <c r="A1055" s="3">
        <v>103</v>
      </c>
      <c r="B1055" s="3">
        <v>103</v>
      </c>
      <c r="C1055" s="4">
        <v>1958.6949999999999</v>
      </c>
      <c r="D1055" s="4">
        <v>1958.4649999999999</v>
      </c>
      <c r="E1055" s="4">
        <v>1958.925</v>
      </c>
      <c r="F1055" s="4"/>
      <c r="G1055" s="4"/>
      <c r="H1055" s="26" t="s">
        <v>2631</v>
      </c>
      <c r="I1055" s="4"/>
      <c r="J1055" s="6">
        <v>0</v>
      </c>
      <c r="K1055" s="29" t="s">
        <v>1767</v>
      </c>
      <c r="L1055" s="4"/>
      <c r="M1055" s="3"/>
    </row>
    <row r="1056" spans="1:13" x14ac:dyDescent="0.3">
      <c r="A1056" s="3">
        <v>103</v>
      </c>
      <c r="B1056" s="3">
        <v>103</v>
      </c>
      <c r="C1056" s="4">
        <v>1959.0640000000001</v>
      </c>
      <c r="D1056" s="4">
        <v>1958.925</v>
      </c>
      <c r="E1056" s="4">
        <v>1959.203</v>
      </c>
      <c r="F1056" s="4"/>
      <c r="G1056" s="4"/>
      <c r="H1056" s="25" t="s">
        <v>2632</v>
      </c>
      <c r="I1056" s="4"/>
      <c r="J1056" s="6">
        <v>0</v>
      </c>
      <c r="K1056" s="30" t="s">
        <v>1767</v>
      </c>
      <c r="L1056" s="4"/>
      <c r="M1056" s="3"/>
    </row>
    <row r="1057" spans="1:13" x14ac:dyDescent="0.3">
      <c r="A1057" s="3">
        <v>103</v>
      </c>
      <c r="B1057" s="3">
        <v>103</v>
      </c>
      <c r="C1057" s="4">
        <v>1959.3969999999999</v>
      </c>
      <c r="D1057" s="4">
        <v>1959.203</v>
      </c>
      <c r="E1057" s="4">
        <v>1959.5909999999999</v>
      </c>
      <c r="F1057" s="4"/>
      <c r="G1057" s="4"/>
      <c r="H1057" s="26" t="s">
        <v>2633</v>
      </c>
      <c r="I1057" s="4"/>
      <c r="J1057" s="6">
        <v>0</v>
      </c>
      <c r="K1057" s="29" t="s">
        <v>1767</v>
      </c>
      <c r="L1057" s="4"/>
      <c r="M1057" s="3"/>
    </row>
    <row r="1058" spans="1:13" x14ac:dyDescent="0.3">
      <c r="A1058" s="3">
        <v>103</v>
      </c>
      <c r="B1058" s="3">
        <v>103</v>
      </c>
      <c r="C1058" s="4">
        <v>1959.7760000000001</v>
      </c>
      <c r="D1058" s="4">
        <v>1959.5909999999999</v>
      </c>
      <c r="E1058" s="4">
        <v>1959.96</v>
      </c>
      <c r="F1058" s="4"/>
      <c r="G1058" s="4"/>
      <c r="H1058" s="25" t="s">
        <v>2634</v>
      </c>
      <c r="I1058" s="4"/>
      <c r="J1058" s="6">
        <v>0</v>
      </c>
      <c r="K1058" s="30" t="s">
        <v>1767</v>
      </c>
      <c r="L1058" s="4"/>
      <c r="M1058" s="3"/>
    </row>
    <row r="1059" spans="1:13" x14ac:dyDescent="0.3">
      <c r="A1059" s="3">
        <v>103</v>
      </c>
      <c r="B1059" s="3">
        <v>103</v>
      </c>
      <c r="C1059" s="4">
        <v>1960.115</v>
      </c>
      <c r="D1059" s="4">
        <v>1959.96</v>
      </c>
      <c r="E1059" s="4">
        <v>1960.269</v>
      </c>
      <c r="F1059" s="4"/>
      <c r="G1059" s="4"/>
      <c r="H1059" s="26" t="s">
        <v>2635</v>
      </c>
      <c r="I1059" s="4"/>
      <c r="J1059" s="6">
        <v>0</v>
      </c>
      <c r="K1059" s="29" t="s">
        <v>1767</v>
      </c>
      <c r="L1059" s="4"/>
      <c r="M1059" s="3"/>
    </row>
    <row r="1060" spans="1:13" x14ac:dyDescent="0.3">
      <c r="A1060" s="3">
        <v>103</v>
      </c>
      <c r="B1060" s="3">
        <v>103</v>
      </c>
      <c r="C1060" s="4">
        <v>1960.3309999999999</v>
      </c>
      <c r="D1060" s="4">
        <v>1960.269</v>
      </c>
      <c r="E1060" s="4">
        <v>1960.3920000000001</v>
      </c>
      <c r="F1060" s="4"/>
      <c r="G1060" s="4"/>
      <c r="H1060" s="25" t="s">
        <v>2636</v>
      </c>
      <c r="I1060" s="4"/>
      <c r="J1060" s="6">
        <v>0</v>
      </c>
      <c r="K1060" s="30" t="s">
        <v>1767</v>
      </c>
      <c r="L1060" s="4"/>
      <c r="M1060" s="3"/>
    </row>
    <row r="1061" spans="1:13" x14ac:dyDescent="0.3">
      <c r="A1061" s="3">
        <v>103</v>
      </c>
      <c r="B1061" s="3">
        <v>103</v>
      </c>
      <c r="C1061" s="4">
        <v>1960.835</v>
      </c>
      <c r="D1061" s="4">
        <v>1960.3920000000001</v>
      </c>
      <c r="E1061" s="4">
        <v>1961.277</v>
      </c>
      <c r="F1061" s="4"/>
      <c r="G1061" s="4"/>
      <c r="H1061" s="26" t="s">
        <v>2637</v>
      </c>
      <c r="I1061" s="4"/>
      <c r="J1061" s="6">
        <v>0</v>
      </c>
      <c r="K1061" s="29" t="s">
        <v>1767</v>
      </c>
      <c r="L1061" s="4"/>
      <c r="M1061" s="3"/>
    </row>
    <row r="1062" spans="1:13" x14ac:dyDescent="0.3">
      <c r="A1062" s="3">
        <v>103</v>
      </c>
      <c r="B1062" s="3">
        <v>103</v>
      </c>
      <c r="C1062" s="4">
        <v>1961.7570000000001</v>
      </c>
      <c r="D1062" s="4">
        <v>1961.277</v>
      </c>
      <c r="E1062" s="4">
        <v>1962.2360000000001</v>
      </c>
      <c r="F1062" s="4"/>
      <c r="G1062" s="4"/>
      <c r="H1062" s="25" t="s">
        <v>2638</v>
      </c>
      <c r="I1062" s="4"/>
      <c r="J1062" s="6">
        <v>0</v>
      </c>
      <c r="K1062" s="30" t="s">
        <v>1767</v>
      </c>
      <c r="L1062" s="4"/>
      <c r="M1062" s="3"/>
    </row>
    <row r="1063" spans="1:13" x14ac:dyDescent="0.3">
      <c r="A1063" s="3">
        <v>103</v>
      </c>
      <c r="B1063" s="3">
        <v>103</v>
      </c>
      <c r="C1063" s="4">
        <v>1962.627</v>
      </c>
      <c r="D1063" s="4">
        <v>1962.2360000000001</v>
      </c>
      <c r="E1063" s="4">
        <v>1963.0170000000001</v>
      </c>
      <c r="F1063" s="4"/>
      <c r="G1063" s="4"/>
      <c r="H1063" s="26" t="s">
        <v>2639</v>
      </c>
      <c r="I1063" s="4"/>
      <c r="J1063" s="6">
        <v>0</v>
      </c>
      <c r="K1063" s="29" t="s">
        <v>1767</v>
      </c>
      <c r="L1063" s="4"/>
      <c r="M1063" s="3"/>
    </row>
    <row r="1064" spans="1:13" x14ac:dyDescent="0.3">
      <c r="A1064" s="3">
        <v>103</v>
      </c>
      <c r="B1064" s="3">
        <v>103</v>
      </c>
      <c r="C1064" s="4">
        <v>1963.242</v>
      </c>
      <c r="D1064" s="4">
        <v>1963.0170000000001</v>
      </c>
      <c r="E1064" s="4">
        <v>1963.4659999999999</v>
      </c>
      <c r="F1064" s="4"/>
      <c r="G1064" s="4"/>
      <c r="H1064" s="25" t="s">
        <v>2640</v>
      </c>
      <c r="I1064" s="4"/>
      <c r="J1064" s="6">
        <v>0</v>
      </c>
      <c r="K1064" s="30" t="s">
        <v>1767</v>
      </c>
      <c r="L1064" s="4"/>
      <c r="M1064" s="3"/>
    </row>
    <row r="1065" spans="1:13" x14ac:dyDescent="0.3">
      <c r="A1065" s="3">
        <v>103</v>
      </c>
      <c r="B1065" s="3">
        <v>103</v>
      </c>
      <c r="C1065" s="4">
        <v>1963.8230000000001</v>
      </c>
      <c r="D1065" s="4">
        <v>1963.4659999999999</v>
      </c>
      <c r="E1065" s="4">
        <v>1964.18</v>
      </c>
      <c r="F1065" s="4"/>
      <c r="G1065" s="4"/>
      <c r="H1065" s="26" t="s">
        <v>2641</v>
      </c>
      <c r="I1065" s="4"/>
      <c r="J1065" s="6">
        <v>0</v>
      </c>
      <c r="K1065" s="29" t="s">
        <v>1767</v>
      </c>
      <c r="L1065" s="4"/>
      <c r="M1065" s="3"/>
    </row>
    <row r="1066" spans="1:13" x14ac:dyDescent="0.3">
      <c r="A1066" s="3">
        <v>103</v>
      </c>
      <c r="B1066" s="3">
        <v>103</v>
      </c>
      <c r="C1066" s="4">
        <v>1964.43</v>
      </c>
      <c r="D1066" s="4">
        <v>1964.18</v>
      </c>
      <c r="E1066" s="4">
        <v>1964.6790000000001</v>
      </c>
      <c r="F1066" s="4"/>
      <c r="G1066" s="4"/>
      <c r="H1066" s="25" t="s">
        <v>2642</v>
      </c>
      <c r="I1066" s="4"/>
      <c r="J1066" s="6">
        <v>0</v>
      </c>
      <c r="K1066" s="30" t="s">
        <v>1767</v>
      </c>
      <c r="L1066" s="4"/>
      <c r="M1066" s="3"/>
    </row>
    <row r="1067" spans="1:13" x14ac:dyDescent="0.3">
      <c r="A1067" s="3">
        <v>103</v>
      </c>
      <c r="B1067" s="3">
        <v>103</v>
      </c>
      <c r="C1067" s="4">
        <v>1964.8889999999999</v>
      </c>
      <c r="D1067" s="4">
        <v>1964.6790000000001</v>
      </c>
      <c r="E1067" s="4">
        <v>1965.0989999999999</v>
      </c>
      <c r="F1067" s="4"/>
      <c r="G1067" s="4"/>
      <c r="H1067" s="26" t="s">
        <v>2643</v>
      </c>
      <c r="I1067" s="4"/>
      <c r="J1067" s="6">
        <v>0</v>
      </c>
      <c r="K1067" s="29" t="s">
        <v>1767</v>
      </c>
      <c r="L1067" s="4"/>
      <c r="M1067" s="3"/>
    </row>
    <row r="1068" spans="1:13" x14ac:dyDescent="0.3">
      <c r="A1068" s="3">
        <v>103</v>
      </c>
      <c r="B1068" s="3">
        <v>103</v>
      </c>
      <c r="C1068" s="4">
        <v>1965.183</v>
      </c>
      <c r="D1068" s="4">
        <v>1965.0989999999999</v>
      </c>
      <c r="E1068" s="4">
        <v>1965.2670000000001</v>
      </c>
      <c r="F1068" s="4"/>
      <c r="G1068" s="4"/>
      <c r="H1068" s="25" t="s">
        <v>2644</v>
      </c>
      <c r="I1068" s="4"/>
      <c r="J1068" s="6">
        <v>0</v>
      </c>
      <c r="K1068" s="30" t="s">
        <v>1767</v>
      </c>
      <c r="L1068" s="4"/>
      <c r="M1068" s="3"/>
    </row>
    <row r="1069" spans="1:13" x14ac:dyDescent="0.3">
      <c r="A1069" s="3">
        <v>103</v>
      </c>
      <c r="B1069" s="3">
        <v>103</v>
      </c>
      <c r="C1069" s="4">
        <v>1965.5309999999999</v>
      </c>
      <c r="D1069" s="4">
        <v>1965.2670000000001</v>
      </c>
      <c r="E1069" s="4">
        <v>1965.7950000000001</v>
      </c>
      <c r="F1069" s="4"/>
      <c r="G1069" s="4"/>
      <c r="H1069" s="26" t="s">
        <v>2645</v>
      </c>
      <c r="I1069" s="4"/>
      <c r="J1069" s="6">
        <v>0</v>
      </c>
      <c r="K1069" s="29" t="s">
        <v>1767</v>
      </c>
      <c r="L1069" s="4"/>
      <c r="M1069" s="3"/>
    </row>
    <row r="1070" spans="1:13" x14ac:dyDescent="0.3">
      <c r="A1070" s="3">
        <v>103</v>
      </c>
      <c r="B1070" s="3">
        <v>103</v>
      </c>
      <c r="C1070" s="4">
        <v>1965.944</v>
      </c>
      <c r="D1070" s="4">
        <v>1965.7950000000001</v>
      </c>
      <c r="E1070" s="4">
        <v>1966.0930000000001</v>
      </c>
      <c r="F1070" s="4"/>
      <c r="G1070" s="4"/>
      <c r="H1070" s="25" t="s">
        <v>2646</v>
      </c>
      <c r="I1070" s="4"/>
      <c r="J1070" s="6">
        <v>0</v>
      </c>
      <c r="K1070" s="30" t="s">
        <v>1767</v>
      </c>
      <c r="L1070" s="4"/>
      <c r="M1070" s="3"/>
    </row>
    <row r="1071" spans="1:13" x14ac:dyDescent="0.3">
      <c r="A1071" s="3">
        <v>103</v>
      </c>
      <c r="B1071" s="3">
        <v>103</v>
      </c>
      <c r="C1071" s="4">
        <v>1966.3409999999999</v>
      </c>
      <c r="D1071" s="4">
        <v>1966.0930000000001</v>
      </c>
      <c r="E1071" s="4">
        <v>1966.5889999999999</v>
      </c>
      <c r="F1071" s="4"/>
      <c r="G1071" s="4"/>
      <c r="H1071" s="26" t="s">
        <v>2647</v>
      </c>
      <c r="I1071" s="4"/>
      <c r="J1071" s="6">
        <v>0</v>
      </c>
      <c r="K1071" s="29" t="s">
        <v>1767</v>
      </c>
      <c r="L1071" s="4"/>
      <c r="M1071" s="3"/>
    </row>
    <row r="1072" spans="1:13" x14ac:dyDescent="0.3">
      <c r="A1072" s="3">
        <v>103</v>
      </c>
      <c r="B1072" s="3">
        <v>103</v>
      </c>
      <c r="C1072" s="4">
        <v>1966.6610000000001</v>
      </c>
      <c r="D1072" s="4">
        <v>1966.5889999999999</v>
      </c>
      <c r="E1072" s="4">
        <v>1966.7329999999999</v>
      </c>
      <c r="F1072" s="4"/>
      <c r="G1072" s="4"/>
      <c r="H1072" s="25" t="s">
        <v>2648</v>
      </c>
      <c r="I1072" s="4"/>
      <c r="J1072" s="6">
        <v>0</v>
      </c>
      <c r="K1072" s="30" t="s">
        <v>1767</v>
      </c>
      <c r="L1072" s="4"/>
      <c r="M1072" s="3"/>
    </row>
    <row r="1073" spans="1:13" x14ac:dyDescent="0.3">
      <c r="A1073" s="3">
        <v>103</v>
      </c>
      <c r="B1073" s="3">
        <v>103</v>
      </c>
      <c r="C1073" s="4">
        <v>1966.972</v>
      </c>
      <c r="D1073" s="4">
        <v>1966.7329999999999</v>
      </c>
      <c r="E1073" s="4">
        <v>1967.21</v>
      </c>
      <c r="F1073" s="4"/>
      <c r="G1073" s="4"/>
      <c r="H1073" s="26" t="s">
        <v>2649</v>
      </c>
      <c r="I1073" s="4"/>
      <c r="J1073" s="6">
        <v>0</v>
      </c>
      <c r="K1073" s="29" t="s">
        <v>1767</v>
      </c>
      <c r="L1073" s="4"/>
      <c r="M1073" s="3"/>
    </row>
    <row r="1074" spans="1:13" x14ac:dyDescent="0.3">
      <c r="A1074" s="3">
        <v>103</v>
      </c>
      <c r="B1074" s="3">
        <v>103</v>
      </c>
      <c r="C1074" s="4">
        <v>1967.259</v>
      </c>
      <c r="D1074" s="4">
        <v>1967.21</v>
      </c>
      <c r="E1074" s="4">
        <v>1967.307</v>
      </c>
      <c r="F1074" s="4"/>
      <c r="G1074" s="4"/>
      <c r="H1074" s="25" t="s">
        <v>2650</v>
      </c>
      <c r="I1074" s="4"/>
      <c r="J1074" s="6">
        <v>0</v>
      </c>
      <c r="K1074" s="30" t="s">
        <v>1767</v>
      </c>
      <c r="L1074" s="4"/>
      <c r="M1074" s="3"/>
    </row>
    <row r="1075" spans="1:13" x14ac:dyDescent="0.3">
      <c r="A1075" s="3">
        <v>103</v>
      </c>
      <c r="B1075" s="3">
        <v>103</v>
      </c>
      <c r="C1075" s="4">
        <v>1967.5429999999999</v>
      </c>
      <c r="D1075" s="4">
        <v>1967.307</v>
      </c>
      <c r="E1075" s="4">
        <v>1967.778</v>
      </c>
      <c r="F1075" s="4"/>
      <c r="G1075" s="4"/>
      <c r="H1075" s="26" t="s">
        <v>2651</v>
      </c>
      <c r="I1075" s="4"/>
      <c r="J1075" s="6">
        <v>0</v>
      </c>
      <c r="K1075" s="29" t="s">
        <v>1767</v>
      </c>
      <c r="L1075" s="4"/>
      <c r="M1075" s="3"/>
    </row>
    <row r="1076" spans="1:13" x14ac:dyDescent="0.3">
      <c r="A1076" s="3">
        <v>103</v>
      </c>
      <c r="B1076" s="3">
        <v>103</v>
      </c>
      <c r="C1076" s="4">
        <v>1968.1179999999999</v>
      </c>
      <c r="D1076" s="4">
        <v>1967.778</v>
      </c>
      <c r="E1076" s="4">
        <v>1968.4580000000001</v>
      </c>
      <c r="F1076" s="4"/>
      <c r="G1076" s="4"/>
      <c r="H1076" s="25" t="s">
        <v>2652</v>
      </c>
      <c r="I1076" s="4"/>
      <c r="J1076" s="6">
        <v>0</v>
      </c>
      <c r="K1076" s="30" t="s">
        <v>1767</v>
      </c>
      <c r="L1076" s="4"/>
      <c r="M1076" s="3"/>
    </row>
    <row r="1077" spans="1:13" x14ac:dyDescent="0.3">
      <c r="A1077" s="3">
        <v>103</v>
      </c>
      <c r="B1077" s="3">
        <v>103</v>
      </c>
      <c r="C1077" s="4">
        <v>1968.662</v>
      </c>
      <c r="D1077" s="4">
        <v>1968.4580000000001</v>
      </c>
      <c r="E1077" s="4">
        <v>1968.866</v>
      </c>
      <c r="F1077" s="4"/>
      <c r="G1077" s="4"/>
      <c r="H1077" s="26" t="s">
        <v>2653</v>
      </c>
      <c r="I1077" s="4"/>
      <c r="J1077" s="6">
        <v>0</v>
      </c>
      <c r="K1077" s="29" t="s">
        <v>1767</v>
      </c>
      <c r="L1077" s="4"/>
      <c r="M1077" s="3"/>
    </row>
    <row r="1078" spans="1:13" x14ac:dyDescent="0.3">
      <c r="A1078" s="3">
        <v>103</v>
      </c>
      <c r="B1078" s="3">
        <v>103</v>
      </c>
      <c r="C1078" s="4">
        <v>1968.9179999999999</v>
      </c>
      <c r="D1078" s="4">
        <v>1968.866</v>
      </c>
      <c r="E1078" s="4">
        <v>1968.97</v>
      </c>
      <c r="F1078" s="4"/>
      <c r="G1078" s="4"/>
      <c r="H1078" s="25" t="s">
        <v>2654</v>
      </c>
      <c r="I1078" s="4"/>
      <c r="J1078" s="6">
        <v>0</v>
      </c>
      <c r="K1078" s="30" t="s">
        <v>1767</v>
      </c>
      <c r="L1078" s="4"/>
      <c r="M1078" s="3"/>
    </row>
    <row r="1079" spans="1:13" x14ac:dyDescent="0.3">
      <c r="A1079" s="3">
        <v>103</v>
      </c>
      <c r="B1079" s="3">
        <v>103</v>
      </c>
      <c r="C1079" s="4">
        <v>1969.2429999999999</v>
      </c>
      <c r="D1079" s="4">
        <v>1968.97</v>
      </c>
      <c r="E1079" s="4">
        <v>1969.5160000000001</v>
      </c>
      <c r="F1079" s="4"/>
      <c r="G1079" s="4"/>
      <c r="H1079" s="26" t="s">
        <v>2655</v>
      </c>
      <c r="I1079" s="4"/>
      <c r="J1079" s="6">
        <v>0</v>
      </c>
      <c r="K1079" s="29" t="s">
        <v>1767</v>
      </c>
      <c r="L1079" s="4"/>
      <c r="M1079" s="3"/>
    </row>
    <row r="1080" spans="1:13" x14ac:dyDescent="0.3">
      <c r="A1080" s="3">
        <v>103</v>
      </c>
      <c r="B1080" s="3">
        <v>103</v>
      </c>
      <c r="C1080" s="4">
        <v>1969.816</v>
      </c>
      <c r="D1080" s="4">
        <v>1969.5160000000001</v>
      </c>
      <c r="E1080" s="4">
        <v>1970.115</v>
      </c>
      <c r="F1080" s="4"/>
      <c r="G1080" s="4"/>
      <c r="H1080" s="25" t="s">
        <v>2656</v>
      </c>
      <c r="I1080" s="4"/>
      <c r="J1080" s="6">
        <v>0</v>
      </c>
      <c r="K1080" s="30" t="s">
        <v>1767</v>
      </c>
      <c r="L1080" s="4"/>
      <c r="M1080" s="3"/>
    </row>
    <row r="1081" spans="1:13" x14ac:dyDescent="0.3">
      <c r="A1081" s="3">
        <v>103</v>
      </c>
      <c r="B1081" s="3">
        <v>103</v>
      </c>
      <c r="C1081" s="4">
        <v>1970.326</v>
      </c>
      <c r="D1081" s="4">
        <v>1970.115</v>
      </c>
      <c r="E1081" s="4">
        <v>1970.537</v>
      </c>
      <c r="F1081" s="4"/>
      <c r="G1081" s="4"/>
      <c r="H1081" s="26" t="s">
        <v>2657</v>
      </c>
      <c r="I1081" s="4"/>
      <c r="J1081" s="6">
        <v>0</v>
      </c>
      <c r="K1081" s="29" t="s">
        <v>1767</v>
      </c>
      <c r="L1081" s="4"/>
      <c r="M1081" s="3"/>
    </row>
    <row r="1082" spans="1:13" x14ac:dyDescent="0.3">
      <c r="A1082" s="3">
        <v>103</v>
      </c>
      <c r="B1082" s="3">
        <v>103</v>
      </c>
      <c r="C1082" s="4">
        <v>1970.72</v>
      </c>
      <c r="D1082" s="4">
        <v>1970.537</v>
      </c>
      <c r="E1082" s="4">
        <v>1970.903</v>
      </c>
      <c r="F1082" s="4"/>
      <c r="G1082" s="4"/>
      <c r="H1082" s="25" t="s">
        <v>2658</v>
      </c>
      <c r="I1082" s="4"/>
      <c r="J1082" s="6">
        <v>0</v>
      </c>
      <c r="K1082" s="30" t="s">
        <v>1767</v>
      </c>
      <c r="L1082" s="4"/>
      <c r="M1082" s="3"/>
    </row>
    <row r="1083" spans="1:13" x14ac:dyDescent="0.3">
      <c r="A1083" s="3">
        <v>103</v>
      </c>
      <c r="B1083" s="3">
        <v>103</v>
      </c>
      <c r="C1083" s="4">
        <v>1971.0740000000001</v>
      </c>
      <c r="D1083" s="4">
        <v>1970.903</v>
      </c>
      <c r="E1083" s="4">
        <v>1971.2449999999999</v>
      </c>
      <c r="F1083" s="4"/>
      <c r="G1083" s="4"/>
      <c r="H1083" s="26" t="s">
        <v>2659</v>
      </c>
      <c r="I1083" s="4"/>
      <c r="J1083" s="6">
        <v>0</v>
      </c>
      <c r="K1083" s="29" t="s">
        <v>1767</v>
      </c>
      <c r="L1083" s="4"/>
      <c r="M1083" s="3"/>
    </row>
    <row r="1084" spans="1:13" x14ac:dyDescent="0.3">
      <c r="A1084" s="3">
        <v>103</v>
      </c>
      <c r="B1084" s="3">
        <v>103</v>
      </c>
      <c r="C1084" s="4">
        <v>1971.424</v>
      </c>
      <c r="D1084" s="4">
        <v>1971.2449999999999</v>
      </c>
      <c r="E1084" s="4">
        <v>1971.6020000000001</v>
      </c>
      <c r="F1084" s="4"/>
      <c r="G1084" s="4"/>
      <c r="H1084" s="25" t="s">
        <v>2660</v>
      </c>
      <c r="I1084" s="4"/>
      <c r="J1084" s="6">
        <v>0</v>
      </c>
      <c r="K1084" s="30" t="s">
        <v>1767</v>
      </c>
      <c r="L1084" s="4"/>
      <c r="M1084" s="3"/>
    </row>
    <row r="1085" spans="1:13" x14ac:dyDescent="0.3">
      <c r="A1085" s="3">
        <v>103</v>
      </c>
      <c r="B1085" s="3">
        <v>103</v>
      </c>
      <c r="C1085" s="4">
        <v>1971.8140000000001</v>
      </c>
      <c r="D1085" s="4">
        <v>1971.6020000000001</v>
      </c>
      <c r="E1085" s="4">
        <v>1972.0250000000001</v>
      </c>
      <c r="F1085" s="4"/>
      <c r="G1085" s="4"/>
      <c r="H1085" s="26" t="s">
        <v>2661</v>
      </c>
      <c r="I1085" s="4"/>
      <c r="J1085" s="6">
        <v>0</v>
      </c>
      <c r="K1085" s="29" t="s">
        <v>1767</v>
      </c>
      <c r="L1085" s="4"/>
      <c r="M1085" s="3"/>
    </row>
    <row r="1086" spans="1:13" x14ac:dyDescent="0.3">
      <c r="A1086" s="3">
        <v>103</v>
      </c>
      <c r="B1086" s="3">
        <v>103</v>
      </c>
      <c r="C1086" s="4">
        <v>1972.0519999999999</v>
      </c>
      <c r="D1086" s="4">
        <v>1972.0250000000001</v>
      </c>
      <c r="E1086" s="4">
        <v>1972.078</v>
      </c>
      <c r="F1086" s="4"/>
      <c r="G1086" s="4"/>
      <c r="H1086" s="25" t="s">
        <v>2662</v>
      </c>
      <c r="I1086" s="4"/>
      <c r="J1086" s="6">
        <v>0</v>
      </c>
      <c r="K1086" s="30" t="s">
        <v>1767</v>
      </c>
      <c r="L1086" s="4"/>
      <c r="M1086" s="3"/>
    </row>
    <row r="1087" spans="1:13" x14ac:dyDescent="0.3">
      <c r="A1087" s="3">
        <v>103</v>
      </c>
      <c r="B1087" s="3">
        <v>103</v>
      </c>
      <c r="C1087" s="4">
        <v>1972.5540000000001</v>
      </c>
      <c r="D1087" s="4">
        <v>1972.078</v>
      </c>
      <c r="E1087" s="4">
        <v>1973.029</v>
      </c>
      <c r="F1087" s="4"/>
      <c r="G1087" s="4"/>
      <c r="H1087" s="26" t="s">
        <v>2663</v>
      </c>
      <c r="I1087" s="4"/>
      <c r="J1087" s="6">
        <v>0</v>
      </c>
      <c r="K1087" s="29" t="s">
        <v>1767</v>
      </c>
      <c r="L1087" s="4"/>
      <c r="M1087" s="3"/>
    </row>
    <row r="1088" spans="1:13" x14ac:dyDescent="0.3">
      <c r="A1088" s="3">
        <v>103</v>
      </c>
      <c r="B1088" s="3">
        <v>103</v>
      </c>
      <c r="C1088" s="4">
        <v>1973.4549999999999</v>
      </c>
      <c r="D1088" s="4">
        <v>1973.029</v>
      </c>
      <c r="E1088" s="4">
        <v>1973.88</v>
      </c>
      <c r="F1088" s="4"/>
      <c r="G1088" s="4"/>
      <c r="H1088" s="25" t="s">
        <v>2664</v>
      </c>
      <c r="I1088" s="4"/>
      <c r="J1088" s="6">
        <v>0</v>
      </c>
      <c r="K1088" s="30" t="s">
        <v>1767</v>
      </c>
      <c r="L1088" s="4"/>
      <c r="M1088" s="3"/>
    </row>
    <row r="1089" spans="1:13" x14ac:dyDescent="0.3">
      <c r="A1089" s="3">
        <v>103</v>
      </c>
      <c r="B1089" s="3">
        <v>103</v>
      </c>
      <c r="C1089" s="4">
        <v>1974.079</v>
      </c>
      <c r="D1089" s="4">
        <v>1973.88</v>
      </c>
      <c r="E1089" s="4">
        <v>1974.278</v>
      </c>
      <c r="F1089" s="4"/>
      <c r="G1089" s="4"/>
      <c r="H1089" s="26" t="s">
        <v>2665</v>
      </c>
      <c r="I1089" s="4"/>
      <c r="J1089" s="6">
        <v>0</v>
      </c>
      <c r="K1089" s="29" t="s">
        <v>1767</v>
      </c>
      <c r="L1089" s="4"/>
      <c r="M1089" s="3"/>
    </row>
    <row r="1090" spans="1:13" x14ac:dyDescent="0.3">
      <c r="A1090" s="3">
        <v>103</v>
      </c>
      <c r="B1090" s="3">
        <v>103</v>
      </c>
      <c r="C1090" s="4">
        <v>1974.471</v>
      </c>
      <c r="D1090" s="4">
        <v>1974.278</v>
      </c>
      <c r="E1090" s="4">
        <v>1974.663</v>
      </c>
      <c r="F1090" s="4"/>
      <c r="G1090" s="4"/>
      <c r="H1090" s="25" t="s">
        <v>2666</v>
      </c>
      <c r="I1090" s="4"/>
      <c r="J1090" s="6">
        <v>0</v>
      </c>
      <c r="K1090" s="30" t="s">
        <v>1767</v>
      </c>
      <c r="L1090" s="4"/>
      <c r="M1090" s="3"/>
    </row>
    <row r="1091" spans="1:13" x14ac:dyDescent="0.3">
      <c r="A1091" s="3">
        <v>103</v>
      </c>
      <c r="B1091" s="3">
        <v>103</v>
      </c>
      <c r="C1091" s="4">
        <v>1974.9870000000001</v>
      </c>
      <c r="D1091" s="4">
        <v>1974.663</v>
      </c>
      <c r="E1091" s="4">
        <v>1975.3109999999999</v>
      </c>
      <c r="F1091" s="4"/>
      <c r="G1091" s="4"/>
      <c r="H1091" s="26" t="s">
        <v>2667</v>
      </c>
      <c r="I1091" s="4"/>
      <c r="J1091" s="6">
        <v>0</v>
      </c>
      <c r="K1091" s="29" t="s">
        <v>1767</v>
      </c>
      <c r="L1091" s="4"/>
      <c r="M1091" s="3"/>
    </row>
    <row r="1092" spans="1:13" x14ac:dyDescent="0.3">
      <c r="A1092" s="3">
        <v>103</v>
      </c>
      <c r="B1092" s="3">
        <v>103</v>
      </c>
      <c r="C1092" s="4">
        <v>1975.7919999999999</v>
      </c>
      <c r="D1092" s="4">
        <v>1975.3109999999999</v>
      </c>
      <c r="E1092" s="4">
        <v>1976.2729999999999</v>
      </c>
      <c r="F1092" s="4"/>
      <c r="G1092" s="4"/>
      <c r="H1092" s="25" t="s">
        <v>2668</v>
      </c>
      <c r="I1092" s="4"/>
      <c r="J1092" s="6">
        <v>0</v>
      </c>
      <c r="K1092" s="30" t="s">
        <v>1767</v>
      </c>
      <c r="L1092" s="4"/>
      <c r="M1092" s="3"/>
    </row>
    <row r="1093" spans="1:13" x14ac:dyDescent="0.3">
      <c r="A1093" s="3">
        <v>103</v>
      </c>
      <c r="B1093" s="3">
        <v>103</v>
      </c>
      <c r="C1093" s="4">
        <v>1976.454</v>
      </c>
      <c r="D1093" s="4">
        <v>1976.2729999999999</v>
      </c>
      <c r="E1093" s="4">
        <v>1976.635</v>
      </c>
      <c r="F1093" s="4"/>
      <c r="G1093" s="4"/>
      <c r="H1093" s="26" t="s">
        <v>2669</v>
      </c>
      <c r="I1093" s="4"/>
      <c r="J1093" s="6">
        <v>0</v>
      </c>
      <c r="K1093" s="29" t="s">
        <v>1767</v>
      </c>
      <c r="L1093" s="4"/>
      <c r="M1093" s="3"/>
    </row>
    <row r="1094" spans="1:13" x14ac:dyDescent="0.3">
      <c r="A1094" s="3">
        <v>103</v>
      </c>
      <c r="B1094" s="3">
        <v>103</v>
      </c>
      <c r="C1094" s="4">
        <v>1977.2329999999999</v>
      </c>
      <c r="D1094" s="4">
        <v>1976.635</v>
      </c>
      <c r="E1094" s="4">
        <v>1977.8309999999999</v>
      </c>
      <c r="F1094" s="4"/>
      <c r="G1094" s="4"/>
      <c r="H1094" s="25" t="s">
        <v>2670</v>
      </c>
      <c r="I1094" s="4"/>
      <c r="J1094" s="6">
        <v>0</v>
      </c>
      <c r="K1094" s="30" t="s">
        <v>1767</v>
      </c>
      <c r="L1094" s="4"/>
      <c r="M1094" s="3"/>
    </row>
    <row r="1095" spans="1:13" x14ac:dyDescent="0.3">
      <c r="A1095" s="3">
        <v>103</v>
      </c>
      <c r="B1095" s="3">
        <v>103</v>
      </c>
      <c r="C1095" s="4">
        <v>1977.9939999999999</v>
      </c>
      <c r="D1095" s="4">
        <v>1977.8309999999999</v>
      </c>
      <c r="E1095" s="4">
        <v>1978.1559999999999</v>
      </c>
      <c r="F1095" s="4"/>
      <c r="G1095" s="4"/>
      <c r="H1095" s="26" t="s">
        <v>2671</v>
      </c>
      <c r="I1095" s="4"/>
      <c r="J1095" s="6">
        <v>0</v>
      </c>
      <c r="K1095" s="29" t="s">
        <v>1767</v>
      </c>
      <c r="L1095" s="4"/>
      <c r="M1095" s="3"/>
    </row>
    <row r="1096" spans="1:13" x14ac:dyDescent="0.3">
      <c r="A1096" s="3">
        <v>103</v>
      </c>
      <c r="B1096" s="3">
        <v>103</v>
      </c>
      <c r="C1096" s="4">
        <v>1978.327</v>
      </c>
      <c r="D1096" s="4">
        <v>1978.1559999999999</v>
      </c>
      <c r="E1096" s="4">
        <v>1978.4970000000001</v>
      </c>
      <c r="F1096" s="4"/>
      <c r="G1096" s="4"/>
      <c r="H1096" s="25" t="s">
        <v>2672</v>
      </c>
      <c r="I1096" s="4"/>
      <c r="J1096" s="6">
        <v>0</v>
      </c>
      <c r="K1096" s="30" t="s">
        <v>1767</v>
      </c>
      <c r="L1096" s="4"/>
      <c r="M1096" s="3"/>
    </row>
    <row r="1097" spans="1:13" x14ac:dyDescent="0.3">
      <c r="A1097" s="3">
        <v>103</v>
      </c>
      <c r="B1097" s="3">
        <v>103</v>
      </c>
      <c r="C1097" s="4">
        <v>1978.7329999999999</v>
      </c>
      <c r="D1097" s="4">
        <v>1978.4970000000001</v>
      </c>
      <c r="E1097" s="4">
        <v>1978.9680000000001</v>
      </c>
      <c r="F1097" s="4"/>
      <c r="G1097" s="4"/>
      <c r="H1097" s="26" t="s">
        <v>2673</v>
      </c>
      <c r="I1097" s="4"/>
      <c r="J1097" s="6">
        <v>0</v>
      </c>
      <c r="K1097" s="29" t="s">
        <v>1767</v>
      </c>
      <c r="L1097" s="4"/>
      <c r="M1097" s="3"/>
    </row>
    <row r="1098" spans="1:13" x14ac:dyDescent="0.3">
      <c r="A1098" s="3">
        <v>103</v>
      </c>
      <c r="B1098" s="3">
        <v>103</v>
      </c>
      <c r="C1098" s="4">
        <v>1979.2760000000001</v>
      </c>
      <c r="D1098" s="4">
        <v>1978.9680000000001</v>
      </c>
      <c r="E1098" s="4">
        <v>1979.5840000000001</v>
      </c>
      <c r="F1098" s="4"/>
      <c r="G1098" s="4"/>
      <c r="H1098" s="25" t="s">
        <v>2674</v>
      </c>
      <c r="I1098" s="4"/>
      <c r="J1098" s="6">
        <v>0</v>
      </c>
      <c r="K1098" s="30" t="s">
        <v>1767</v>
      </c>
      <c r="L1098" s="4"/>
      <c r="M1098" s="3"/>
    </row>
    <row r="1099" spans="1:13" x14ac:dyDescent="0.3">
      <c r="A1099" s="3">
        <v>103</v>
      </c>
      <c r="B1099" s="3">
        <v>103</v>
      </c>
      <c r="C1099" s="4">
        <v>1979.896</v>
      </c>
      <c r="D1099" s="4">
        <v>1979.5840000000001</v>
      </c>
      <c r="E1099" s="4">
        <v>1980.2070000000001</v>
      </c>
      <c r="F1099" s="4"/>
      <c r="G1099" s="4"/>
      <c r="H1099" s="26" t="s">
        <v>2675</v>
      </c>
      <c r="I1099" s="4"/>
      <c r="J1099" s="6">
        <v>0</v>
      </c>
      <c r="K1099" s="29" t="s">
        <v>1767</v>
      </c>
      <c r="L1099" s="4"/>
      <c r="M1099" s="3"/>
    </row>
    <row r="1100" spans="1:13" x14ac:dyDescent="0.3">
      <c r="A1100" s="3">
        <v>103</v>
      </c>
      <c r="B1100" s="3">
        <v>103</v>
      </c>
      <c r="C1100" s="4">
        <v>1980.5630000000001</v>
      </c>
      <c r="D1100" s="4">
        <v>1980.2070000000001</v>
      </c>
      <c r="E1100" s="4">
        <v>1980.9179999999999</v>
      </c>
      <c r="F1100" s="4"/>
      <c r="G1100" s="4"/>
      <c r="H1100" s="25" t="s">
        <v>2676</v>
      </c>
      <c r="I1100" s="4"/>
      <c r="J1100" s="6">
        <v>0</v>
      </c>
      <c r="K1100" s="30" t="s">
        <v>1767</v>
      </c>
      <c r="L1100" s="4"/>
      <c r="M1100" s="3"/>
    </row>
    <row r="1101" spans="1:13" x14ac:dyDescent="0.3">
      <c r="A1101" s="3">
        <v>103</v>
      </c>
      <c r="B1101" s="3">
        <v>103</v>
      </c>
      <c r="C1101" s="4">
        <v>1981.1389999999999</v>
      </c>
      <c r="D1101" s="4">
        <v>1980.9179999999999</v>
      </c>
      <c r="E1101" s="4">
        <v>1981.36</v>
      </c>
      <c r="F1101" s="4"/>
      <c r="G1101" s="4"/>
      <c r="H1101" s="26" t="s">
        <v>2677</v>
      </c>
      <c r="I1101" s="4"/>
      <c r="J1101" s="6">
        <v>0</v>
      </c>
      <c r="K1101" s="29" t="s">
        <v>1767</v>
      </c>
      <c r="L1101" s="4"/>
      <c r="M1101" s="3"/>
    </row>
    <row r="1102" spans="1:13" x14ac:dyDescent="0.3">
      <c r="A1102" s="3">
        <v>103</v>
      </c>
      <c r="B1102" s="3">
        <v>103</v>
      </c>
      <c r="C1102" s="4">
        <v>1981.53</v>
      </c>
      <c r="D1102" s="4">
        <v>1981.36</v>
      </c>
      <c r="E1102" s="4">
        <v>1981.7</v>
      </c>
      <c r="F1102" s="4"/>
      <c r="G1102" s="4"/>
      <c r="H1102" s="25" t="s">
        <v>2678</v>
      </c>
      <c r="I1102" s="4"/>
      <c r="J1102" s="6">
        <v>0</v>
      </c>
      <c r="K1102" s="30" t="s">
        <v>1767</v>
      </c>
      <c r="L1102" s="4"/>
      <c r="M1102" s="3"/>
    </row>
    <row r="1103" spans="1:13" x14ac:dyDescent="0.3">
      <c r="A1103" s="3">
        <v>103</v>
      </c>
      <c r="B1103" s="3">
        <v>103</v>
      </c>
      <c r="C1103" s="4">
        <v>1982.364</v>
      </c>
      <c r="D1103" s="4">
        <v>1981.7</v>
      </c>
      <c r="E1103" s="4">
        <v>1983.027</v>
      </c>
      <c r="F1103" s="4"/>
      <c r="G1103" s="4"/>
      <c r="H1103" s="26" t="s">
        <v>2679</v>
      </c>
      <c r="I1103" s="4"/>
      <c r="J1103" s="6">
        <v>0</v>
      </c>
      <c r="K1103" s="29" t="s">
        <v>1767</v>
      </c>
      <c r="L1103" s="4"/>
      <c r="M1103" s="3"/>
    </row>
    <row r="1104" spans="1:13" x14ac:dyDescent="0.3">
      <c r="A1104" s="3">
        <v>103</v>
      </c>
      <c r="B1104" s="3">
        <v>103</v>
      </c>
      <c r="C1104" s="4">
        <v>1983.3520000000001</v>
      </c>
      <c r="D1104" s="4">
        <v>1983.027</v>
      </c>
      <c r="E1104" s="4">
        <v>1983.6759999999999</v>
      </c>
      <c r="F1104" s="4"/>
      <c r="G1104" s="4"/>
      <c r="H1104" s="25" t="s">
        <v>2680</v>
      </c>
      <c r="I1104" s="4"/>
      <c r="J1104" s="6">
        <v>0</v>
      </c>
      <c r="K1104" s="30" t="s">
        <v>1767</v>
      </c>
      <c r="L1104" s="4"/>
      <c r="M1104" s="3"/>
    </row>
    <row r="1105" spans="1:13" x14ac:dyDescent="0.3">
      <c r="A1105" s="3">
        <v>103</v>
      </c>
      <c r="B1105" s="3">
        <v>103</v>
      </c>
      <c r="C1105" s="4">
        <v>1984.008</v>
      </c>
      <c r="D1105" s="4">
        <v>1983.6759999999999</v>
      </c>
      <c r="E1105" s="4">
        <v>1984.3389999999999</v>
      </c>
      <c r="F1105" s="4"/>
      <c r="G1105" s="4"/>
      <c r="H1105" s="26" t="s">
        <v>2681</v>
      </c>
      <c r="I1105" s="4"/>
      <c r="J1105" s="6">
        <v>0</v>
      </c>
      <c r="K1105" s="29" t="s">
        <v>1767</v>
      </c>
      <c r="L1105" s="4"/>
      <c r="M1105" s="3"/>
    </row>
    <row r="1106" spans="1:13" x14ac:dyDescent="0.3">
      <c r="A1106" s="3">
        <v>103</v>
      </c>
      <c r="B1106" s="3">
        <v>103</v>
      </c>
      <c r="C1106" s="4">
        <v>1984.4570000000001</v>
      </c>
      <c r="D1106" s="4">
        <v>1984.3389999999999</v>
      </c>
      <c r="E1106" s="4">
        <v>1984.5740000000001</v>
      </c>
      <c r="F1106" s="4"/>
      <c r="G1106" s="4"/>
      <c r="H1106" s="25" t="s">
        <v>2682</v>
      </c>
      <c r="I1106" s="4"/>
      <c r="J1106" s="6">
        <v>0</v>
      </c>
      <c r="K1106" s="30" t="s">
        <v>1767</v>
      </c>
      <c r="L1106" s="4"/>
      <c r="M1106" s="3"/>
    </row>
    <row r="1107" spans="1:13" x14ac:dyDescent="0.3">
      <c r="A1107" s="3">
        <v>103</v>
      </c>
      <c r="B1107" s="3">
        <v>103</v>
      </c>
      <c r="C1107" s="4">
        <v>1984.925</v>
      </c>
      <c r="D1107" s="4">
        <v>1984.5740000000001</v>
      </c>
      <c r="E1107" s="4">
        <v>1985.2750000000001</v>
      </c>
      <c r="F1107" s="4"/>
      <c r="G1107" s="4"/>
      <c r="H1107" s="26" t="s">
        <v>2683</v>
      </c>
      <c r="I1107" s="4"/>
      <c r="J1107" s="6">
        <v>0</v>
      </c>
      <c r="K1107" s="29" t="s">
        <v>1767</v>
      </c>
      <c r="L1107" s="4"/>
      <c r="M1107" s="3"/>
    </row>
    <row r="1108" spans="1:13" x14ac:dyDescent="0.3">
      <c r="A1108" s="3">
        <v>103</v>
      </c>
      <c r="B1108" s="3">
        <v>103</v>
      </c>
      <c r="C1108" s="4">
        <v>1985.721</v>
      </c>
      <c r="D1108" s="4">
        <v>1985.2750000000001</v>
      </c>
      <c r="E1108" s="4">
        <v>1986.1659999999999</v>
      </c>
      <c r="F1108" s="4"/>
      <c r="G1108" s="4"/>
      <c r="H1108" s="25" t="s">
        <v>2684</v>
      </c>
      <c r="I1108" s="4"/>
      <c r="J1108" s="6">
        <v>0</v>
      </c>
      <c r="K1108" s="30" t="s">
        <v>1767</v>
      </c>
      <c r="L1108" s="4"/>
      <c r="M1108" s="3"/>
    </row>
    <row r="1109" spans="1:13" x14ac:dyDescent="0.3">
      <c r="A1109" s="3">
        <v>103</v>
      </c>
      <c r="B1109" s="3">
        <v>103</v>
      </c>
      <c r="C1109" s="4">
        <v>1986.4359999999999</v>
      </c>
      <c r="D1109" s="4">
        <v>1986.1659999999999</v>
      </c>
      <c r="E1109" s="4">
        <v>1986.7049999999999</v>
      </c>
      <c r="F1109" s="4"/>
      <c r="G1109" s="4"/>
      <c r="H1109" s="26" t="s">
        <v>2685</v>
      </c>
      <c r="I1109" s="4"/>
      <c r="J1109" s="6">
        <v>0</v>
      </c>
      <c r="K1109" s="29" t="s">
        <v>1767</v>
      </c>
      <c r="L1109" s="4"/>
      <c r="M1109" s="3"/>
    </row>
    <row r="1110" spans="1:13" x14ac:dyDescent="0.3">
      <c r="A1110" s="3">
        <v>103</v>
      </c>
      <c r="B1110" s="3">
        <v>103</v>
      </c>
      <c r="C1110" s="4">
        <v>1986.89</v>
      </c>
      <c r="D1110" s="4">
        <v>1986.7049999999999</v>
      </c>
      <c r="E1110" s="4">
        <v>1987.075</v>
      </c>
      <c r="F1110" s="4"/>
      <c r="G1110" s="4"/>
      <c r="H1110" s="25" t="s">
        <v>2686</v>
      </c>
      <c r="I1110" s="4"/>
      <c r="J1110" s="6">
        <v>0</v>
      </c>
      <c r="K1110" s="30" t="s">
        <v>1767</v>
      </c>
      <c r="L1110" s="4"/>
      <c r="M1110" s="3"/>
    </row>
    <row r="1111" spans="1:13" x14ac:dyDescent="0.3">
      <c r="A1111" s="3">
        <v>103</v>
      </c>
      <c r="B1111" s="3">
        <v>103</v>
      </c>
      <c r="C1111" s="4">
        <v>1987.377</v>
      </c>
      <c r="D1111" s="4">
        <v>1987.075</v>
      </c>
      <c r="E1111" s="4">
        <v>1987.6780000000001</v>
      </c>
      <c r="F1111" s="4"/>
      <c r="G1111" s="4"/>
      <c r="H1111" s="26" t="s">
        <v>2687</v>
      </c>
      <c r="I1111" s="4"/>
      <c r="J1111" s="6">
        <v>0</v>
      </c>
      <c r="K1111" s="29" t="s">
        <v>1767</v>
      </c>
      <c r="L1111" s="4"/>
      <c r="M1111" s="3"/>
    </row>
    <row r="1112" spans="1:13" x14ac:dyDescent="0.3">
      <c r="A1112" s="3">
        <v>103</v>
      </c>
      <c r="B1112" s="3">
        <v>103</v>
      </c>
      <c r="C1112" s="4">
        <v>1988.13</v>
      </c>
      <c r="D1112" s="4">
        <v>1987.6780000000001</v>
      </c>
      <c r="E1112" s="4">
        <v>1988.5820000000001</v>
      </c>
      <c r="F1112" s="4"/>
      <c r="G1112" s="4"/>
      <c r="H1112" s="25" t="s">
        <v>2688</v>
      </c>
      <c r="I1112" s="4"/>
      <c r="J1112" s="6">
        <v>0</v>
      </c>
      <c r="K1112" s="30" t="s">
        <v>1767</v>
      </c>
      <c r="L1112" s="4"/>
      <c r="M1112" s="3"/>
    </row>
    <row r="1113" spans="1:13" x14ac:dyDescent="0.3">
      <c r="A1113" s="3">
        <v>103</v>
      </c>
      <c r="B1113" s="3">
        <v>103</v>
      </c>
      <c r="C1113" s="4">
        <v>1988.9580000000001</v>
      </c>
      <c r="D1113" s="4">
        <v>1988.5820000000001</v>
      </c>
      <c r="E1113" s="4">
        <v>1989.3330000000001</v>
      </c>
      <c r="F1113" s="4"/>
      <c r="G1113" s="4"/>
      <c r="H1113" s="26" t="s">
        <v>2689</v>
      </c>
      <c r="I1113" s="4"/>
      <c r="J1113" s="6">
        <v>0</v>
      </c>
      <c r="K1113" s="29" t="s">
        <v>1767</v>
      </c>
      <c r="L1113" s="4"/>
      <c r="M1113" s="3"/>
    </row>
    <row r="1114" spans="1:13" x14ac:dyDescent="0.3">
      <c r="A1114" s="3">
        <v>103</v>
      </c>
      <c r="B1114" s="3">
        <v>103</v>
      </c>
      <c r="C1114" s="4">
        <v>1989.422</v>
      </c>
      <c r="D1114" s="4">
        <v>1989.3330000000001</v>
      </c>
      <c r="E1114" s="4">
        <v>1989.51</v>
      </c>
      <c r="F1114" s="4"/>
      <c r="G1114" s="4"/>
      <c r="H1114" s="25" t="s">
        <v>2690</v>
      </c>
      <c r="I1114" s="4"/>
      <c r="J1114" s="6">
        <v>0</v>
      </c>
      <c r="K1114" s="30" t="s">
        <v>1767</v>
      </c>
      <c r="L1114" s="4"/>
      <c r="M1114" s="3"/>
    </row>
    <row r="1115" spans="1:13" x14ac:dyDescent="0.3">
      <c r="A1115" s="3">
        <v>103</v>
      </c>
      <c r="B1115" s="3">
        <v>103</v>
      </c>
      <c r="C1115" s="4">
        <v>1989.7940000000001</v>
      </c>
      <c r="D1115" s="4">
        <v>1989.51</v>
      </c>
      <c r="E1115" s="4">
        <v>1990.077</v>
      </c>
      <c r="F1115" s="4"/>
      <c r="G1115" s="4"/>
      <c r="H1115" s="26" t="s">
        <v>2691</v>
      </c>
      <c r="I1115" s="4"/>
      <c r="J1115" s="6">
        <v>0</v>
      </c>
      <c r="K1115" s="29" t="s">
        <v>1767</v>
      </c>
      <c r="L1115" s="4"/>
      <c r="M1115" s="3"/>
    </row>
    <row r="1116" spans="1:13" x14ac:dyDescent="0.3">
      <c r="A1116" s="3">
        <v>103</v>
      </c>
      <c r="B1116" s="3">
        <v>103</v>
      </c>
      <c r="C1116" s="4">
        <v>1990.183</v>
      </c>
      <c r="D1116" s="4">
        <v>1990.077</v>
      </c>
      <c r="E1116" s="4">
        <v>1990.288</v>
      </c>
      <c r="F1116" s="4"/>
      <c r="G1116" s="4"/>
      <c r="H1116" s="25" t="s">
        <v>2692</v>
      </c>
      <c r="I1116" s="4"/>
      <c r="J1116" s="6">
        <v>0</v>
      </c>
      <c r="K1116" s="30" t="s">
        <v>1767</v>
      </c>
      <c r="L1116" s="4"/>
      <c r="M1116" s="3"/>
    </row>
    <row r="1117" spans="1:13" x14ac:dyDescent="0.3">
      <c r="A1117" s="3">
        <v>103</v>
      </c>
      <c r="B1117" s="3">
        <v>103</v>
      </c>
      <c r="C1117" s="4">
        <v>1990.4860000000001</v>
      </c>
      <c r="D1117" s="4">
        <v>1990.288</v>
      </c>
      <c r="E1117" s="4">
        <v>1990.684</v>
      </c>
      <c r="F1117" s="4"/>
      <c r="G1117" s="4"/>
      <c r="H1117" s="26" t="s">
        <v>2693</v>
      </c>
      <c r="I1117" s="4"/>
      <c r="J1117" s="6">
        <v>0</v>
      </c>
      <c r="K1117" s="29" t="s">
        <v>1767</v>
      </c>
      <c r="L1117" s="4"/>
      <c r="M1117" s="3"/>
    </row>
    <row r="1118" spans="1:13" x14ac:dyDescent="0.3">
      <c r="A1118" s="3">
        <v>103</v>
      </c>
      <c r="B1118" s="3">
        <v>103</v>
      </c>
      <c r="C1118" s="4">
        <v>1991.0640000000001</v>
      </c>
      <c r="D1118" s="4">
        <v>1990.684</v>
      </c>
      <c r="E1118" s="4">
        <v>1991.444</v>
      </c>
      <c r="F1118" s="4"/>
      <c r="G1118" s="4"/>
      <c r="H1118" s="25" t="s">
        <v>2694</v>
      </c>
      <c r="I1118" s="4"/>
      <c r="J1118" s="6">
        <v>0</v>
      </c>
      <c r="K1118" s="30" t="s">
        <v>1767</v>
      </c>
      <c r="L1118" s="4"/>
      <c r="M1118" s="3"/>
    </row>
    <row r="1119" spans="1:13" x14ac:dyDescent="0.3">
      <c r="A1119" s="3">
        <v>103</v>
      </c>
      <c r="B1119" s="3">
        <v>103</v>
      </c>
      <c r="C1119" s="4">
        <v>1991.931</v>
      </c>
      <c r="D1119" s="4">
        <v>1991.444</v>
      </c>
      <c r="E1119" s="4">
        <v>1992.4179999999999</v>
      </c>
      <c r="F1119" s="4"/>
      <c r="G1119" s="4"/>
      <c r="H1119" s="26" t="s">
        <v>2695</v>
      </c>
      <c r="I1119" s="4"/>
      <c r="J1119" s="6">
        <v>0</v>
      </c>
      <c r="K1119" s="29" t="s">
        <v>1767</v>
      </c>
      <c r="L1119" s="4"/>
      <c r="M1119" s="3"/>
    </row>
    <row r="1120" spans="1:13" x14ac:dyDescent="0.3">
      <c r="A1120" s="3">
        <v>103</v>
      </c>
      <c r="B1120" s="3">
        <v>103</v>
      </c>
      <c r="C1120" s="4">
        <v>1992.684</v>
      </c>
      <c r="D1120" s="4">
        <v>1992.4179999999999</v>
      </c>
      <c r="E1120" s="4">
        <v>1992.9490000000001</v>
      </c>
      <c r="F1120" s="4"/>
      <c r="G1120" s="4"/>
      <c r="H1120" s="25" t="s">
        <v>2696</v>
      </c>
      <c r="I1120" s="4"/>
      <c r="J1120" s="6">
        <v>0</v>
      </c>
      <c r="K1120" s="30" t="s">
        <v>1767</v>
      </c>
      <c r="L1120" s="4"/>
      <c r="M1120" s="3"/>
    </row>
    <row r="1121" spans="1:13" x14ac:dyDescent="0.3">
      <c r="A1121" s="3">
        <v>103</v>
      </c>
      <c r="B1121" s="3">
        <v>103</v>
      </c>
      <c r="C1121" s="4">
        <v>1993.575</v>
      </c>
      <c r="D1121" s="4">
        <v>1992.9490000000001</v>
      </c>
      <c r="E1121" s="4">
        <v>1994.2</v>
      </c>
      <c r="F1121" s="4"/>
      <c r="G1121" s="4"/>
      <c r="H1121" s="26" t="s">
        <v>2697</v>
      </c>
      <c r="I1121" s="4"/>
      <c r="J1121" s="6">
        <v>0</v>
      </c>
      <c r="K1121" s="29" t="s">
        <v>1767</v>
      </c>
      <c r="L1121" s="4"/>
      <c r="M1121" s="3"/>
    </row>
    <row r="1122" spans="1:13" x14ac:dyDescent="0.3">
      <c r="A1122" s="3">
        <v>103</v>
      </c>
      <c r="B1122" s="3">
        <v>103</v>
      </c>
      <c r="C1122" s="4">
        <v>1994.74</v>
      </c>
      <c r="D1122" s="4">
        <v>1994.2</v>
      </c>
      <c r="E1122" s="4">
        <v>1995.279</v>
      </c>
      <c r="F1122" s="4"/>
      <c r="G1122" s="4"/>
      <c r="H1122" s="25" t="s">
        <v>2698</v>
      </c>
      <c r="I1122" s="4"/>
      <c r="J1122" s="6">
        <v>0</v>
      </c>
      <c r="K1122" s="30" t="s">
        <v>1767</v>
      </c>
      <c r="L1122" s="4"/>
      <c r="M1122" s="3"/>
    </row>
    <row r="1123" spans="1:13" x14ac:dyDescent="0.3">
      <c r="A1123" s="3">
        <v>103</v>
      </c>
      <c r="B1123" s="3">
        <v>103</v>
      </c>
      <c r="C1123" s="4">
        <v>1995.691</v>
      </c>
      <c r="D1123" s="4">
        <v>1995.279</v>
      </c>
      <c r="E1123" s="4">
        <v>1996.1030000000001</v>
      </c>
      <c r="F1123" s="4"/>
      <c r="G1123" s="4"/>
      <c r="H1123" s="26" t="s">
        <v>2699</v>
      </c>
      <c r="I1123" s="4"/>
      <c r="J1123" s="6">
        <v>0</v>
      </c>
      <c r="K1123" s="29" t="s">
        <v>1767</v>
      </c>
      <c r="L1123" s="4"/>
      <c r="M1123" s="3"/>
    </row>
    <row r="1124" spans="1:13" x14ac:dyDescent="0.3">
      <c r="A1124" s="3">
        <v>103</v>
      </c>
      <c r="B1124" s="3">
        <v>103</v>
      </c>
      <c r="C1124" s="4">
        <v>1996.2950000000001</v>
      </c>
      <c r="D1124" s="4">
        <v>1996.1030000000001</v>
      </c>
      <c r="E1124" s="4">
        <v>1996.4870000000001</v>
      </c>
      <c r="F1124" s="4"/>
      <c r="G1124" s="4"/>
      <c r="H1124" s="25" t="s">
        <v>2700</v>
      </c>
      <c r="I1124" s="4"/>
      <c r="J1124" s="6">
        <v>0</v>
      </c>
      <c r="K1124" s="30" t="s">
        <v>1767</v>
      </c>
      <c r="L1124" s="4"/>
      <c r="M1124" s="3"/>
    </row>
    <row r="1125" spans="1:13" x14ac:dyDescent="0.3">
      <c r="A1125" s="3">
        <v>103</v>
      </c>
      <c r="B1125" s="3">
        <v>103</v>
      </c>
      <c r="C1125" s="4">
        <v>1996.7539999999999</v>
      </c>
      <c r="D1125" s="4">
        <v>1996.4870000000001</v>
      </c>
      <c r="E1125" s="4">
        <v>1997.02</v>
      </c>
      <c r="F1125" s="4"/>
      <c r="G1125" s="4"/>
      <c r="H1125" s="26" t="s">
        <v>2701</v>
      </c>
      <c r="I1125" s="4"/>
      <c r="J1125" s="6">
        <v>0</v>
      </c>
      <c r="K1125" s="29" t="s">
        <v>1767</v>
      </c>
      <c r="L1125" s="4"/>
      <c r="M1125" s="3"/>
    </row>
    <row r="1126" spans="1:13" x14ac:dyDescent="0.3">
      <c r="A1126" s="3">
        <v>103</v>
      </c>
      <c r="B1126" s="3">
        <v>103</v>
      </c>
      <c r="C1126" s="4">
        <v>1997.124</v>
      </c>
      <c r="D1126" s="4">
        <v>1997.02</v>
      </c>
      <c r="E1126" s="4">
        <v>1997.2280000000001</v>
      </c>
      <c r="F1126" s="4"/>
      <c r="G1126" s="4"/>
      <c r="H1126" s="25" t="s">
        <v>2702</v>
      </c>
      <c r="I1126" s="4"/>
      <c r="J1126" s="6">
        <v>0</v>
      </c>
      <c r="K1126" s="30" t="s">
        <v>1767</v>
      </c>
      <c r="L1126" s="4"/>
      <c r="M1126" s="3"/>
    </row>
    <row r="1127" spans="1:13" x14ac:dyDescent="0.3">
      <c r="A1127" s="3">
        <v>103</v>
      </c>
      <c r="B1127" s="3">
        <v>103</v>
      </c>
      <c r="C1127" s="4">
        <v>1997.7270000000001</v>
      </c>
      <c r="D1127" s="4">
        <v>1997.2280000000001</v>
      </c>
      <c r="E1127" s="4">
        <v>1998.2249999999999</v>
      </c>
      <c r="F1127" s="4"/>
      <c r="G1127" s="4"/>
      <c r="H1127" s="26" t="s">
        <v>2703</v>
      </c>
      <c r="I1127" s="4"/>
      <c r="J1127" s="6">
        <v>0</v>
      </c>
      <c r="K1127" s="29" t="s">
        <v>1767</v>
      </c>
      <c r="L1127" s="4"/>
      <c r="M1127" s="3"/>
    </row>
    <row r="1128" spans="1:13" x14ac:dyDescent="0.3">
      <c r="A1128" s="3">
        <v>103</v>
      </c>
      <c r="B1128" s="3">
        <v>103</v>
      </c>
      <c r="C1128" s="4">
        <v>1998.4829999999999</v>
      </c>
      <c r="D1128" s="4">
        <v>1998.2249999999999</v>
      </c>
      <c r="E1128" s="4">
        <v>1998.741</v>
      </c>
      <c r="F1128" s="4"/>
      <c r="G1128" s="4"/>
      <c r="H1128" s="25" t="s">
        <v>2704</v>
      </c>
      <c r="I1128" s="4"/>
      <c r="J1128" s="6">
        <v>0</v>
      </c>
      <c r="K1128" s="30" t="s">
        <v>1767</v>
      </c>
      <c r="L1128" s="4"/>
      <c r="M1128" s="3"/>
    </row>
    <row r="1129" spans="1:13" x14ac:dyDescent="0.3">
      <c r="A1129" s="3">
        <v>103</v>
      </c>
      <c r="B1129" s="3">
        <v>103</v>
      </c>
      <c r="C1129" s="4">
        <v>1998.9469999999999</v>
      </c>
      <c r="D1129" s="4">
        <v>1998.741</v>
      </c>
      <c r="E1129" s="4">
        <v>1999.153</v>
      </c>
      <c r="F1129" s="4"/>
      <c r="G1129" s="4"/>
      <c r="H1129" s="26" t="s">
        <v>2705</v>
      </c>
      <c r="I1129" s="4"/>
      <c r="J1129" s="6">
        <v>0</v>
      </c>
      <c r="K1129" s="29" t="s">
        <v>1767</v>
      </c>
      <c r="L1129" s="4"/>
      <c r="M1129" s="3"/>
    </row>
    <row r="1130" spans="1:13" x14ac:dyDescent="0.3">
      <c r="A1130" s="3">
        <v>103</v>
      </c>
      <c r="B1130" s="3">
        <v>103</v>
      </c>
      <c r="C1130" s="4">
        <v>1999.27</v>
      </c>
      <c r="D1130" s="4">
        <v>1999.153</v>
      </c>
      <c r="E1130" s="4">
        <v>1999.3869999999999</v>
      </c>
      <c r="F1130" s="4"/>
      <c r="G1130" s="4"/>
      <c r="H1130" s="25" t="s">
        <v>2706</v>
      </c>
      <c r="I1130" s="4"/>
      <c r="J1130" s="6">
        <v>0</v>
      </c>
      <c r="K1130" s="30" t="s">
        <v>1767</v>
      </c>
      <c r="L1130" s="4"/>
      <c r="M1130" s="3"/>
    </row>
    <row r="1131" spans="1:13" x14ac:dyDescent="0.3">
      <c r="A1131" s="3">
        <v>103</v>
      </c>
      <c r="B1131" s="3">
        <v>103</v>
      </c>
      <c r="C1131" s="4">
        <v>1999.655</v>
      </c>
      <c r="D1131" s="4">
        <v>1999.3869999999999</v>
      </c>
      <c r="E1131" s="4">
        <v>1999.922</v>
      </c>
      <c r="F1131" s="4"/>
      <c r="G1131" s="4"/>
      <c r="H1131" s="26" t="s">
        <v>2707</v>
      </c>
      <c r="I1131" s="4"/>
      <c r="J1131" s="6">
        <v>0</v>
      </c>
      <c r="K1131" s="29" t="s">
        <v>1767</v>
      </c>
      <c r="L1131" s="4"/>
      <c r="M1131" s="3"/>
    </row>
    <row r="1132" spans="1:13" x14ac:dyDescent="0.3">
      <c r="A1132" s="3">
        <v>103</v>
      </c>
      <c r="B1132" s="3">
        <v>103</v>
      </c>
      <c r="C1132" s="4">
        <v>1999.9739999999999</v>
      </c>
      <c r="D1132" s="4">
        <v>1999.922</v>
      </c>
      <c r="E1132" s="4">
        <v>2000.0260000000001</v>
      </c>
      <c r="F1132" s="4"/>
      <c r="G1132" s="4"/>
      <c r="H1132" s="25" t="s">
        <v>2708</v>
      </c>
      <c r="I1132" s="4"/>
      <c r="J1132" s="6">
        <v>0</v>
      </c>
      <c r="K1132" s="30" t="s">
        <v>1767</v>
      </c>
      <c r="L1132" s="4"/>
      <c r="M1132" s="3"/>
    </row>
    <row r="1133" spans="1:13" x14ac:dyDescent="0.3">
      <c r="A1133" s="3">
        <v>103</v>
      </c>
      <c r="B1133" s="3">
        <v>103</v>
      </c>
      <c r="C1133" s="4">
        <v>2000.4349999999999</v>
      </c>
      <c r="D1133" s="4">
        <v>2000.0260000000001</v>
      </c>
      <c r="E1133" s="4">
        <v>2000.8440000000001</v>
      </c>
      <c r="F1133" s="4"/>
      <c r="G1133" s="4"/>
      <c r="H1133" s="26" t="s">
        <v>2709</v>
      </c>
      <c r="I1133" s="4"/>
      <c r="J1133" s="6">
        <v>0</v>
      </c>
      <c r="K1133" s="29" t="s">
        <v>1767</v>
      </c>
      <c r="L1133" s="4"/>
      <c r="M1133" s="3"/>
    </row>
    <row r="1134" spans="1:13" x14ac:dyDescent="0.3">
      <c r="A1134" s="3">
        <v>103</v>
      </c>
      <c r="B1134" s="3">
        <v>103</v>
      </c>
      <c r="C1134" s="4">
        <v>2000.9960000000001</v>
      </c>
      <c r="D1134" s="4">
        <v>2000.8440000000001</v>
      </c>
      <c r="E1134" s="4">
        <v>2001.1469999999999</v>
      </c>
      <c r="F1134" s="4"/>
      <c r="G1134" s="4"/>
      <c r="H1134" s="25" t="s">
        <v>2710</v>
      </c>
      <c r="I1134" s="4"/>
      <c r="J1134" s="6">
        <v>0</v>
      </c>
      <c r="K1134" s="30" t="s">
        <v>1767</v>
      </c>
      <c r="L1134" s="4"/>
      <c r="M1134" s="3"/>
    </row>
    <row r="1135" spans="1:13" x14ac:dyDescent="0.3">
      <c r="A1135" s="3">
        <v>103</v>
      </c>
      <c r="B1135" s="3">
        <v>103</v>
      </c>
      <c r="C1135" s="4">
        <v>2001.69</v>
      </c>
      <c r="D1135" s="4">
        <v>2001.1469999999999</v>
      </c>
      <c r="E1135" s="4">
        <v>2002.2329999999999</v>
      </c>
      <c r="F1135" s="4"/>
      <c r="G1135" s="4"/>
      <c r="H1135" s="26" t="s">
        <v>2711</v>
      </c>
      <c r="I1135" s="4"/>
      <c r="J1135" s="6">
        <v>0</v>
      </c>
      <c r="K1135" s="29" t="s">
        <v>1767</v>
      </c>
      <c r="L1135" s="4"/>
      <c r="M1135" s="3"/>
    </row>
    <row r="1136" spans="1:13" x14ac:dyDescent="0.3">
      <c r="A1136" s="3">
        <v>103</v>
      </c>
      <c r="B1136" s="3">
        <v>103</v>
      </c>
      <c r="C1136" s="4">
        <v>2003.2</v>
      </c>
      <c r="D1136" s="4">
        <v>2002.2329999999999</v>
      </c>
      <c r="E1136" s="4">
        <v>2004.1659999999999</v>
      </c>
      <c r="F1136" s="4"/>
      <c r="G1136" s="4"/>
      <c r="H1136" s="25" t="s">
        <v>2712</v>
      </c>
      <c r="I1136" s="4"/>
      <c r="J1136" s="6">
        <v>0</v>
      </c>
      <c r="K1136" s="30" t="s">
        <v>1767</v>
      </c>
      <c r="L1136" s="4"/>
      <c r="M1136" s="3"/>
    </row>
    <row r="1137" spans="1:13" x14ac:dyDescent="0.3">
      <c r="A1137" s="3">
        <v>103</v>
      </c>
      <c r="B1137" s="3">
        <v>103</v>
      </c>
      <c r="C1137" s="4">
        <v>2004.5450000000001</v>
      </c>
      <c r="D1137" s="4">
        <v>2004.1659999999999</v>
      </c>
      <c r="E1137" s="4">
        <v>2004.923</v>
      </c>
      <c r="F1137" s="4"/>
      <c r="G1137" s="4"/>
      <c r="H1137" s="26" t="s">
        <v>2713</v>
      </c>
      <c r="I1137" s="4"/>
      <c r="J1137" s="6">
        <v>0</v>
      </c>
      <c r="K1137" s="29" t="s">
        <v>1767</v>
      </c>
      <c r="L1137" s="4"/>
      <c r="M1137" s="3"/>
    </row>
    <row r="1138" spans="1:13" x14ac:dyDescent="0.3">
      <c r="A1138" s="3">
        <v>103</v>
      </c>
      <c r="B1138" s="3">
        <v>103</v>
      </c>
      <c r="C1138" s="4">
        <v>2005.317</v>
      </c>
      <c r="D1138" s="4">
        <v>2004.923</v>
      </c>
      <c r="E1138" s="4">
        <v>2005.711</v>
      </c>
      <c r="F1138" s="4"/>
      <c r="G1138" s="4"/>
      <c r="H1138" s="25" t="s">
        <v>2714</v>
      </c>
      <c r="I1138" s="4"/>
      <c r="J1138" s="6">
        <v>0</v>
      </c>
      <c r="K1138" s="30" t="s">
        <v>1767</v>
      </c>
      <c r="L1138" s="4"/>
      <c r="M1138" s="3"/>
    </row>
    <row r="1139" spans="1:13" x14ac:dyDescent="0.3">
      <c r="A1139" s="3">
        <v>103</v>
      </c>
      <c r="B1139" s="3">
        <v>103</v>
      </c>
      <c r="C1139" s="4">
        <v>2006.0250000000001</v>
      </c>
      <c r="D1139" s="4">
        <v>2005.711</v>
      </c>
      <c r="E1139" s="4">
        <v>2006.338</v>
      </c>
      <c r="F1139" s="4"/>
      <c r="G1139" s="4"/>
      <c r="H1139" s="26" t="s">
        <v>2715</v>
      </c>
      <c r="I1139" s="4"/>
      <c r="J1139" s="6">
        <v>0</v>
      </c>
      <c r="K1139" s="29" t="s">
        <v>1767</v>
      </c>
      <c r="L1139" s="4"/>
      <c r="M1139" s="3"/>
    </row>
    <row r="1140" spans="1:13" x14ac:dyDescent="0.3">
      <c r="A1140" s="3">
        <v>103</v>
      </c>
      <c r="B1140" s="3">
        <v>103</v>
      </c>
      <c r="C1140" s="4">
        <v>2006.529</v>
      </c>
      <c r="D1140" s="4">
        <v>2006.338</v>
      </c>
      <c r="E1140" s="4">
        <v>2006.7190000000001</v>
      </c>
      <c r="F1140" s="4"/>
      <c r="G1140" s="4"/>
      <c r="H1140" s="25" t="s">
        <v>2716</v>
      </c>
      <c r="I1140" s="4"/>
      <c r="J1140" s="6">
        <v>0</v>
      </c>
      <c r="K1140" s="30" t="s">
        <v>1767</v>
      </c>
      <c r="L1140" s="4"/>
      <c r="M1140" s="3"/>
    </row>
    <row r="1141" spans="1:13" x14ac:dyDescent="0.3">
      <c r="A1141" s="3">
        <v>103</v>
      </c>
      <c r="B1141" s="3">
        <v>103</v>
      </c>
      <c r="C1141" s="4">
        <v>2006.9559999999999</v>
      </c>
      <c r="D1141" s="4">
        <v>2006.7190000000001</v>
      </c>
      <c r="E1141" s="4">
        <v>2007.193</v>
      </c>
      <c r="F1141" s="4"/>
      <c r="G1141" s="4"/>
      <c r="H1141" s="26" t="s">
        <v>2717</v>
      </c>
      <c r="I1141" s="4"/>
      <c r="J1141" s="6">
        <v>0</v>
      </c>
      <c r="K1141" s="29" t="s">
        <v>1767</v>
      </c>
      <c r="L1141" s="4"/>
      <c r="M1141" s="3"/>
    </row>
    <row r="1142" spans="1:13" x14ac:dyDescent="0.3">
      <c r="A1142" s="3">
        <v>103</v>
      </c>
      <c r="B1142" s="3">
        <v>103</v>
      </c>
      <c r="C1142" s="4">
        <v>2007.8779999999999</v>
      </c>
      <c r="D1142" s="4">
        <v>2007.193</v>
      </c>
      <c r="E1142" s="4">
        <v>2008.5630000000001</v>
      </c>
      <c r="F1142" s="4"/>
      <c r="G1142" s="4"/>
      <c r="H1142" s="25" t="s">
        <v>2718</v>
      </c>
      <c r="I1142" s="4"/>
      <c r="J1142" s="6">
        <v>0</v>
      </c>
      <c r="K1142" s="30" t="s">
        <v>1767</v>
      </c>
      <c r="L1142" s="4"/>
      <c r="M1142" s="3"/>
    </row>
    <row r="1143" spans="1:13" x14ac:dyDescent="0.3">
      <c r="A1143" s="3">
        <v>103</v>
      </c>
      <c r="B1143" s="3">
        <v>103</v>
      </c>
      <c r="C1143" s="4">
        <v>2008.7860000000001</v>
      </c>
      <c r="D1143" s="4">
        <v>2008.5630000000001</v>
      </c>
      <c r="E1143" s="4">
        <v>2009.009</v>
      </c>
      <c r="F1143" s="4"/>
      <c r="G1143" s="4"/>
      <c r="H1143" s="26" t="s">
        <v>2719</v>
      </c>
      <c r="I1143" s="4"/>
      <c r="J1143" s="6">
        <v>0</v>
      </c>
      <c r="K1143" s="29" t="s">
        <v>1767</v>
      </c>
      <c r="L1143" s="4"/>
      <c r="M1143" s="3"/>
    </row>
    <row r="1144" spans="1:13" x14ac:dyDescent="0.3">
      <c r="A1144" s="3">
        <v>103</v>
      </c>
      <c r="B1144" s="3">
        <v>103</v>
      </c>
      <c r="C1144" s="4">
        <v>2009.72</v>
      </c>
      <c r="D1144" s="4">
        <v>2009.009</v>
      </c>
      <c r="E1144" s="4">
        <v>2010.43</v>
      </c>
      <c r="F1144" s="4"/>
      <c r="G1144" s="4"/>
      <c r="H1144" s="25" t="s">
        <v>2720</v>
      </c>
      <c r="I1144" s="4"/>
      <c r="J1144" s="6">
        <v>0</v>
      </c>
      <c r="K1144" s="30" t="s">
        <v>1767</v>
      </c>
      <c r="L1144" s="4"/>
      <c r="M1144" s="3"/>
    </row>
    <row r="1145" spans="1:13" x14ac:dyDescent="0.3">
      <c r="A1145" s="3">
        <v>103</v>
      </c>
      <c r="B1145" s="3">
        <v>103</v>
      </c>
      <c r="C1145" s="4">
        <v>2010.7940000000001</v>
      </c>
      <c r="D1145" s="4">
        <v>2010.43</v>
      </c>
      <c r="E1145" s="4">
        <v>2011.1579999999999</v>
      </c>
      <c r="F1145" s="4"/>
      <c r="G1145" s="4"/>
      <c r="H1145" s="26" t="s">
        <v>2721</v>
      </c>
      <c r="I1145" s="4"/>
      <c r="J1145" s="6">
        <v>0</v>
      </c>
      <c r="K1145" s="29" t="s">
        <v>1767</v>
      </c>
      <c r="L1145" s="4"/>
      <c r="M1145" s="3"/>
    </row>
    <row r="1146" spans="1:13" x14ac:dyDescent="0.3">
      <c r="A1146" s="3">
        <v>103</v>
      </c>
      <c r="B1146" s="3">
        <v>103</v>
      </c>
      <c r="C1146" s="4">
        <v>2012.0820000000001</v>
      </c>
      <c r="D1146" s="4">
        <v>2011.1579999999999</v>
      </c>
      <c r="E1146" s="4">
        <v>2013.0050000000001</v>
      </c>
      <c r="F1146" s="4"/>
      <c r="G1146" s="4"/>
      <c r="H1146" s="25" t="s">
        <v>2722</v>
      </c>
      <c r="I1146" s="4"/>
      <c r="J1146" s="6">
        <v>0</v>
      </c>
      <c r="K1146" s="30" t="s">
        <v>1767</v>
      </c>
      <c r="L1146" s="4"/>
      <c r="M1146" s="3"/>
    </row>
    <row r="1147" spans="1:13" x14ac:dyDescent="0.3">
      <c r="A1147" s="3">
        <v>103</v>
      </c>
      <c r="B1147" s="3">
        <v>103</v>
      </c>
      <c r="C1147" s="4">
        <v>2013.2249999999999</v>
      </c>
      <c r="D1147" s="4">
        <v>2013.0050000000001</v>
      </c>
      <c r="E1147" s="4">
        <v>2013.4449999999999</v>
      </c>
      <c r="F1147" s="4"/>
      <c r="G1147" s="4"/>
      <c r="H1147" s="26" t="s">
        <v>2723</v>
      </c>
      <c r="I1147" s="4"/>
      <c r="J1147" s="6">
        <v>0</v>
      </c>
      <c r="K1147" s="29" t="s">
        <v>1767</v>
      </c>
      <c r="L1147" s="4"/>
      <c r="M1147" s="3"/>
    </row>
    <row r="1148" spans="1:13" x14ac:dyDescent="0.3">
      <c r="A1148" s="3">
        <v>103</v>
      </c>
      <c r="B1148" s="3">
        <v>103</v>
      </c>
      <c r="C1148" s="4">
        <v>2013.63</v>
      </c>
      <c r="D1148" s="4">
        <v>2013.4449999999999</v>
      </c>
      <c r="E1148" s="4">
        <v>2013.8150000000001</v>
      </c>
      <c r="F1148" s="4"/>
      <c r="G1148" s="4"/>
      <c r="H1148" s="25" t="s">
        <v>2724</v>
      </c>
      <c r="I1148" s="4"/>
      <c r="J1148" s="6">
        <v>0</v>
      </c>
      <c r="K1148" s="30" t="s">
        <v>1767</v>
      </c>
      <c r="L1148" s="4"/>
      <c r="M1148" s="3"/>
    </row>
    <row r="1149" spans="1:13" x14ac:dyDescent="0.3">
      <c r="A1149" s="3">
        <v>103</v>
      </c>
      <c r="B1149" s="3">
        <v>103</v>
      </c>
      <c r="C1149" s="4">
        <v>2014.2739999999999</v>
      </c>
      <c r="D1149" s="4">
        <v>2013.8150000000001</v>
      </c>
      <c r="E1149" s="4">
        <v>2014.7329999999999</v>
      </c>
      <c r="F1149" s="4"/>
      <c r="G1149" s="4"/>
      <c r="H1149" s="26" t="s">
        <v>2725</v>
      </c>
      <c r="I1149" s="4"/>
      <c r="J1149" s="6">
        <v>0</v>
      </c>
      <c r="K1149" s="29" t="s">
        <v>1767</v>
      </c>
      <c r="L1149" s="4"/>
      <c r="M1149" s="3"/>
    </row>
    <row r="1150" spans="1:13" x14ac:dyDescent="0.3">
      <c r="A1150" s="3">
        <v>103</v>
      </c>
      <c r="B1150" s="3">
        <v>103</v>
      </c>
      <c r="C1150" s="4">
        <v>2014.7729999999999</v>
      </c>
      <c r="D1150" s="4">
        <v>2014.7329999999999</v>
      </c>
      <c r="E1150" s="4">
        <v>2014.8119999999999</v>
      </c>
      <c r="F1150" s="4"/>
      <c r="G1150" s="4"/>
      <c r="H1150" s="25" t="s">
        <v>2726</v>
      </c>
      <c r="I1150" s="4"/>
      <c r="J1150" s="6">
        <v>0</v>
      </c>
      <c r="K1150" s="30" t="s">
        <v>1767</v>
      </c>
      <c r="L1150" s="4"/>
      <c r="M1150" s="3"/>
    </row>
    <row r="1151" spans="1:13" x14ac:dyDescent="0.3">
      <c r="A1151" s="3">
        <v>103</v>
      </c>
      <c r="B1151" s="3">
        <v>103</v>
      </c>
      <c r="C1151" s="4">
        <v>2015.029</v>
      </c>
      <c r="D1151" s="4">
        <v>2014.8119999999999</v>
      </c>
      <c r="E1151" s="4">
        <v>2015.2449999999999</v>
      </c>
      <c r="F1151" s="4"/>
      <c r="G1151" s="4"/>
      <c r="H1151" s="26" t="s">
        <v>2727</v>
      </c>
      <c r="I1151" s="4"/>
      <c r="J1151" s="6">
        <v>0</v>
      </c>
      <c r="K1151" s="29" t="s">
        <v>1767</v>
      </c>
      <c r="L1151" s="4"/>
      <c r="M1151" s="3"/>
    </row>
    <row r="1152" spans="1:13" x14ac:dyDescent="0.3">
      <c r="A1152" s="3">
        <v>103</v>
      </c>
      <c r="B1152" s="3">
        <v>103</v>
      </c>
      <c r="C1152" s="4">
        <v>2017.047</v>
      </c>
      <c r="D1152" s="4">
        <v>2015.2449999999999</v>
      </c>
      <c r="E1152" s="4">
        <v>2018.8489999999999</v>
      </c>
      <c r="F1152" s="4"/>
      <c r="G1152" s="4"/>
      <c r="H1152" s="25" t="s">
        <v>2728</v>
      </c>
      <c r="I1152" s="4"/>
      <c r="J1152" s="6">
        <v>0</v>
      </c>
      <c r="K1152" s="30" t="s">
        <v>1767</v>
      </c>
      <c r="L1152" s="4"/>
      <c r="M1152" s="3"/>
    </row>
    <row r="1153" spans="1:13" x14ac:dyDescent="0.3">
      <c r="A1153" s="3">
        <v>103</v>
      </c>
      <c r="B1153" s="3">
        <v>103</v>
      </c>
      <c r="C1153" s="4">
        <v>2019.085</v>
      </c>
      <c r="D1153" s="4">
        <v>2018.8489999999999</v>
      </c>
      <c r="E1153" s="4">
        <v>2019.32</v>
      </c>
      <c r="F1153" s="4"/>
      <c r="G1153" s="4"/>
      <c r="H1153" s="26" t="s">
        <v>2729</v>
      </c>
      <c r="I1153" s="4"/>
      <c r="J1153" s="6">
        <v>0</v>
      </c>
      <c r="K1153" s="29" t="s">
        <v>1767</v>
      </c>
      <c r="L1153" s="4"/>
      <c r="M1153" s="3"/>
    </row>
    <row r="1154" spans="1:13" x14ac:dyDescent="0.3">
      <c r="A1154" s="3">
        <v>103</v>
      </c>
      <c r="B1154" s="3">
        <v>103</v>
      </c>
      <c r="C1154" s="4">
        <v>2019.597</v>
      </c>
      <c r="D1154" s="4">
        <v>2019.32</v>
      </c>
      <c r="E1154" s="4">
        <v>2019.873</v>
      </c>
      <c r="F1154" s="4"/>
      <c r="G1154" s="4"/>
      <c r="H1154" s="25" t="s">
        <v>2730</v>
      </c>
      <c r="I1154" s="4"/>
      <c r="J1154" s="6">
        <v>0</v>
      </c>
      <c r="K1154" s="30" t="s">
        <v>1767</v>
      </c>
      <c r="L1154" s="4"/>
      <c r="M1154" s="3"/>
    </row>
    <row r="1155" spans="1:13" x14ac:dyDescent="0.3">
      <c r="A1155" s="3">
        <v>103</v>
      </c>
      <c r="B1155" s="3">
        <v>103</v>
      </c>
      <c r="C1155" s="4">
        <v>2020.424</v>
      </c>
      <c r="D1155" s="4">
        <v>2019.873</v>
      </c>
      <c r="E1155" s="4">
        <v>2020.9749999999999</v>
      </c>
      <c r="F1155" s="4"/>
      <c r="G1155" s="4"/>
      <c r="H1155" s="26" t="s">
        <v>2731</v>
      </c>
      <c r="I1155" s="4"/>
      <c r="J1155" s="6">
        <v>0</v>
      </c>
      <c r="K1155" s="29" t="s">
        <v>1767</v>
      </c>
      <c r="L1155" s="4"/>
      <c r="M1155" s="3"/>
    </row>
    <row r="1156" spans="1:13" x14ac:dyDescent="0.3">
      <c r="A1156" s="3">
        <v>103</v>
      </c>
      <c r="B1156" s="3">
        <v>103</v>
      </c>
      <c r="C1156" s="4">
        <v>2020.991</v>
      </c>
      <c r="D1156" s="4">
        <v>2020.9749999999999</v>
      </c>
      <c r="E1156" s="4">
        <v>2021.0070000000001</v>
      </c>
      <c r="F1156" s="4"/>
      <c r="G1156" s="4"/>
      <c r="H1156" s="25" t="s">
        <v>2732</v>
      </c>
      <c r="I1156" s="4"/>
      <c r="J1156" s="6">
        <v>0</v>
      </c>
      <c r="K1156" s="30" t="s">
        <v>1767</v>
      </c>
      <c r="L1156" s="4"/>
      <c r="M1156" s="3"/>
    </row>
    <row r="1157" spans="1:13" x14ac:dyDescent="0.3">
      <c r="A1157" s="3">
        <v>103</v>
      </c>
      <c r="B1157" s="3">
        <v>103</v>
      </c>
      <c r="C1157" s="4">
        <v>2021.3340000000001</v>
      </c>
      <c r="D1157" s="4">
        <v>2021.0070000000001</v>
      </c>
      <c r="E1157" s="4">
        <v>2021.6610000000001</v>
      </c>
      <c r="F1157" s="4"/>
      <c r="G1157" s="4"/>
      <c r="H1157" s="26" t="s">
        <v>2733</v>
      </c>
      <c r="I1157" s="4"/>
      <c r="J1157" s="6">
        <v>0</v>
      </c>
      <c r="K1157" s="29" t="s">
        <v>1767</v>
      </c>
      <c r="L1157" s="4"/>
      <c r="M1157" s="3"/>
    </row>
    <row r="1158" spans="1:13" x14ac:dyDescent="0.3">
      <c r="A1158" s="3">
        <v>103</v>
      </c>
      <c r="B1158" s="3">
        <v>103</v>
      </c>
      <c r="C1158" s="4">
        <v>2021.6790000000001</v>
      </c>
      <c r="D1158" s="4">
        <v>2021.6610000000001</v>
      </c>
      <c r="E1158" s="4">
        <v>2021.6959999999999</v>
      </c>
      <c r="F1158" s="4"/>
      <c r="G1158" s="4"/>
      <c r="H1158" s="25" t="s">
        <v>2734</v>
      </c>
      <c r="I1158" s="4"/>
      <c r="J1158" s="6">
        <v>0</v>
      </c>
      <c r="K1158" s="30" t="s">
        <v>1767</v>
      </c>
      <c r="L1158" s="4"/>
      <c r="M1158" s="3"/>
    </row>
    <row r="1159" spans="1:13" x14ac:dyDescent="0.3">
      <c r="A1159" s="3">
        <v>103</v>
      </c>
      <c r="B1159" s="3">
        <v>103</v>
      </c>
      <c r="C1159" s="4">
        <v>2022.347</v>
      </c>
      <c r="D1159" s="4">
        <v>2021.6959999999999</v>
      </c>
      <c r="E1159" s="4">
        <v>2022.9970000000001</v>
      </c>
      <c r="F1159" s="4"/>
      <c r="G1159" s="4"/>
      <c r="H1159" s="26" t="s">
        <v>2735</v>
      </c>
      <c r="I1159" s="4"/>
      <c r="J1159" s="6">
        <v>0</v>
      </c>
      <c r="K1159" s="29" t="s">
        <v>1767</v>
      </c>
      <c r="L1159" s="4"/>
      <c r="M1159" s="3"/>
    </row>
    <row r="1160" spans="1:13" x14ac:dyDescent="0.3">
      <c r="A1160" s="3">
        <v>103</v>
      </c>
      <c r="B1160" s="3">
        <v>103</v>
      </c>
      <c r="C1160" s="4">
        <v>2023.097</v>
      </c>
      <c r="D1160" s="4">
        <v>2022.9970000000001</v>
      </c>
      <c r="E1160" s="4">
        <v>2023.1959999999999</v>
      </c>
      <c r="F1160" s="4"/>
      <c r="G1160" s="4"/>
      <c r="H1160" s="25" t="s">
        <v>2736</v>
      </c>
      <c r="I1160" s="4"/>
      <c r="J1160" s="6">
        <v>0</v>
      </c>
      <c r="K1160" s="30" t="s">
        <v>1767</v>
      </c>
      <c r="L1160" s="4"/>
      <c r="M1160" s="3"/>
    </row>
    <row r="1161" spans="1:13" x14ac:dyDescent="0.3">
      <c r="A1161" s="3">
        <v>103</v>
      </c>
      <c r="B1161" s="3">
        <v>103</v>
      </c>
      <c r="C1161" s="4">
        <v>2023.4690000000001</v>
      </c>
      <c r="D1161" s="4">
        <v>2023.1959999999999</v>
      </c>
      <c r="E1161" s="4">
        <v>2023.741</v>
      </c>
      <c r="F1161" s="4"/>
      <c r="G1161" s="4"/>
      <c r="H1161" s="26" t="s">
        <v>2737</v>
      </c>
      <c r="I1161" s="4"/>
      <c r="J1161" s="6">
        <v>0</v>
      </c>
      <c r="K1161" s="29" t="s">
        <v>1767</v>
      </c>
      <c r="L1161" s="4"/>
      <c r="M1161" s="3"/>
    </row>
    <row r="1162" spans="1:13" x14ac:dyDescent="0.3">
      <c r="A1162" s="3">
        <v>103</v>
      </c>
      <c r="B1162" s="3">
        <v>103</v>
      </c>
      <c r="C1162" s="4">
        <v>2024.3330000000001</v>
      </c>
      <c r="D1162" s="4">
        <v>2023.741</v>
      </c>
      <c r="E1162" s="4">
        <v>2024.924</v>
      </c>
      <c r="F1162" s="4"/>
      <c r="G1162" s="4"/>
      <c r="H1162" s="25" t="s">
        <v>2738</v>
      </c>
      <c r="I1162" s="4"/>
      <c r="J1162" s="6">
        <v>0</v>
      </c>
      <c r="K1162" s="30" t="s">
        <v>1767</v>
      </c>
      <c r="L1162" s="4"/>
      <c r="M1162" s="3"/>
    </row>
    <row r="1163" spans="1:13" x14ac:dyDescent="0.3">
      <c r="A1163" s="3">
        <v>103</v>
      </c>
      <c r="B1163" s="3">
        <v>103</v>
      </c>
      <c r="C1163" s="4">
        <v>2025.173</v>
      </c>
      <c r="D1163" s="4">
        <v>2024.924</v>
      </c>
      <c r="E1163" s="4">
        <v>2025.421</v>
      </c>
      <c r="F1163" s="4"/>
      <c r="G1163" s="4"/>
      <c r="H1163" s="26" t="s">
        <v>2739</v>
      </c>
      <c r="I1163" s="4"/>
      <c r="J1163" s="6">
        <v>0</v>
      </c>
      <c r="K1163" s="29" t="s">
        <v>1767</v>
      </c>
      <c r="L1163" s="4"/>
      <c r="M1163" s="3"/>
    </row>
    <row r="1164" spans="1:13" x14ac:dyDescent="0.3">
      <c r="A1164" s="3">
        <v>103</v>
      </c>
      <c r="B1164" s="3">
        <v>103</v>
      </c>
      <c r="C1164" s="4">
        <v>2025.4659999999999</v>
      </c>
      <c r="D1164" s="4">
        <v>2025.421</v>
      </c>
      <c r="E1164" s="4">
        <v>2025.511</v>
      </c>
      <c r="F1164" s="4"/>
      <c r="G1164" s="4"/>
      <c r="H1164" s="25" t="s">
        <v>2740</v>
      </c>
      <c r="I1164" s="4"/>
      <c r="J1164" s="6">
        <v>0</v>
      </c>
      <c r="K1164" s="30" t="s">
        <v>1767</v>
      </c>
      <c r="L1164" s="4"/>
      <c r="M1164" s="3"/>
    </row>
    <row r="1165" spans="1:13" x14ac:dyDescent="0.3">
      <c r="A1165" s="3">
        <v>103</v>
      </c>
      <c r="B1165" s="3">
        <v>103</v>
      </c>
      <c r="C1165" s="4">
        <v>2025.893</v>
      </c>
      <c r="D1165" s="4">
        <v>2025.511</v>
      </c>
      <c r="E1165" s="4">
        <v>2026.2739999999999</v>
      </c>
      <c r="F1165" s="4"/>
      <c r="G1165" s="4"/>
      <c r="H1165" s="26" t="s">
        <v>2741</v>
      </c>
      <c r="I1165" s="4"/>
      <c r="J1165" s="6">
        <v>0</v>
      </c>
      <c r="K1165" s="29" t="s">
        <v>1767</v>
      </c>
      <c r="L1165" s="4"/>
      <c r="M1165" s="3"/>
    </row>
    <row r="1166" spans="1:13" x14ac:dyDescent="0.3">
      <c r="A1166" s="3">
        <v>103</v>
      </c>
      <c r="B1166" s="3">
        <v>103</v>
      </c>
      <c r="C1166" s="4">
        <v>2026.3440000000001</v>
      </c>
      <c r="D1166" s="4">
        <v>2026.2739999999999</v>
      </c>
      <c r="E1166" s="4">
        <v>2026.413</v>
      </c>
      <c r="F1166" s="4"/>
      <c r="G1166" s="4"/>
      <c r="H1166" s="25" t="s">
        <v>2742</v>
      </c>
      <c r="I1166" s="4"/>
      <c r="J1166" s="6">
        <v>0</v>
      </c>
      <c r="K1166" s="30" t="s">
        <v>1767</v>
      </c>
      <c r="L1166" s="4"/>
      <c r="M1166" s="3"/>
    </row>
    <row r="1167" spans="1:13" x14ac:dyDescent="0.3">
      <c r="A1167" s="3">
        <v>103</v>
      </c>
      <c r="B1167" s="3">
        <v>103</v>
      </c>
      <c r="C1167" s="4">
        <v>2026.9349999999999</v>
      </c>
      <c r="D1167" s="4">
        <v>2026.413</v>
      </c>
      <c r="E1167" s="4">
        <v>2027.4559999999999</v>
      </c>
      <c r="F1167" s="4"/>
      <c r="G1167" s="4"/>
      <c r="H1167" s="26" t="s">
        <v>2743</v>
      </c>
      <c r="I1167" s="4"/>
      <c r="J1167" s="6">
        <v>0</v>
      </c>
      <c r="K1167" s="29" t="s">
        <v>1767</v>
      </c>
      <c r="L1167" s="4"/>
      <c r="M1167" s="3"/>
    </row>
    <row r="1168" spans="1:13" x14ac:dyDescent="0.3">
      <c r="A1168" s="3">
        <v>103</v>
      </c>
      <c r="B1168" s="3">
        <v>103</v>
      </c>
      <c r="C1168" s="4">
        <v>2027.4960000000001</v>
      </c>
      <c r="D1168" s="4">
        <v>2027.4559999999999</v>
      </c>
      <c r="E1168" s="4">
        <v>2027.5350000000001</v>
      </c>
      <c r="F1168" s="4"/>
      <c r="G1168" s="4"/>
      <c r="H1168" s="25" t="s">
        <v>2744</v>
      </c>
      <c r="I1168" s="4"/>
      <c r="J1168" s="6">
        <v>0</v>
      </c>
      <c r="K1168" s="30" t="s">
        <v>1767</v>
      </c>
      <c r="L1168" s="4"/>
      <c r="M1168" s="3"/>
    </row>
    <row r="1169" spans="1:13" x14ac:dyDescent="0.3">
      <c r="A1169" s="3">
        <v>103</v>
      </c>
      <c r="B1169" s="3">
        <v>103</v>
      </c>
      <c r="C1169" s="4">
        <v>2027.8209999999999</v>
      </c>
      <c r="D1169" s="4">
        <v>2027.5350000000001</v>
      </c>
      <c r="E1169" s="4">
        <v>2028.107</v>
      </c>
      <c r="F1169" s="4"/>
      <c r="G1169" s="4"/>
      <c r="H1169" s="26" t="s">
        <v>2745</v>
      </c>
      <c r="I1169" s="4"/>
      <c r="J1169" s="6">
        <v>0</v>
      </c>
      <c r="K1169" s="29" t="s">
        <v>1767</v>
      </c>
      <c r="L1169" s="4"/>
      <c r="M1169" s="3"/>
    </row>
    <row r="1170" spans="1:13" x14ac:dyDescent="0.3">
      <c r="A1170" s="3">
        <v>103</v>
      </c>
      <c r="B1170" s="3">
        <v>103</v>
      </c>
      <c r="C1170" s="4">
        <v>2028.204</v>
      </c>
      <c r="D1170" s="4">
        <v>2028.107</v>
      </c>
      <c r="E1170" s="4">
        <v>2028.3</v>
      </c>
      <c r="F1170" s="4"/>
      <c r="G1170" s="4"/>
      <c r="H1170" s="25" t="s">
        <v>2746</v>
      </c>
      <c r="I1170" s="4"/>
      <c r="J1170" s="6">
        <v>0</v>
      </c>
      <c r="K1170" s="30" t="s">
        <v>1767</v>
      </c>
      <c r="L1170" s="4"/>
      <c r="M1170" s="3"/>
    </row>
    <row r="1171" spans="1:13" x14ac:dyDescent="0.3">
      <c r="A1171" s="3">
        <v>103</v>
      </c>
      <c r="B1171" s="3">
        <v>103</v>
      </c>
      <c r="C1171" s="4">
        <v>2028.7639999999999</v>
      </c>
      <c r="D1171" s="4">
        <v>2028.3</v>
      </c>
      <c r="E1171" s="4">
        <v>2029.2270000000001</v>
      </c>
      <c r="F1171" s="4"/>
      <c r="G1171" s="4"/>
      <c r="H1171" s="26" t="s">
        <v>2747</v>
      </c>
      <c r="I1171" s="4"/>
      <c r="J1171" s="6">
        <v>0</v>
      </c>
      <c r="K1171" s="29" t="s">
        <v>1767</v>
      </c>
      <c r="L1171" s="4"/>
      <c r="M1171" s="3"/>
    </row>
    <row r="1172" spans="1:13" x14ac:dyDescent="0.3">
      <c r="A1172" s="3">
        <v>103</v>
      </c>
      <c r="B1172" s="3">
        <v>103</v>
      </c>
      <c r="C1172" s="4">
        <v>2029.61</v>
      </c>
      <c r="D1172" s="4">
        <v>2029.2270000000001</v>
      </c>
      <c r="E1172" s="4">
        <v>2029.9929999999999</v>
      </c>
      <c r="F1172" s="4"/>
      <c r="G1172" s="4"/>
      <c r="H1172" s="25" t="s">
        <v>2748</v>
      </c>
      <c r="I1172" s="4"/>
      <c r="J1172" s="6">
        <v>0</v>
      </c>
      <c r="K1172" s="30" t="s">
        <v>1767</v>
      </c>
      <c r="L1172" s="4"/>
      <c r="M1172" s="3"/>
    </row>
    <row r="1173" spans="1:13" x14ac:dyDescent="0.3">
      <c r="A1173" s="3">
        <v>103</v>
      </c>
      <c r="B1173" s="3">
        <v>103</v>
      </c>
      <c r="C1173" s="4">
        <v>2030.146</v>
      </c>
      <c r="D1173" s="4">
        <v>2029.9929999999999</v>
      </c>
      <c r="E1173" s="4">
        <v>2030.298</v>
      </c>
      <c r="F1173" s="4"/>
      <c r="G1173" s="4"/>
      <c r="H1173" s="26" t="s">
        <v>2749</v>
      </c>
      <c r="I1173" s="4"/>
      <c r="J1173" s="6">
        <v>0</v>
      </c>
      <c r="K1173" s="29" t="s">
        <v>1767</v>
      </c>
      <c r="L1173" s="4"/>
      <c r="M1173" s="3"/>
    </row>
    <row r="1174" spans="1:13" x14ac:dyDescent="0.3">
      <c r="A1174" s="3">
        <v>103</v>
      </c>
      <c r="B1174" s="3">
        <v>103</v>
      </c>
      <c r="C1174" s="4">
        <v>2032.473</v>
      </c>
      <c r="D1174" s="4">
        <v>2030.298</v>
      </c>
      <c r="E1174" s="4">
        <v>2034.6479999999999</v>
      </c>
      <c r="F1174" s="4"/>
      <c r="G1174" s="4"/>
      <c r="H1174" s="25" t="s">
        <v>2750</v>
      </c>
      <c r="I1174" s="4"/>
      <c r="J1174" s="6">
        <v>0</v>
      </c>
      <c r="K1174" s="30" t="s">
        <v>1767</v>
      </c>
      <c r="L1174" s="4"/>
      <c r="M1174" s="3"/>
    </row>
    <row r="1175" spans="1:13" x14ac:dyDescent="0.3">
      <c r="A1175" s="3">
        <v>103</v>
      </c>
      <c r="B1175" s="3">
        <v>103</v>
      </c>
      <c r="C1175" s="4">
        <v>2035.0650000000001</v>
      </c>
      <c r="D1175" s="4">
        <v>2034.6479999999999</v>
      </c>
      <c r="E1175" s="4">
        <v>2035.481</v>
      </c>
      <c r="F1175" s="4"/>
      <c r="G1175" s="4"/>
      <c r="H1175" s="26" t="s">
        <v>2751</v>
      </c>
      <c r="I1175" s="4"/>
      <c r="J1175" s="6">
        <v>0</v>
      </c>
      <c r="K1175" s="29" t="s">
        <v>1767</v>
      </c>
      <c r="L1175" s="4"/>
      <c r="M1175" s="3"/>
    </row>
    <row r="1176" spans="1:13" x14ac:dyDescent="0.3">
      <c r="A1176" s="3">
        <v>103</v>
      </c>
      <c r="B1176" s="3">
        <v>103</v>
      </c>
      <c r="C1176" s="4">
        <v>2035.8610000000001</v>
      </c>
      <c r="D1176" s="4">
        <v>2035.481</v>
      </c>
      <c r="E1176" s="4">
        <v>2036.241</v>
      </c>
      <c r="F1176" s="4"/>
      <c r="G1176" s="4"/>
      <c r="H1176" s="25" t="s">
        <v>2752</v>
      </c>
      <c r="I1176" s="4"/>
      <c r="J1176" s="6">
        <v>0</v>
      </c>
      <c r="K1176" s="30" t="s">
        <v>1767</v>
      </c>
      <c r="L1176" s="4"/>
      <c r="M1176" s="3"/>
    </row>
    <row r="1177" spans="1:13" x14ac:dyDescent="0.3">
      <c r="A1177" s="3">
        <v>103</v>
      </c>
      <c r="B1177" s="3">
        <v>103</v>
      </c>
      <c r="C1177" s="4">
        <v>2036.713</v>
      </c>
      <c r="D1177" s="4">
        <v>2036.241</v>
      </c>
      <c r="E1177" s="4">
        <v>2037.184</v>
      </c>
      <c r="F1177" s="4"/>
      <c r="G1177" s="4"/>
      <c r="H1177" s="26" t="s">
        <v>2753</v>
      </c>
      <c r="I1177" s="4"/>
      <c r="J1177" s="6">
        <v>0</v>
      </c>
      <c r="K1177" s="29" t="s">
        <v>1767</v>
      </c>
      <c r="L1177" s="4"/>
      <c r="M1177" s="3"/>
    </row>
    <row r="1178" spans="1:13" x14ac:dyDescent="0.3">
      <c r="A1178" s="3">
        <v>103</v>
      </c>
      <c r="B1178" s="3">
        <v>103</v>
      </c>
      <c r="C1178" s="4">
        <v>2037.229</v>
      </c>
      <c r="D1178" s="4">
        <v>2037.184</v>
      </c>
      <c r="E1178" s="4">
        <v>2037.2729999999999</v>
      </c>
      <c r="F1178" s="4"/>
      <c r="G1178" s="4"/>
      <c r="H1178" s="25" t="s">
        <v>2754</v>
      </c>
      <c r="I1178" s="4"/>
      <c r="J1178" s="6">
        <v>0</v>
      </c>
      <c r="K1178" s="30" t="s">
        <v>1767</v>
      </c>
      <c r="L1178" s="4"/>
      <c r="M1178" s="3"/>
    </row>
    <row r="1179" spans="1:13" x14ac:dyDescent="0.3">
      <c r="A1179" s="3">
        <v>103</v>
      </c>
      <c r="B1179" s="3">
        <v>103</v>
      </c>
      <c r="C1179" s="4">
        <v>2037.509</v>
      </c>
      <c r="D1179" s="4">
        <v>2037.2729999999999</v>
      </c>
      <c r="E1179" s="4">
        <v>2037.7439999999999</v>
      </c>
      <c r="F1179" s="4"/>
      <c r="G1179" s="4"/>
      <c r="H1179" s="26" t="s">
        <v>2755</v>
      </c>
      <c r="I1179" s="4"/>
      <c r="J1179" s="6">
        <v>0</v>
      </c>
      <c r="K1179" s="29" t="s">
        <v>1767</v>
      </c>
      <c r="L1179" s="4"/>
      <c r="M1179" s="3"/>
    </row>
    <row r="1180" spans="1:13" x14ac:dyDescent="0.3">
      <c r="A1180" s="3">
        <v>103</v>
      </c>
      <c r="B1180" s="3">
        <v>103</v>
      </c>
      <c r="C1180" s="4">
        <v>2037.954</v>
      </c>
      <c r="D1180" s="4">
        <v>2037.7439999999999</v>
      </c>
      <c r="E1180" s="4">
        <v>2038.163</v>
      </c>
      <c r="F1180" s="4"/>
      <c r="G1180" s="4"/>
      <c r="H1180" s="25" t="s">
        <v>2756</v>
      </c>
      <c r="I1180" s="4"/>
      <c r="J1180" s="6">
        <v>0</v>
      </c>
      <c r="K1180" s="30" t="s">
        <v>1767</v>
      </c>
      <c r="L1180" s="4"/>
      <c r="M1180" s="3"/>
    </row>
    <row r="1181" spans="1:13" x14ac:dyDescent="0.3">
      <c r="A1181" s="3">
        <v>103</v>
      </c>
      <c r="B1181" s="3">
        <v>103</v>
      </c>
      <c r="C1181" s="4">
        <v>2038.481</v>
      </c>
      <c r="D1181" s="4">
        <v>2038.163</v>
      </c>
      <c r="E1181" s="4">
        <v>2038.799</v>
      </c>
      <c r="F1181" s="4"/>
      <c r="G1181" s="4"/>
      <c r="H1181" s="26" t="s">
        <v>2757</v>
      </c>
      <c r="I1181" s="4"/>
      <c r="J1181" s="6">
        <v>0</v>
      </c>
      <c r="K1181" s="29" t="s">
        <v>1767</v>
      </c>
      <c r="L1181" s="4"/>
      <c r="M1181" s="3"/>
    </row>
    <row r="1182" spans="1:13" x14ac:dyDescent="0.3">
      <c r="A1182" s="3">
        <v>103</v>
      </c>
      <c r="B1182" s="3">
        <v>103</v>
      </c>
      <c r="C1182" s="4">
        <v>2039.107</v>
      </c>
      <c r="D1182" s="4">
        <v>2038.799</v>
      </c>
      <c r="E1182" s="4">
        <v>2039.414</v>
      </c>
      <c r="F1182" s="4"/>
      <c r="G1182" s="4"/>
      <c r="H1182" s="25" t="s">
        <v>2758</v>
      </c>
      <c r="I1182" s="4"/>
      <c r="J1182" s="6">
        <v>0</v>
      </c>
      <c r="K1182" s="30" t="s">
        <v>1767</v>
      </c>
      <c r="L1182" s="4"/>
      <c r="M1182" s="3"/>
    </row>
    <row r="1183" spans="1:13" x14ac:dyDescent="0.3">
      <c r="A1183" s="3">
        <v>103</v>
      </c>
      <c r="B1183" s="3">
        <v>103</v>
      </c>
      <c r="C1183" s="4">
        <v>2039.7329999999999</v>
      </c>
      <c r="D1183" s="4">
        <v>2039.414</v>
      </c>
      <c r="E1183" s="4">
        <v>2040.0509999999999</v>
      </c>
      <c r="F1183" s="4"/>
      <c r="G1183" s="4"/>
      <c r="H1183" s="26" t="s">
        <v>2759</v>
      </c>
      <c r="I1183" s="4"/>
      <c r="J1183" s="6">
        <v>0</v>
      </c>
      <c r="K1183" s="29" t="s">
        <v>1767</v>
      </c>
      <c r="L1183" s="4"/>
      <c r="M1183" s="3"/>
    </row>
    <row r="1184" spans="1:13" x14ac:dyDescent="0.3">
      <c r="A1184" s="3">
        <v>103</v>
      </c>
      <c r="B1184" s="3">
        <v>103</v>
      </c>
      <c r="C1184" s="4">
        <v>2040.078</v>
      </c>
      <c r="D1184" s="4">
        <v>2040.0509999999999</v>
      </c>
      <c r="E1184" s="4">
        <v>2040.104</v>
      </c>
      <c r="F1184" s="4"/>
      <c r="G1184" s="4"/>
      <c r="H1184" s="25" t="s">
        <v>2760</v>
      </c>
      <c r="I1184" s="4"/>
      <c r="J1184" s="6">
        <v>0</v>
      </c>
      <c r="K1184" s="30" t="s">
        <v>1767</v>
      </c>
      <c r="L1184" s="4"/>
      <c r="M1184" s="3"/>
    </row>
    <row r="1185" spans="1:13" x14ac:dyDescent="0.3">
      <c r="A1185" s="3">
        <v>103</v>
      </c>
      <c r="B1185" s="3">
        <v>103</v>
      </c>
      <c r="C1185" s="4">
        <v>2040.3330000000001</v>
      </c>
      <c r="D1185" s="4">
        <v>2040.104</v>
      </c>
      <c r="E1185" s="4">
        <v>2040.5619999999999</v>
      </c>
      <c r="F1185" s="4"/>
      <c r="G1185" s="4"/>
      <c r="H1185" s="26" t="s">
        <v>2761</v>
      </c>
      <c r="I1185" s="4"/>
      <c r="J1185" s="6">
        <v>0</v>
      </c>
      <c r="K1185" s="29" t="s">
        <v>1767</v>
      </c>
      <c r="L1185" s="4"/>
      <c r="M1185" s="3"/>
    </row>
    <row r="1186" spans="1:13" x14ac:dyDescent="0.3">
      <c r="A1186" s="3">
        <v>103</v>
      </c>
      <c r="B1186" s="3">
        <v>103</v>
      </c>
      <c r="C1186" s="4">
        <v>2040.654</v>
      </c>
      <c r="D1186" s="4">
        <v>2040.5619999999999</v>
      </c>
      <c r="E1186" s="4">
        <v>2040.7449999999999</v>
      </c>
      <c r="F1186" s="4"/>
      <c r="G1186" s="4"/>
      <c r="H1186" s="25" t="s">
        <v>2762</v>
      </c>
      <c r="I1186" s="4"/>
      <c r="J1186" s="6">
        <v>0</v>
      </c>
      <c r="K1186" s="30" t="s">
        <v>1767</v>
      </c>
      <c r="L1186" s="4"/>
      <c r="M1186" s="3"/>
    </row>
    <row r="1187" spans="1:13" x14ac:dyDescent="0.3">
      <c r="A1187" s="3">
        <v>103</v>
      </c>
      <c r="B1187" s="3">
        <v>103</v>
      </c>
      <c r="C1187" s="4">
        <v>2041.0360000000001</v>
      </c>
      <c r="D1187" s="4">
        <v>2040.7449999999999</v>
      </c>
      <c r="E1187" s="4">
        <v>2041.326</v>
      </c>
      <c r="F1187" s="4"/>
      <c r="G1187" s="4"/>
      <c r="H1187" s="26" t="s">
        <v>2763</v>
      </c>
      <c r="I1187" s="4"/>
      <c r="J1187" s="6">
        <v>0</v>
      </c>
      <c r="K1187" s="29" t="s">
        <v>1767</v>
      </c>
      <c r="L1187" s="4"/>
      <c r="M1187" s="3"/>
    </row>
    <row r="1188" spans="1:13" x14ac:dyDescent="0.3">
      <c r="A1188" s="3">
        <v>103</v>
      </c>
      <c r="B1188" s="3">
        <v>103</v>
      </c>
      <c r="C1188" s="4">
        <v>2041.896</v>
      </c>
      <c r="D1188" s="4">
        <v>2041.326</v>
      </c>
      <c r="E1188" s="4">
        <v>2042.4659999999999</v>
      </c>
      <c r="F1188" s="4"/>
      <c r="G1188" s="4"/>
      <c r="H1188" s="25" t="s">
        <v>2764</v>
      </c>
      <c r="I1188" s="4"/>
      <c r="J1188" s="6">
        <v>0</v>
      </c>
      <c r="K1188" s="30" t="s">
        <v>1767</v>
      </c>
      <c r="L1188" s="4"/>
      <c r="M1188" s="3"/>
    </row>
    <row r="1189" spans="1:13" x14ac:dyDescent="0.3">
      <c r="A1189" s="3">
        <v>103</v>
      </c>
      <c r="B1189" s="3">
        <v>103</v>
      </c>
      <c r="C1189" s="4">
        <v>2042.9929999999999</v>
      </c>
      <c r="D1189" s="4">
        <v>2042.4659999999999</v>
      </c>
      <c r="E1189" s="4">
        <v>2043.52</v>
      </c>
      <c r="F1189" s="4"/>
      <c r="G1189" s="4"/>
      <c r="H1189" s="26" t="s">
        <v>2765</v>
      </c>
      <c r="I1189" s="4"/>
      <c r="J1189" s="6">
        <v>0</v>
      </c>
      <c r="K1189" s="29" t="s">
        <v>1767</v>
      </c>
      <c r="L1189" s="4"/>
      <c r="M1189" s="3"/>
    </row>
    <row r="1190" spans="1:13" x14ac:dyDescent="0.3">
      <c r="A1190" s="3">
        <v>103</v>
      </c>
      <c r="B1190" s="3">
        <v>103</v>
      </c>
      <c r="C1190" s="4">
        <v>2043.682</v>
      </c>
      <c r="D1190" s="4">
        <v>2043.52</v>
      </c>
      <c r="E1190" s="4">
        <v>2043.8440000000001</v>
      </c>
      <c r="F1190" s="4"/>
      <c r="G1190" s="4"/>
      <c r="H1190" s="25" t="s">
        <v>2766</v>
      </c>
      <c r="I1190" s="4"/>
      <c r="J1190" s="6">
        <v>0</v>
      </c>
      <c r="K1190" s="30" t="s">
        <v>1767</v>
      </c>
      <c r="L1190" s="4"/>
      <c r="M1190" s="3"/>
    </row>
    <row r="1191" spans="1:13" x14ac:dyDescent="0.3">
      <c r="A1191" s="3">
        <v>103</v>
      </c>
      <c r="B1191" s="3">
        <v>103</v>
      </c>
      <c r="C1191" s="4">
        <v>2044.248</v>
      </c>
      <c r="D1191" s="4">
        <v>2043.8440000000001</v>
      </c>
      <c r="E1191" s="4">
        <v>2044.652</v>
      </c>
      <c r="F1191" s="4"/>
      <c r="G1191" s="4"/>
      <c r="H1191" s="26" t="s">
        <v>2767</v>
      </c>
      <c r="I1191" s="4"/>
      <c r="J1191" s="6">
        <v>0</v>
      </c>
      <c r="K1191" s="29" t="s">
        <v>1767</v>
      </c>
      <c r="L1191" s="4"/>
      <c r="M1191" s="3"/>
    </row>
    <row r="1192" spans="1:13" x14ac:dyDescent="0.3">
      <c r="A1192" s="3">
        <v>103</v>
      </c>
      <c r="B1192" s="3">
        <v>103</v>
      </c>
      <c r="C1192" s="4">
        <v>2044.877</v>
      </c>
      <c r="D1192" s="4">
        <v>2044.652</v>
      </c>
      <c r="E1192" s="4">
        <v>2045.1020000000001</v>
      </c>
      <c r="F1192" s="4"/>
      <c r="G1192" s="4"/>
      <c r="H1192" s="25" t="s">
        <v>2768</v>
      </c>
      <c r="I1192" s="4"/>
      <c r="J1192" s="6">
        <v>0</v>
      </c>
      <c r="K1192" s="30" t="s">
        <v>1767</v>
      </c>
      <c r="L1192" s="4"/>
      <c r="M1192" s="3"/>
    </row>
    <row r="1193" spans="1:13" x14ac:dyDescent="0.3">
      <c r="A1193" s="3">
        <v>103</v>
      </c>
      <c r="B1193" s="3">
        <v>103</v>
      </c>
      <c r="C1193" s="4">
        <v>2045.7470000000001</v>
      </c>
      <c r="D1193" s="4">
        <v>2045.1020000000001</v>
      </c>
      <c r="E1193" s="4">
        <v>2046.3920000000001</v>
      </c>
      <c r="F1193" s="4"/>
      <c r="G1193" s="4"/>
      <c r="H1193" s="26" t="s">
        <v>2769</v>
      </c>
      <c r="I1193" s="4"/>
      <c r="J1193" s="6">
        <v>0</v>
      </c>
      <c r="K1193" s="29" t="s">
        <v>1767</v>
      </c>
      <c r="L1193" s="4"/>
      <c r="M1193" s="3"/>
    </row>
    <row r="1194" spans="1:13" x14ac:dyDescent="0.3">
      <c r="A1194" s="3">
        <v>103</v>
      </c>
      <c r="B1194" s="3">
        <v>103</v>
      </c>
      <c r="C1194" s="4">
        <v>2046.5250000000001</v>
      </c>
      <c r="D1194" s="4">
        <v>2046.3920000000001</v>
      </c>
      <c r="E1194" s="4">
        <v>2046.6579999999999</v>
      </c>
      <c r="F1194" s="4"/>
      <c r="G1194" s="4"/>
      <c r="H1194" s="25" t="s">
        <v>2770</v>
      </c>
      <c r="I1194" s="4"/>
      <c r="J1194" s="6">
        <v>0</v>
      </c>
      <c r="K1194" s="30" t="s">
        <v>1767</v>
      </c>
      <c r="L1194" s="4"/>
      <c r="M1194" s="3"/>
    </row>
    <row r="1195" spans="1:13" x14ac:dyDescent="0.3">
      <c r="A1195" s="3">
        <v>103</v>
      </c>
      <c r="B1195" s="3">
        <v>103</v>
      </c>
      <c r="C1195" s="4">
        <v>2046.865</v>
      </c>
      <c r="D1195" s="4">
        <v>2046.6579999999999</v>
      </c>
      <c r="E1195" s="4">
        <v>2047.0709999999999</v>
      </c>
      <c r="F1195" s="4"/>
      <c r="G1195" s="4"/>
      <c r="H1195" s="26" t="s">
        <v>2771</v>
      </c>
      <c r="I1195" s="4"/>
      <c r="J1195" s="6">
        <v>0</v>
      </c>
      <c r="K1195" s="29" t="s">
        <v>1767</v>
      </c>
      <c r="L1195" s="4"/>
      <c r="M1195" s="3"/>
    </row>
    <row r="1196" spans="1:13" x14ac:dyDescent="0.3">
      <c r="A1196" s="3">
        <v>103</v>
      </c>
      <c r="B1196" s="3">
        <v>103</v>
      </c>
      <c r="C1196" s="4">
        <v>2047.665</v>
      </c>
      <c r="D1196" s="4">
        <v>2047.0709999999999</v>
      </c>
      <c r="E1196" s="4">
        <v>2048.259</v>
      </c>
      <c r="F1196" s="4"/>
      <c r="G1196" s="4"/>
      <c r="H1196" s="25" t="s">
        <v>2772</v>
      </c>
      <c r="I1196" s="4"/>
      <c r="J1196" s="6">
        <v>0</v>
      </c>
      <c r="K1196" s="30" t="s">
        <v>1767</v>
      </c>
      <c r="L1196" s="4"/>
      <c r="M1196" s="3"/>
    </row>
    <row r="1197" spans="1:13" x14ac:dyDescent="0.3">
      <c r="A1197" s="3">
        <v>103</v>
      </c>
      <c r="B1197" s="3">
        <v>103</v>
      </c>
      <c r="C1197" s="4">
        <v>2048.4989999999998</v>
      </c>
      <c r="D1197" s="4">
        <v>2048.259</v>
      </c>
      <c r="E1197" s="4">
        <v>2048.7379999999998</v>
      </c>
      <c r="F1197" s="4"/>
      <c r="G1197" s="4"/>
      <c r="H1197" s="26" t="s">
        <v>2773</v>
      </c>
      <c r="I1197" s="4"/>
      <c r="J1197" s="6">
        <v>0</v>
      </c>
      <c r="K1197" s="29" t="s">
        <v>1767</v>
      </c>
      <c r="L1197" s="4"/>
      <c r="M1197" s="3"/>
    </row>
    <row r="1198" spans="1:13" x14ac:dyDescent="0.3">
      <c r="A1198" s="3">
        <v>103</v>
      </c>
      <c r="B1198" s="3">
        <v>103</v>
      </c>
      <c r="C1198" s="4">
        <v>2048.8200000000002</v>
      </c>
      <c r="D1198" s="4">
        <v>2048.7379999999998</v>
      </c>
      <c r="E1198" s="4">
        <v>2048.902</v>
      </c>
      <c r="F1198" s="4"/>
      <c r="G1198" s="4"/>
      <c r="H1198" s="25" t="s">
        <v>2774</v>
      </c>
      <c r="I1198" s="4"/>
      <c r="J1198" s="6">
        <v>0</v>
      </c>
      <c r="K1198" s="30" t="s">
        <v>1767</v>
      </c>
      <c r="L1198" s="4"/>
      <c r="M1198" s="3"/>
    </row>
    <row r="1199" spans="1:13" x14ac:dyDescent="0.3">
      <c r="A1199" s="3">
        <v>103</v>
      </c>
      <c r="B1199" s="3">
        <v>103</v>
      </c>
      <c r="C1199" s="4">
        <v>2049.0329999999999</v>
      </c>
      <c r="D1199" s="4">
        <v>2048.902</v>
      </c>
      <c r="E1199" s="4">
        <v>2049.163</v>
      </c>
      <c r="F1199" s="4"/>
      <c r="G1199" s="4"/>
      <c r="H1199" s="26" t="s">
        <v>2775</v>
      </c>
      <c r="I1199" s="4"/>
      <c r="J1199" s="6">
        <v>0</v>
      </c>
      <c r="K1199" s="29" t="s">
        <v>1767</v>
      </c>
      <c r="L1199" s="4"/>
      <c r="M1199" s="3"/>
    </row>
    <row r="1200" spans="1:13" x14ac:dyDescent="0.3">
      <c r="A1200" s="3">
        <v>103</v>
      </c>
      <c r="B1200" s="3">
        <v>103</v>
      </c>
      <c r="C1200" s="4">
        <v>2049.7539999999999</v>
      </c>
      <c r="D1200" s="4">
        <v>2049.163</v>
      </c>
      <c r="E1200" s="4">
        <v>2050.3449999999998</v>
      </c>
      <c r="F1200" s="4"/>
      <c r="G1200" s="4"/>
      <c r="H1200" s="25" t="s">
        <v>2776</v>
      </c>
      <c r="I1200" s="4"/>
      <c r="J1200" s="6">
        <v>0</v>
      </c>
      <c r="K1200" s="30" t="s">
        <v>1767</v>
      </c>
      <c r="L1200" s="4"/>
      <c r="M1200" s="3"/>
    </row>
    <row r="1201" spans="1:13" x14ac:dyDescent="0.3">
      <c r="A1201" s="3">
        <v>103</v>
      </c>
      <c r="B1201" s="3">
        <v>103</v>
      </c>
      <c r="C1201" s="4">
        <v>2050.6590000000001</v>
      </c>
      <c r="D1201" s="4">
        <v>2050.3449999999998</v>
      </c>
      <c r="E1201" s="4">
        <v>2050.9720000000002</v>
      </c>
      <c r="F1201" s="4"/>
      <c r="G1201" s="4"/>
      <c r="H1201" s="26" t="s">
        <v>2777</v>
      </c>
      <c r="I1201" s="4"/>
      <c r="J1201" s="6">
        <v>0</v>
      </c>
      <c r="K1201" s="29" t="s">
        <v>1767</v>
      </c>
      <c r="L1201" s="4"/>
      <c r="M1201" s="3"/>
    </row>
    <row r="1202" spans="1:13" x14ac:dyDescent="0.3">
      <c r="A1202" s="3">
        <v>103</v>
      </c>
      <c r="B1202" s="3">
        <v>103</v>
      </c>
      <c r="C1202" s="4">
        <v>2051.1149999999998</v>
      </c>
      <c r="D1202" s="4">
        <v>2050.9720000000002</v>
      </c>
      <c r="E1202" s="4">
        <v>2051.2579999999998</v>
      </c>
      <c r="F1202" s="4"/>
      <c r="G1202" s="4"/>
      <c r="H1202" s="25" t="s">
        <v>2778</v>
      </c>
      <c r="I1202" s="4"/>
      <c r="J1202" s="6">
        <v>0</v>
      </c>
      <c r="K1202" s="30" t="s">
        <v>1767</v>
      </c>
      <c r="L1202" s="4"/>
      <c r="M1202" s="3"/>
    </row>
    <row r="1203" spans="1:13" x14ac:dyDescent="0.3">
      <c r="A1203" s="3">
        <v>103</v>
      </c>
      <c r="B1203" s="3">
        <v>103</v>
      </c>
      <c r="C1203" s="4">
        <v>2051.6550000000002</v>
      </c>
      <c r="D1203" s="4">
        <v>2051.2579999999998</v>
      </c>
      <c r="E1203" s="4">
        <v>2052.0520000000001</v>
      </c>
      <c r="F1203" s="4"/>
      <c r="G1203" s="4"/>
      <c r="H1203" s="26" t="s">
        <v>2779</v>
      </c>
      <c r="I1203" s="4"/>
      <c r="J1203" s="6">
        <v>0</v>
      </c>
      <c r="K1203" s="29" t="s">
        <v>1767</v>
      </c>
      <c r="L1203" s="4"/>
      <c r="M1203" s="3"/>
    </row>
    <row r="1204" spans="1:13" x14ac:dyDescent="0.3">
      <c r="A1204" s="3">
        <v>103</v>
      </c>
      <c r="B1204" s="3">
        <v>103</v>
      </c>
      <c r="C1204" s="4">
        <v>2052.0940000000001</v>
      </c>
      <c r="D1204" s="4">
        <v>2052.0520000000001</v>
      </c>
      <c r="E1204" s="4">
        <v>2052.1350000000002</v>
      </c>
      <c r="F1204" s="4"/>
      <c r="G1204" s="4"/>
      <c r="H1204" s="25" t="s">
        <v>2780</v>
      </c>
      <c r="I1204" s="4"/>
      <c r="J1204" s="6">
        <v>0</v>
      </c>
      <c r="K1204" s="30" t="s">
        <v>1767</v>
      </c>
      <c r="L1204" s="4"/>
      <c r="M1204" s="3"/>
    </row>
    <row r="1205" spans="1:13" x14ac:dyDescent="0.3">
      <c r="A1205" s="3">
        <v>103</v>
      </c>
      <c r="B1205" s="3">
        <v>103</v>
      </c>
      <c r="C1205" s="4">
        <v>2052.67</v>
      </c>
      <c r="D1205" s="4">
        <v>2052.1350000000002</v>
      </c>
      <c r="E1205" s="4">
        <v>2053.2049999999999</v>
      </c>
      <c r="F1205" s="4"/>
      <c r="G1205" s="4"/>
      <c r="H1205" s="26" t="s">
        <v>2781</v>
      </c>
      <c r="I1205" s="4"/>
      <c r="J1205" s="6">
        <v>0</v>
      </c>
      <c r="K1205" s="29" t="s">
        <v>1767</v>
      </c>
      <c r="L1205" s="4"/>
      <c r="M1205" s="3"/>
    </row>
    <row r="1206" spans="1:13" x14ac:dyDescent="0.3">
      <c r="A1206" s="3">
        <v>103</v>
      </c>
      <c r="B1206" s="3">
        <v>103</v>
      </c>
      <c r="C1206" s="4">
        <v>2053.4499999999998</v>
      </c>
      <c r="D1206" s="4">
        <v>2053.2049999999999</v>
      </c>
      <c r="E1206" s="4">
        <v>2053.6950000000002</v>
      </c>
      <c r="F1206" s="4"/>
      <c r="G1206" s="4"/>
      <c r="H1206" s="25" t="s">
        <v>2782</v>
      </c>
      <c r="I1206" s="4"/>
      <c r="J1206" s="6">
        <v>0</v>
      </c>
      <c r="K1206" s="30" t="s">
        <v>1767</v>
      </c>
      <c r="L1206" s="4"/>
      <c r="M1206" s="3"/>
    </row>
    <row r="1207" spans="1:13" x14ac:dyDescent="0.3">
      <c r="A1207" s="3">
        <v>103</v>
      </c>
      <c r="B1207" s="3">
        <v>103</v>
      </c>
      <c r="C1207" s="4">
        <v>2054.134</v>
      </c>
      <c r="D1207" s="4">
        <v>2053.6950000000002</v>
      </c>
      <c r="E1207" s="4">
        <v>2054.5720000000001</v>
      </c>
      <c r="F1207" s="4"/>
      <c r="G1207" s="4"/>
      <c r="H1207" s="26" t="s">
        <v>2783</v>
      </c>
      <c r="I1207" s="4"/>
      <c r="J1207" s="6">
        <v>0</v>
      </c>
      <c r="K1207" s="29" t="s">
        <v>1767</v>
      </c>
      <c r="L1207" s="4"/>
      <c r="M1207" s="3"/>
    </row>
    <row r="1208" spans="1:13" x14ac:dyDescent="0.3">
      <c r="A1208" s="3">
        <v>103</v>
      </c>
      <c r="B1208" s="3">
        <v>103</v>
      </c>
      <c r="C1208" s="4">
        <v>2054.8710000000001</v>
      </c>
      <c r="D1208" s="4">
        <v>2054.5720000000001</v>
      </c>
      <c r="E1208" s="4">
        <v>2055.1689999999999</v>
      </c>
      <c r="F1208" s="4"/>
      <c r="G1208" s="4"/>
      <c r="H1208" s="25" t="s">
        <v>2784</v>
      </c>
      <c r="I1208" s="4"/>
      <c r="J1208" s="6">
        <v>0</v>
      </c>
      <c r="K1208" s="30" t="s">
        <v>1767</v>
      </c>
      <c r="L1208" s="4"/>
      <c r="M1208" s="3"/>
    </row>
    <row r="1209" spans="1:13" x14ac:dyDescent="0.3">
      <c r="A1209" s="3">
        <v>103</v>
      </c>
      <c r="B1209" s="3">
        <v>103</v>
      </c>
      <c r="C1209" s="4">
        <v>2055.4699999999998</v>
      </c>
      <c r="D1209" s="4">
        <v>2055.1689999999999</v>
      </c>
      <c r="E1209" s="4">
        <v>2055.7710000000002</v>
      </c>
      <c r="F1209" s="4"/>
      <c r="G1209" s="4"/>
      <c r="H1209" s="26" t="s">
        <v>2785</v>
      </c>
      <c r="I1209" s="4"/>
      <c r="J1209" s="6">
        <v>0</v>
      </c>
      <c r="K1209" s="29" t="s">
        <v>1767</v>
      </c>
      <c r="L1209" s="4"/>
      <c r="M1209" s="3"/>
    </row>
    <row r="1210" spans="1:13" x14ac:dyDescent="0.3">
      <c r="A1210" s="3">
        <v>103</v>
      </c>
      <c r="B1210" s="3">
        <v>103</v>
      </c>
      <c r="C1210" s="4">
        <v>2056.1219999999998</v>
      </c>
      <c r="D1210" s="4">
        <v>2055.7710000000002</v>
      </c>
      <c r="E1210" s="4">
        <v>2056.473</v>
      </c>
      <c r="F1210" s="4"/>
      <c r="G1210" s="4"/>
      <c r="H1210" s="25" t="s">
        <v>2786</v>
      </c>
      <c r="I1210" s="4"/>
      <c r="J1210" s="6">
        <v>0</v>
      </c>
      <c r="K1210" s="30" t="s">
        <v>1767</v>
      </c>
      <c r="L1210" s="4"/>
      <c r="M1210" s="3"/>
    </row>
    <row r="1211" spans="1:13" x14ac:dyDescent="0.3">
      <c r="A1211" s="3">
        <v>103</v>
      </c>
      <c r="B1211" s="3">
        <v>103</v>
      </c>
      <c r="C1211" s="4">
        <v>2056.7399999999998</v>
      </c>
      <c r="D1211" s="4">
        <v>2056.473</v>
      </c>
      <c r="E1211" s="4">
        <v>2057.0059999999999</v>
      </c>
      <c r="F1211" s="4"/>
      <c r="G1211" s="4"/>
      <c r="H1211" s="26" t="s">
        <v>2787</v>
      </c>
      <c r="I1211" s="4"/>
      <c r="J1211" s="6">
        <v>0</v>
      </c>
      <c r="K1211" s="29" t="s">
        <v>1767</v>
      </c>
      <c r="L1211" s="4"/>
      <c r="M1211" s="3"/>
    </row>
    <row r="1212" spans="1:13" x14ac:dyDescent="0.3">
      <c r="A1212" s="3">
        <v>103</v>
      </c>
      <c r="B1212" s="3">
        <v>103</v>
      </c>
      <c r="C1212" s="4">
        <v>2057.5439999999999</v>
      </c>
      <c r="D1212" s="4">
        <v>2057.0059999999999</v>
      </c>
      <c r="E1212" s="4">
        <v>2058.0810000000001</v>
      </c>
      <c r="F1212" s="4"/>
      <c r="G1212" s="4"/>
      <c r="H1212" s="25" t="s">
        <v>2788</v>
      </c>
      <c r="I1212" s="4"/>
      <c r="J1212" s="6">
        <v>0</v>
      </c>
      <c r="K1212" s="30" t="s">
        <v>1767</v>
      </c>
      <c r="L1212" s="4"/>
      <c r="M1212" s="3"/>
    </row>
    <row r="1213" spans="1:13" x14ac:dyDescent="0.3">
      <c r="A1213" s="3">
        <v>103</v>
      </c>
      <c r="B1213" s="3">
        <v>103</v>
      </c>
      <c r="C1213" s="4">
        <v>2058.5419999999999</v>
      </c>
      <c r="D1213" s="4">
        <v>2058.0810000000001</v>
      </c>
      <c r="E1213" s="4">
        <v>2059.002</v>
      </c>
      <c r="F1213" s="4"/>
      <c r="G1213" s="4"/>
      <c r="H1213" s="26" t="s">
        <v>2789</v>
      </c>
      <c r="I1213" s="4"/>
      <c r="J1213" s="6">
        <v>0</v>
      </c>
      <c r="K1213" s="29" t="s">
        <v>1767</v>
      </c>
      <c r="L1213" s="4"/>
      <c r="M1213" s="3"/>
    </row>
    <row r="1214" spans="1:13" x14ac:dyDescent="0.3">
      <c r="A1214" s="3">
        <v>103</v>
      </c>
      <c r="B1214" s="3">
        <v>103</v>
      </c>
      <c r="C1214" s="4">
        <v>2059.1529999999998</v>
      </c>
      <c r="D1214" s="4">
        <v>2059.002</v>
      </c>
      <c r="E1214" s="4">
        <v>2059.3040000000001</v>
      </c>
      <c r="F1214" s="4"/>
      <c r="G1214" s="4"/>
      <c r="H1214" s="25" t="s">
        <v>2790</v>
      </c>
      <c r="I1214" s="4"/>
      <c r="J1214" s="6">
        <v>0</v>
      </c>
      <c r="K1214" s="30" t="s">
        <v>1767</v>
      </c>
      <c r="L1214" s="4"/>
      <c r="M1214" s="3"/>
    </row>
    <row r="1215" spans="1:13" x14ac:dyDescent="0.3">
      <c r="A1215" s="3">
        <v>103</v>
      </c>
      <c r="B1215" s="3">
        <v>103</v>
      </c>
      <c r="C1215" s="4">
        <v>2059.9720000000002</v>
      </c>
      <c r="D1215" s="4">
        <v>2059.3040000000001</v>
      </c>
      <c r="E1215" s="4">
        <v>2060.64</v>
      </c>
      <c r="F1215" s="4"/>
      <c r="G1215" s="4"/>
      <c r="H1215" s="26" t="s">
        <v>2791</v>
      </c>
      <c r="I1215" s="4"/>
      <c r="J1215" s="6">
        <v>0</v>
      </c>
      <c r="K1215" s="29" t="s">
        <v>1767</v>
      </c>
      <c r="L1215" s="4"/>
      <c r="M1215" s="3"/>
    </row>
    <row r="1216" spans="1:13" x14ac:dyDescent="0.3">
      <c r="A1216" s="3">
        <v>103</v>
      </c>
      <c r="B1216" s="3">
        <v>103</v>
      </c>
      <c r="C1216" s="4">
        <v>2060.779</v>
      </c>
      <c r="D1216" s="4">
        <v>2060.64</v>
      </c>
      <c r="E1216" s="4">
        <v>2060.9169999999999</v>
      </c>
      <c r="F1216" s="4"/>
      <c r="G1216" s="4"/>
      <c r="H1216" s="25" t="s">
        <v>2792</v>
      </c>
      <c r="I1216" s="4"/>
      <c r="J1216" s="6">
        <v>0</v>
      </c>
      <c r="K1216" s="30" t="s">
        <v>1767</v>
      </c>
      <c r="L1216" s="4"/>
      <c r="M1216" s="3"/>
    </row>
    <row r="1217" spans="1:13" x14ac:dyDescent="0.3">
      <c r="A1217" s="3">
        <v>103</v>
      </c>
      <c r="B1217" s="3">
        <v>103</v>
      </c>
      <c r="C1217" s="4">
        <v>2061.0810000000001</v>
      </c>
      <c r="D1217" s="4">
        <v>2060.9169999999999</v>
      </c>
      <c r="E1217" s="4">
        <v>2061.2440000000001</v>
      </c>
      <c r="F1217" s="4"/>
      <c r="G1217" s="4"/>
      <c r="H1217" s="26" t="s">
        <v>2793</v>
      </c>
      <c r="I1217" s="4"/>
      <c r="J1217" s="6">
        <v>0</v>
      </c>
      <c r="K1217" s="29" t="s">
        <v>1767</v>
      </c>
      <c r="L1217" s="4"/>
      <c r="M1217" s="3"/>
    </row>
    <row r="1218" spans="1:13" x14ac:dyDescent="0.3">
      <c r="A1218" s="3">
        <v>103</v>
      </c>
      <c r="B1218" s="3">
        <v>103</v>
      </c>
      <c r="C1218" s="4">
        <v>2061.3359999999998</v>
      </c>
      <c r="D1218" s="4">
        <v>2061.2440000000001</v>
      </c>
      <c r="E1218" s="4">
        <v>2061.4270000000001</v>
      </c>
      <c r="F1218" s="4"/>
      <c r="G1218" s="4"/>
      <c r="H1218" s="25" t="s">
        <v>2794</v>
      </c>
      <c r="I1218" s="4"/>
      <c r="J1218" s="6">
        <v>0</v>
      </c>
      <c r="K1218" s="30" t="s">
        <v>1767</v>
      </c>
      <c r="L1218" s="4"/>
      <c r="M1218" s="3"/>
    </row>
    <row r="1219" spans="1:13" x14ac:dyDescent="0.3">
      <c r="A1219" s="3">
        <v>103</v>
      </c>
      <c r="B1219" s="3">
        <v>103</v>
      </c>
      <c r="C1219" s="4">
        <v>2061.7640000000001</v>
      </c>
      <c r="D1219" s="4">
        <v>2061.4270000000001</v>
      </c>
      <c r="E1219" s="4">
        <v>2062.1</v>
      </c>
      <c r="F1219" s="4"/>
      <c r="G1219" s="4"/>
      <c r="H1219" s="26" t="s">
        <v>2795</v>
      </c>
      <c r="I1219" s="4"/>
      <c r="J1219" s="6">
        <v>0</v>
      </c>
      <c r="K1219" s="29" t="s">
        <v>1767</v>
      </c>
      <c r="L1219" s="4"/>
      <c r="M1219" s="3"/>
    </row>
    <row r="1220" spans="1:13" x14ac:dyDescent="0.3">
      <c r="A1220" s="3">
        <v>103</v>
      </c>
      <c r="B1220" s="3">
        <v>103</v>
      </c>
      <c r="C1220" s="4">
        <v>2062.2069999999999</v>
      </c>
      <c r="D1220" s="4">
        <v>2062.1</v>
      </c>
      <c r="E1220" s="4">
        <v>2062.3130000000001</v>
      </c>
      <c r="F1220" s="4"/>
      <c r="G1220" s="4"/>
      <c r="H1220" s="25" t="s">
        <v>2796</v>
      </c>
      <c r="I1220" s="4"/>
      <c r="J1220" s="6">
        <v>0</v>
      </c>
      <c r="K1220" s="30" t="s">
        <v>1767</v>
      </c>
      <c r="L1220" s="4"/>
      <c r="M1220" s="3"/>
    </row>
    <row r="1221" spans="1:13" x14ac:dyDescent="0.3">
      <c r="A1221" s="3">
        <v>103</v>
      </c>
      <c r="B1221" s="3">
        <v>103</v>
      </c>
      <c r="C1221" s="4">
        <v>2062.7280000000001</v>
      </c>
      <c r="D1221" s="4">
        <v>2062.3130000000001</v>
      </c>
      <c r="E1221" s="4">
        <v>2063.143</v>
      </c>
      <c r="F1221" s="4"/>
      <c r="G1221" s="4"/>
      <c r="H1221" s="26" t="s">
        <v>2797</v>
      </c>
      <c r="I1221" s="4"/>
      <c r="J1221" s="6">
        <v>0</v>
      </c>
      <c r="K1221" s="29" t="s">
        <v>1767</v>
      </c>
      <c r="L1221" s="4"/>
      <c r="M1221" s="3"/>
    </row>
    <row r="1222" spans="1:13" x14ac:dyDescent="0.3">
      <c r="A1222" s="3">
        <v>103</v>
      </c>
      <c r="B1222" s="3">
        <v>103</v>
      </c>
      <c r="C1222" s="4">
        <v>2063.4360000000001</v>
      </c>
      <c r="D1222" s="4">
        <v>2063.143</v>
      </c>
      <c r="E1222" s="4">
        <v>2063.7289999999998</v>
      </c>
      <c r="F1222" s="4"/>
      <c r="G1222" s="4"/>
      <c r="H1222" s="25" t="s">
        <v>2798</v>
      </c>
      <c r="I1222" s="4"/>
      <c r="J1222" s="6">
        <v>0</v>
      </c>
      <c r="K1222" s="30" t="s">
        <v>1767</v>
      </c>
      <c r="L1222" s="4"/>
      <c r="M1222" s="3"/>
    </row>
    <row r="1223" spans="1:13" x14ac:dyDescent="0.3">
      <c r="A1223" s="3">
        <v>103</v>
      </c>
      <c r="B1223" s="3">
        <v>103</v>
      </c>
      <c r="C1223" s="4">
        <v>2063.8690000000001</v>
      </c>
      <c r="D1223" s="4">
        <v>2063.7289999999998</v>
      </c>
      <c r="E1223" s="4">
        <v>2064.009</v>
      </c>
      <c r="F1223" s="4"/>
      <c r="G1223" s="4"/>
      <c r="H1223" s="26" t="s">
        <v>2799</v>
      </c>
      <c r="I1223" s="4"/>
      <c r="J1223" s="6">
        <v>0</v>
      </c>
      <c r="K1223" s="29" t="s">
        <v>1767</v>
      </c>
      <c r="L1223" s="4"/>
      <c r="M1223" s="3"/>
    </row>
    <row r="1224" spans="1:13" x14ac:dyDescent="0.3">
      <c r="A1224" s="3">
        <v>103</v>
      </c>
      <c r="B1224" s="3">
        <v>103</v>
      </c>
      <c r="C1224" s="4">
        <v>2064.5210000000002</v>
      </c>
      <c r="D1224" s="4">
        <v>2064.009</v>
      </c>
      <c r="E1224" s="4">
        <v>2065.0320000000002</v>
      </c>
      <c r="F1224" s="4"/>
      <c r="G1224" s="4"/>
      <c r="H1224" s="25" t="s">
        <v>2800</v>
      </c>
      <c r="I1224" s="4"/>
      <c r="J1224" s="6">
        <v>0</v>
      </c>
      <c r="K1224" s="30" t="s">
        <v>1767</v>
      </c>
      <c r="L1224" s="4"/>
      <c r="M1224" s="3"/>
    </row>
    <row r="1225" spans="1:13" x14ac:dyDescent="0.3">
      <c r="A1225" s="3">
        <v>103</v>
      </c>
      <c r="B1225" s="3">
        <v>103</v>
      </c>
      <c r="C1225" s="4">
        <v>2065.2429999999999</v>
      </c>
      <c r="D1225" s="4">
        <v>2065.0320000000002</v>
      </c>
      <c r="E1225" s="4">
        <v>2065.4540000000002</v>
      </c>
      <c r="F1225" s="4"/>
      <c r="G1225" s="4"/>
      <c r="H1225" s="26" t="s">
        <v>2801</v>
      </c>
      <c r="I1225" s="4"/>
      <c r="J1225" s="6">
        <v>0</v>
      </c>
      <c r="K1225" s="29" t="s">
        <v>1767</v>
      </c>
      <c r="L1225" s="4"/>
      <c r="M1225" s="3"/>
    </row>
    <row r="1226" spans="1:13" x14ac:dyDescent="0.3">
      <c r="A1226" s="3">
        <v>103</v>
      </c>
      <c r="B1226" s="3">
        <v>103</v>
      </c>
      <c r="C1226" s="4">
        <v>2065.7620000000002</v>
      </c>
      <c r="D1226" s="4">
        <v>2065.4540000000002</v>
      </c>
      <c r="E1226" s="4">
        <v>2066.0700000000002</v>
      </c>
      <c r="F1226" s="4"/>
      <c r="G1226" s="4"/>
      <c r="H1226" s="25" t="s">
        <v>2802</v>
      </c>
      <c r="I1226" s="4"/>
      <c r="J1226" s="6">
        <v>0</v>
      </c>
      <c r="K1226" s="30" t="s">
        <v>1767</v>
      </c>
      <c r="L1226" s="4"/>
      <c r="M1226" s="3"/>
    </row>
    <row r="1227" spans="1:13" x14ac:dyDescent="0.3">
      <c r="A1227" s="3">
        <v>103</v>
      </c>
      <c r="B1227" s="3">
        <v>103</v>
      </c>
      <c r="C1227" s="4">
        <v>2066.2809999999999</v>
      </c>
      <c r="D1227" s="4">
        <v>2066.0700000000002</v>
      </c>
      <c r="E1227" s="4">
        <v>2066.491</v>
      </c>
      <c r="F1227" s="4"/>
      <c r="G1227" s="4"/>
      <c r="H1227" s="26" t="s">
        <v>2803</v>
      </c>
      <c r="I1227" s="4"/>
      <c r="J1227" s="6">
        <v>0</v>
      </c>
      <c r="K1227" s="29" t="s">
        <v>1767</v>
      </c>
      <c r="L1227" s="4"/>
      <c r="M1227" s="3"/>
    </row>
    <row r="1228" spans="1:13" x14ac:dyDescent="0.3">
      <c r="A1228" s="3">
        <v>103</v>
      </c>
      <c r="B1228" s="3">
        <v>103</v>
      </c>
      <c r="C1228" s="4">
        <v>2066.5459999999998</v>
      </c>
      <c r="D1228" s="4">
        <v>2066.491</v>
      </c>
      <c r="E1228" s="4">
        <v>2066.6010000000001</v>
      </c>
      <c r="F1228" s="4"/>
      <c r="G1228" s="4"/>
      <c r="H1228" s="25" t="s">
        <v>2804</v>
      </c>
      <c r="I1228" s="4"/>
      <c r="J1228" s="6">
        <v>0</v>
      </c>
      <c r="K1228" s="30" t="s">
        <v>1767</v>
      </c>
      <c r="L1228" s="4"/>
      <c r="M1228" s="3"/>
    </row>
    <row r="1229" spans="1:13" x14ac:dyDescent="0.3">
      <c r="A1229" s="3">
        <v>103</v>
      </c>
      <c r="B1229" s="3">
        <v>103</v>
      </c>
      <c r="C1229" s="4">
        <v>2066.8870000000002</v>
      </c>
      <c r="D1229" s="4">
        <v>2066.6010000000001</v>
      </c>
      <c r="E1229" s="4">
        <v>2067.1729999999998</v>
      </c>
      <c r="F1229" s="4"/>
      <c r="G1229" s="4"/>
      <c r="H1229" s="26" t="s">
        <v>2805</v>
      </c>
      <c r="I1229" s="4"/>
      <c r="J1229" s="6">
        <v>0</v>
      </c>
      <c r="K1229" s="29" t="s">
        <v>1767</v>
      </c>
      <c r="L1229" s="4"/>
      <c r="M1229" s="3"/>
    </row>
    <row r="1230" spans="1:13" x14ac:dyDescent="0.3">
      <c r="A1230" s="3">
        <v>103</v>
      </c>
      <c r="B1230" s="3">
        <v>103</v>
      </c>
      <c r="C1230" s="4">
        <v>2067.319</v>
      </c>
      <c r="D1230" s="4">
        <v>2067.1729999999998</v>
      </c>
      <c r="E1230" s="4">
        <v>2067.4650000000001</v>
      </c>
      <c r="F1230" s="4"/>
      <c r="G1230" s="4"/>
      <c r="H1230" s="25" t="s">
        <v>2806</v>
      </c>
      <c r="I1230" s="4"/>
      <c r="J1230" s="6">
        <v>0</v>
      </c>
      <c r="K1230" s="30" t="s">
        <v>1767</v>
      </c>
      <c r="L1230" s="4"/>
      <c r="M1230" s="3"/>
    </row>
    <row r="1231" spans="1:13" x14ac:dyDescent="0.3">
      <c r="A1231" s="3">
        <v>103</v>
      </c>
      <c r="B1231" s="3">
        <v>103</v>
      </c>
      <c r="C1231" s="4">
        <v>2067.7869999999998</v>
      </c>
      <c r="D1231" s="4">
        <v>2067.4650000000001</v>
      </c>
      <c r="E1231" s="4">
        <v>2068.1089999999999</v>
      </c>
      <c r="F1231" s="4"/>
      <c r="G1231" s="4"/>
      <c r="H1231" s="26" t="s">
        <v>2807</v>
      </c>
      <c r="I1231" s="4"/>
      <c r="J1231" s="6">
        <v>0</v>
      </c>
      <c r="K1231" s="29" t="s">
        <v>1767</v>
      </c>
      <c r="L1231" s="4"/>
      <c r="M1231" s="3"/>
    </row>
    <row r="1232" spans="1:13" x14ac:dyDescent="0.3">
      <c r="A1232" s="3">
        <v>103</v>
      </c>
      <c r="B1232" s="3">
        <v>103</v>
      </c>
      <c r="C1232" s="4">
        <v>2068.1970000000001</v>
      </c>
      <c r="D1232" s="4">
        <v>2068.1089999999999</v>
      </c>
      <c r="E1232" s="4">
        <v>2068.2840000000001</v>
      </c>
      <c r="F1232" s="4"/>
      <c r="G1232" s="4"/>
      <c r="H1232" s="25" t="s">
        <v>2808</v>
      </c>
      <c r="I1232" s="4"/>
      <c r="J1232" s="6">
        <v>0</v>
      </c>
      <c r="K1232" s="30" t="s">
        <v>1767</v>
      </c>
      <c r="L1232" s="4"/>
      <c r="M1232" s="3"/>
    </row>
    <row r="1233" spans="1:13" x14ac:dyDescent="0.3">
      <c r="A1233" s="3">
        <v>103</v>
      </c>
      <c r="B1233" s="3">
        <v>103</v>
      </c>
      <c r="C1233" s="4">
        <v>2068.5030000000002</v>
      </c>
      <c r="D1233" s="4">
        <v>2068.2840000000001</v>
      </c>
      <c r="E1233" s="4">
        <v>2068.7220000000002</v>
      </c>
      <c r="F1233" s="4"/>
      <c r="G1233" s="4"/>
      <c r="H1233" s="26" t="s">
        <v>2809</v>
      </c>
      <c r="I1233" s="4"/>
      <c r="J1233" s="6">
        <v>0</v>
      </c>
      <c r="K1233" s="29" t="s">
        <v>1767</v>
      </c>
      <c r="L1233" s="4"/>
      <c r="M1233" s="3"/>
    </row>
    <row r="1234" spans="1:13" x14ac:dyDescent="0.3">
      <c r="A1234" s="3">
        <v>103</v>
      </c>
      <c r="B1234" s="3">
        <v>103</v>
      </c>
      <c r="C1234" s="4">
        <v>2068.8609999999999</v>
      </c>
      <c r="D1234" s="4">
        <v>2068.7220000000002</v>
      </c>
      <c r="E1234" s="4">
        <v>2069</v>
      </c>
      <c r="F1234" s="4"/>
      <c r="G1234" s="4"/>
      <c r="H1234" s="25" t="s">
        <v>2810</v>
      </c>
      <c r="I1234" s="4"/>
      <c r="J1234" s="6">
        <v>0</v>
      </c>
      <c r="K1234" s="30" t="s">
        <v>1767</v>
      </c>
      <c r="L1234" s="4"/>
      <c r="M1234" s="3"/>
    </row>
    <row r="1235" spans="1:13" x14ac:dyDescent="0.3">
      <c r="A1235" s="3">
        <v>103</v>
      </c>
      <c r="B1235" s="3">
        <v>103</v>
      </c>
      <c r="C1235" s="4">
        <v>2069.2289999999998</v>
      </c>
      <c r="D1235" s="4">
        <v>2069</v>
      </c>
      <c r="E1235" s="4">
        <v>2069.4569999999999</v>
      </c>
      <c r="F1235" s="4"/>
      <c r="G1235" s="4"/>
      <c r="H1235" s="26" t="s">
        <v>2811</v>
      </c>
      <c r="I1235" s="4"/>
      <c r="J1235" s="6">
        <v>0</v>
      </c>
      <c r="K1235" s="29" t="s">
        <v>1767</v>
      </c>
      <c r="L1235" s="4"/>
      <c r="M1235" s="3"/>
    </row>
    <row r="1236" spans="1:13" x14ac:dyDescent="0.3">
      <c r="A1236" s="3">
        <v>103</v>
      </c>
      <c r="B1236" s="3">
        <v>103</v>
      </c>
      <c r="C1236" s="4">
        <v>2069.567</v>
      </c>
      <c r="D1236" s="4">
        <v>2069.4569999999999</v>
      </c>
      <c r="E1236" s="4">
        <v>2069.6759999999999</v>
      </c>
      <c r="F1236" s="4"/>
      <c r="G1236" s="4"/>
      <c r="H1236" s="25" t="s">
        <v>2812</v>
      </c>
      <c r="I1236" s="4"/>
      <c r="J1236" s="6">
        <v>0</v>
      </c>
      <c r="K1236" s="30" t="s">
        <v>1767</v>
      </c>
      <c r="L1236" s="4"/>
      <c r="M1236" s="3"/>
    </row>
    <row r="1237" spans="1:13" x14ac:dyDescent="0.3">
      <c r="A1237" s="3">
        <v>103</v>
      </c>
      <c r="B1237" s="3">
        <v>103</v>
      </c>
      <c r="C1237" s="4">
        <v>2069.9690000000001</v>
      </c>
      <c r="D1237" s="4">
        <v>2069.6759999999999</v>
      </c>
      <c r="E1237" s="4">
        <v>2070.261</v>
      </c>
      <c r="F1237" s="4"/>
      <c r="G1237" s="4"/>
      <c r="H1237" s="26" t="s">
        <v>2813</v>
      </c>
      <c r="I1237" s="4"/>
      <c r="J1237" s="6">
        <v>0</v>
      </c>
      <c r="K1237" s="29" t="s">
        <v>1767</v>
      </c>
      <c r="L1237" s="4"/>
      <c r="M1237" s="3"/>
    </row>
    <row r="1238" spans="1:13" x14ac:dyDescent="0.3">
      <c r="A1238" s="3">
        <v>103</v>
      </c>
      <c r="B1238" s="3">
        <v>103</v>
      </c>
      <c r="C1238" s="4">
        <v>2070.29</v>
      </c>
      <c r="D1238" s="4">
        <v>2070.261</v>
      </c>
      <c r="E1238" s="4">
        <v>2070.3180000000002</v>
      </c>
      <c r="F1238" s="4"/>
      <c r="G1238" s="4"/>
      <c r="H1238" s="25" t="s">
        <v>2814</v>
      </c>
      <c r="I1238" s="4"/>
      <c r="J1238" s="6">
        <v>0</v>
      </c>
      <c r="K1238" s="30" t="s">
        <v>1767</v>
      </c>
      <c r="L1238" s="4"/>
      <c r="M1238" s="3"/>
    </row>
    <row r="1239" spans="1:13" x14ac:dyDescent="0.3">
      <c r="A1239" s="3">
        <v>103</v>
      </c>
      <c r="B1239" s="3">
        <v>103</v>
      </c>
      <c r="C1239" s="4">
        <v>2070.6579999999999</v>
      </c>
      <c r="D1239" s="4">
        <v>2070.3180000000002</v>
      </c>
      <c r="E1239" s="4">
        <v>2070.9969999999998</v>
      </c>
      <c r="F1239" s="4"/>
      <c r="G1239" s="4"/>
      <c r="H1239" s="26" t="s">
        <v>2815</v>
      </c>
      <c r="I1239" s="4"/>
      <c r="J1239" s="6">
        <v>0</v>
      </c>
      <c r="K1239" s="29" t="s">
        <v>1767</v>
      </c>
      <c r="L1239" s="4"/>
      <c r="M1239" s="3"/>
    </row>
    <row r="1240" spans="1:13" x14ac:dyDescent="0.3">
      <c r="A1240" s="3">
        <v>103</v>
      </c>
      <c r="B1240" s="3">
        <v>103</v>
      </c>
      <c r="C1240" s="4">
        <v>2071.0230000000001</v>
      </c>
      <c r="D1240" s="4">
        <v>2070.9969999999998</v>
      </c>
      <c r="E1240" s="4">
        <v>2071.0479999999998</v>
      </c>
      <c r="F1240" s="4"/>
      <c r="G1240" s="4"/>
      <c r="H1240" s="25" t="s">
        <v>2816</v>
      </c>
      <c r="I1240" s="4"/>
      <c r="J1240" s="6">
        <v>0</v>
      </c>
      <c r="K1240" s="30" t="s">
        <v>1767</v>
      </c>
      <c r="L1240" s="4"/>
      <c r="M1240" s="3"/>
    </row>
    <row r="1241" spans="1:13" x14ac:dyDescent="0.3">
      <c r="A1241" s="3">
        <v>103</v>
      </c>
      <c r="B1241" s="3">
        <v>103</v>
      </c>
      <c r="C1241" s="4">
        <v>2071.3009999999999</v>
      </c>
      <c r="D1241" s="4">
        <v>2071.0479999999998</v>
      </c>
      <c r="E1241" s="4">
        <v>2071.5540000000001</v>
      </c>
      <c r="F1241" s="4"/>
      <c r="G1241" s="4"/>
      <c r="H1241" s="26" t="s">
        <v>2817</v>
      </c>
      <c r="I1241" s="4"/>
      <c r="J1241" s="6">
        <v>0</v>
      </c>
      <c r="K1241" s="29" t="s">
        <v>1767</v>
      </c>
      <c r="L1241" s="4"/>
      <c r="M1241" s="3"/>
    </row>
    <row r="1242" spans="1:13" x14ac:dyDescent="0.3">
      <c r="A1242" s="3">
        <v>103</v>
      </c>
      <c r="B1242" s="3">
        <v>103</v>
      </c>
      <c r="C1242" s="4">
        <v>2071.6219999999998</v>
      </c>
      <c r="D1242" s="4">
        <v>2071.5540000000001</v>
      </c>
      <c r="E1242" s="4">
        <v>2071.6889999999999</v>
      </c>
      <c r="F1242" s="4"/>
      <c r="G1242" s="4"/>
      <c r="H1242" s="25" t="s">
        <v>2818</v>
      </c>
      <c r="I1242" s="4"/>
      <c r="J1242" s="6">
        <v>0</v>
      </c>
      <c r="K1242" s="30" t="s">
        <v>1767</v>
      </c>
      <c r="L1242" s="4"/>
      <c r="M1242" s="3"/>
    </row>
    <row r="1243" spans="1:13" x14ac:dyDescent="0.3">
      <c r="A1243" s="3">
        <v>103</v>
      </c>
      <c r="B1243" s="3">
        <v>103</v>
      </c>
      <c r="C1243" s="4">
        <v>2072.1759999999999</v>
      </c>
      <c r="D1243" s="4">
        <v>2071.6889999999999</v>
      </c>
      <c r="E1243" s="4">
        <v>2072.6619999999998</v>
      </c>
      <c r="F1243" s="4"/>
      <c r="G1243" s="4"/>
      <c r="H1243" s="26" t="s">
        <v>2819</v>
      </c>
      <c r="I1243" s="4"/>
      <c r="J1243" s="6">
        <v>0</v>
      </c>
      <c r="K1243" s="29" t="s">
        <v>1767</v>
      </c>
      <c r="L1243" s="4"/>
      <c r="M1243" s="3"/>
    </row>
    <row r="1244" spans="1:13" x14ac:dyDescent="0.3">
      <c r="A1244" s="3">
        <v>103</v>
      </c>
      <c r="B1244" s="3">
        <v>103</v>
      </c>
      <c r="C1244" s="4">
        <v>2072.8829999999998</v>
      </c>
      <c r="D1244" s="4">
        <v>2072.6619999999998</v>
      </c>
      <c r="E1244" s="4">
        <v>2073.1030000000001</v>
      </c>
      <c r="F1244" s="4"/>
      <c r="G1244" s="4"/>
      <c r="H1244" s="25" t="s">
        <v>2820</v>
      </c>
      <c r="I1244" s="4"/>
      <c r="J1244" s="6">
        <v>0</v>
      </c>
      <c r="K1244" s="30" t="s">
        <v>1767</v>
      </c>
      <c r="L1244" s="4"/>
      <c r="M1244" s="3"/>
    </row>
    <row r="1245" spans="1:13" x14ac:dyDescent="0.3">
      <c r="A1245" s="3">
        <v>103</v>
      </c>
      <c r="B1245" s="3">
        <v>103</v>
      </c>
      <c r="C1245" s="4">
        <v>2073.712</v>
      </c>
      <c r="D1245" s="4">
        <v>2073.1030000000001</v>
      </c>
      <c r="E1245" s="4">
        <v>2074.3200000000002</v>
      </c>
      <c r="F1245" s="4"/>
      <c r="G1245" s="4"/>
      <c r="H1245" s="26" t="s">
        <v>2821</v>
      </c>
      <c r="I1245" s="4"/>
      <c r="J1245" s="6">
        <v>0</v>
      </c>
      <c r="K1245" s="29" t="s">
        <v>1767</v>
      </c>
      <c r="L1245" s="4"/>
      <c r="M1245" s="3"/>
    </row>
    <row r="1246" spans="1:13" x14ac:dyDescent="0.3">
      <c r="A1246" s="3">
        <v>103</v>
      </c>
      <c r="B1246" s="3">
        <v>103</v>
      </c>
      <c r="C1246" s="4">
        <v>2074.37</v>
      </c>
      <c r="D1246" s="4">
        <v>2074.3200000000002</v>
      </c>
      <c r="E1246" s="4">
        <v>2074.42</v>
      </c>
      <c r="F1246" s="4"/>
      <c r="G1246" s="4"/>
      <c r="H1246" s="25" t="s">
        <v>2822</v>
      </c>
      <c r="I1246" s="4"/>
      <c r="J1246" s="6">
        <v>0</v>
      </c>
      <c r="K1246" s="30" t="s">
        <v>1767</v>
      </c>
      <c r="L1246" s="4"/>
      <c r="M1246" s="3"/>
    </row>
    <row r="1247" spans="1:13" x14ac:dyDescent="0.3">
      <c r="A1247" s="3">
        <v>103</v>
      </c>
      <c r="B1247" s="3">
        <v>103</v>
      </c>
      <c r="C1247" s="4">
        <v>2074.8760000000002</v>
      </c>
      <c r="D1247" s="4">
        <v>2074.42</v>
      </c>
      <c r="E1247" s="4">
        <v>2075.3319999999999</v>
      </c>
      <c r="F1247" s="4"/>
      <c r="G1247" s="4"/>
      <c r="H1247" s="26" t="s">
        <v>2823</v>
      </c>
      <c r="I1247" s="4"/>
      <c r="J1247" s="6">
        <v>0</v>
      </c>
      <c r="K1247" s="29" t="s">
        <v>1767</v>
      </c>
      <c r="L1247" s="4"/>
      <c r="M1247" s="3"/>
    </row>
    <row r="1248" spans="1:13" x14ac:dyDescent="0.3">
      <c r="A1248" s="3">
        <v>103</v>
      </c>
      <c r="B1248" s="3">
        <v>103</v>
      </c>
      <c r="C1248" s="4">
        <v>2075.721</v>
      </c>
      <c r="D1248" s="4">
        <v>2075.3319999999999</v>
      </c>
      <c r="E1248" s="4">
        <v>2076.1089999999999</v>
      </c>
      <c r="F1248" s="4"/>
      <c r="G1248" s="4"/>
      <c r="H1248" s="25" t="s">
        <v>2824</v>
      </c>
      <c r="I1248" s="4"/>
      <c r="J1248" s="6">
        <v>0</v>
      </c>
      <c r="K1248" s="30" t="s">
        <v>1767</v>
      </c>
      <c r="L1248" s="4"/>
      <c r="M1248" s="3"/>
    </row>
    <row r="1249" spans="1:13" x14ac:dyDescent="0.3">
      <c r="A1249" s="3">
        <v>103</v>
      </c>
      <c r="B1249" s="3">
        <v>103</v>
      </c>
      <c r="C1249" s="4">
        <v>2076.328</v>
      </c>
      <c r="D1249" s="4">
        <v>2076.1089999999999</v>
      </c>
      <c r="E1249" s="4">
        <v>2076.5459999999998</v>
      </c>
      <c r="F1249" s="4"/>
      <c r="G1249" s="4"/>
      <c r="H1249" s="26" t="s">
        <v>2825</v>
      </c>
      <c r="I1249" s="4"/>
      <c r="J1249" s="6">
        <v>0</v>
      </c>
      <c r="K1249" s="29" t="s">
        <v>1767</v>
      </c>
      <c r="L1249" s="4"/>
      <c r="M1249" s="3"/>
    </row>
    <row r="1250" spans="1:13" x14ac:dyDescent="0.3">
      <c r="A1250" s="3">
        <v>103</v>
      </c>
      <c r="B1250" s="3">
        <v>103</v>
      </c>
      <c r="C1250" s="4">
        <v>2076.739</v>
      </c>
      <c r="D1250" s="4">
        <v>2076.5459999999998</v>
      </c>
      <c r="E1250" s="4">
        <v>2076.9319999999998</v>
      </c>
      <c r="F1250" s="4"/>
      <c r="G1250" s="4"/>
      <c r="H1250" s="25" t="s">
        <v>2826</v>
      </c>
      <c r="I1250" s="4"/>
      <c r="J1250" s="6">
        <v>0</v>
      </c>
      <c r="K1250" s="30" t="s">
        <v>1767</v>
      </c>
      <c r="L1250" s="4"/>
      <c r="M1250" s="3"/>
    </row>
    <row r="1251" spans="1:13" x14ac:dyDescent="0.3">
      <c r="A1251" s="3">
        <v>103</v>
      </c>
      <c r="B1251" s="3">
        <v>103</v>
      </c>
      <c r="C1251" s="4">
        <v>2077.1480000000001</v>
      </c>
      <c r="D1251" s="4">
        <v>2076.9319999999998</v>
      </c>
      <c r="E1251" s="4">
        <v>2077.3629999999998</v>
      </c>
      <c r="F1251" s="4"/>
      <c r="G1251" s="4"/>
      <c r="H1251" s="26" t="s">
        <v>2827</v>
      </c>
      <c r="I1251" s="4"/>
      <c r="J1251" s="6">
        <v>0</v>
      </c>
      <c r="K1251" s="29" t="s">
        <v>1767</v>
      </c>
      <c r="L1251" s="4"/>
      <c r="M1251" s="3"/>
    </row>
    <row r="1252" spans="1:13" x14ac:dyDescent="0.3">
      <c r="A1252" s="3">
        <v>103</v>
      </c>
      <c r="B1252" s="3">
        <v>103</v>
      </c>
      <c r="C1252" s="4">
        <v>2077.998</v>
      </c>
      <c r="D1252" s="4">
        <v>2077.3629999999998</v>
      </c>
      <c r="E1252" s="4">
        <v>2078.6320000000001</v>
      </c>
      <c r="F1252" s="4"/>
      <c r="G1252" s="4"/>
      <c r="H1252" s="25" t="s">
        <v>2828</v>
      </c>
      <c r="I1252" s="4"/>
      <c r="J1252" s="6">
        <v>0</v>
      </c>
      <c r="K1252" s="30" t="s">
        <v>1767</v>
      </c>
      <c r="L1252" s="4"/>
      <c r="M1252" s="3"/>
    </row>
    <row r="1253" spans="1:13" x14ac:dyDescent="0.3">
      <c r="A1253" s="3">
        <v>103</v>
      </c>
      <c r="B1253" s="3">
        <v>103</v>
      </c>
      <c r="C1253" s="4">
        <v>2078.9639999999999</v>
      </c>
      <c r="D1253" s="4">
        <v>2078.6320000000001</v>
      </c>
      <c r="E1253" s="4">
        <v>2079.2950000000001</v>
      </c>
      <c r="F1253" s="4"/>
      <c r="G1253" s="4"/>
      <c r="H1253" s="26" t="s">
        <v>2829</v>
      </c>
      <c r="I1253" s="4"/>
      <c r="J1253" s="6">
        <v>0</v>
      </c>
      <c r="K1253" s="29" t="s">
        <v>1767</v>
      </c>
      <c r="L1253" s="4"/>
      <c r="M1253" s="3"/>
    </row>
    <row r="1254" spans="1:13" x14ac:dyDescent="0.3">
      <c r="A1254" s="3">
        <v>103</v>
      </c>
      <c r="B1254" s="3">
        <v>103</v>
      </c>
      <c r="C1254" s="4">
        <v>2079.5079999999998</v>
      </c>
      <c r="D1254" s="4">
        <v>2079.2950000000001</v>
      </c>
      <c r="E1254" s="4">
        <v>2079.721</v>
      </c>
      <c r="F1254" s="4"/>
      <c r="G1254" s="4"/>
      <c r="H1254" s="25" t="s">
        <v>2830</v>
      </c>
      <c r="I1254" s="4"/>
      <c r="J1254" s="6">
        <v>0</v>
      </c>
      <c r="K1254" s="30" t="s">
        <v>1767</v>
      </c>
      <c r="L1254" s="4"/>
      <c r="M1254" s="3"/>
    </row>
    <row r="1255" spans="1:13" x14ac:dyDescent="0.3">
      <c r="A1255" s="3">
        <v>103</v>
      </c>
      <c r="B1255" s="3">
        <v>103</v>
      </c>
      <c r="C1255" s="4">
        <v>2079.9720000000002</v>
      </c>
      <c r="D1255" s="4">
        <v>2079.721</v>
      </c>
      <c r="E1255" s="4">
        <v>2080.2220000000002</v>
      </c>
      <c r="F1255" s="4"/>
      <c r="G1255" s="4"/>
      <c r="H1255" s="26" t="s">
        <v>2831</v>
      </c>
      <c r="I1255" s="4"/>
      <c r="J1255" s="6">
        <v>0</v>
      </c>
      <c r="K1255" s="29" t="s">
        <v>1767</v>
      </c>
      <c r="L1255" s="4"/>
      <c r="M1255" s="3"/>
    </row>
    <row r="1256" spans="1:13" x14ac:dyDescent="0.3">
      <c r="A1256" s="3">
        <v>103</v>
      </c>
      <c r="B1256" s="3">
        <v>103</v>
      </c>
      <c r="C1256" s="4">
        <v>2080.3620000000001</v>
      </c>
      <c r="D1256" s="4">
        <v>2080.2220000000002</v>
      </c>
      <c r="E1256" s="4">
        <v>2080.502</v>
      </c>
      <c r="F1256" s="4"/>
      <c r="G1256" s="4"/>
      <c r="H1256" s="25" t="s">
        <v>2832</v>
      </c>
      <c r="I1256" s="4"/>
      <c r="J1256" s="6">
        <v>0</v>
      </c>
      <c r="K1256" s="30" t="s">
        <v>1767</v>
      </c>
      <c r="L1256" s="4"/>
      <c r="M1256" s="3"/>
    </row>
    <row r="1257" spans="1:13" x14ac:dyDescent="0.3">
      <c r="A1257" s="3">
        <v>103</v>
      </c>
      <c r="B1257" s="3">
        <v>103</v>
      </c>
      <c r="C1257" s="4">
        <v>2080.7339999999999</v>
      </c>
      <c r="D1257" s="4">
        <v>2080.502</v>
      </c>
      <c r="E1257" s="4">
        <v>2080.9650000000001</v>
      </c>
      <c r="F1257" s="4"/>
      <c r="G1257" s="4"/>
      <c r="H1257" s="26" t="s">
        <v>2833</v>
      </c>
      <c r="I1257" s="4"/>
      <c r="J1257" s="6">
        <v>0</v>
      </c>
      <c r="K1257" s="29" t="s">
        <v>1767</v>
      </c>
      <c r="L1257" s="4"/>
      <c r="M1257" s="3"/>
    </row>
    <row r="1258" spans="1:13" x14ac:dyDescent="0.3">
      <c r="A1258" s="3">
        <v>103</v>
      </c>
      <c r="B1258" s="3">
        <v>103</v>
      </c>
      <c r="C1258" s="4">
        <v>2081.0639999999999</v>
      </c>
      <c r="D1258" s="4">
        <v>2080.9650000000001</v>
      </c>
      <c r="E1258" s="4">
        <v>2081.1619999999998</v>
      </c>
      <c r="F1258" s="4"/>
      <c r="G1258" s="4"/>
      <c r="H1258" s="25" t="s">
        <v>2834</v>
      </c>
      <c r="I1258" s="4"/>
      <c r="J1258" s="6">
        <v>0</v>
      </c>
      <c r="K1258" s="30" t="s">
        <v>1767</v>
      </c>
      <c r="L1258" s="4"/>
      <c r="M1258" s="3"/>
    </row>
    <row r="1259" spans="1:13" x14ac:dyDescent="0.3">
      <c r="A1259" s="3">
        <v>103</v>
      </c>
      <c r="B1259" s="3">
        <v>103</v>
      </c>
      <c r="C1259" s="4">
        <v>2081.5569999999998</v>
      </c>
      <c r="D1259" s="4">
        <v>2081.1619999999998</v>
      </c>
      <c r="E1259" s="4">
        <v>2081.9520000000002</v>
      </c>
      <c r="F1259" s="4"/>
      <c r="G1259" s="4"/>
      <c r="H1259" s="26" t="s">
        <v>2835</v>
      </c>
      <c r="I1259" s="4"/>
      <c r="J1259" s="6">
        <v>0</v>
      </c>
      <c r="K1259" s="29" t="s">
        <v>1767</v>
      </c>
      <c r="L1259" s="4"/>
      <c r="M1259" s="3"/>
    </row>
    <row r="1260" spans="1:13" x14ac:dyDescent="0.3">
      <c r="A1260" s="3">
        <v>103</v>
      </c>
      <c r="B1260" s="3">
        <v>103</v>
      </c>
      <c r="C1260" s="4">
        <v>2082.5300000000002</v>
      </c>
      <c r="D1260" s="4">
        <v>2081.9520000000002</v>
      </c>
      <c r="E1260" s="4">
        <v>2083.107</v>
      </c>
      <c r="F1260" s="4"/>
      <c r="G1260" s="4"/>
      <c r="H1260" s="25" t="s">
        <v>2836</v>
      </c>
      <c r="I1260" s="4"/>
      <c r="J1260" s="6">
        <v>0</v>
      </c>
      <c r="K1260" s="30" t="s">
        <v>1767</v>
      </c>
      <c r="L1260" s="4"/>
      <c r="M1260" s="3"/>
    </row>
    <row r="1261" spans="1:13" x14ac:dyDescent="0.3">
      <c r="A1261" s="3">
        <v>103</v>
      </c>
      <c r="B1261" s="3">
        <v>103</v>
      </c>
      <c r="C1261" s="4">
        <v>2083.4659999999999</v>
      </c>
      <c r="D1261" s="4">
        <v>2083.107</v>
      </c>
      <c r="E1261" s="4">
        <v>2083.8240000000001</v>
      </c>
      <c r="F1261" s="4"/>
      <c r="G1261" s="4"/>
      <c r="H1261" s="26" t="s">
        <v>2837</v>
      </c>
      <c r="I1261" s="4"/>
      <c r="J1261" s="6">
        <v>0</v>
      </c>
      <c r="K1261" s="29" t="s">
        <v>1767</v>
      </c>
      <c r="L1261" s="4"/>
      <c r="M1261" s="3"/>
    </row>
    <row r="1262" spans="1:13" x14ac:dyDescent="0.3">
      <c r="A1262" s="3">
        <v>103</v>
      </c>
      <c r="B1262" s="3">
        <v>103</v>
      </c>
      <c r="C1262" s="4">
        <v>2084.2959999999998</v>
      </c>
      <c r="D1262" s="4">
        <v>2083.8240000000001</v>
      </c>
      <c r="E1262" s="4">
        <v>2084.7669999999998</v>
      </c>
      <c r="F1262" s="4"/>
      <c r="G1262" s="4"/>
      <c r="H1262" s="25" t="s">
        <v>2838</v>
      </c>
      <c r="I1262" s="4"/>
      <c r="J1262" s="6">
        <v>0</v>
      </c>
      <c r="K1262" s="30" t="s">
        <v>1767</v>
      </c>
      <c r="L1262" s="4"/>
      <c r="M1262" s="3"/>
    </row>
    <row r="1263" spans="1:13" x14ac:dyDescent="0.3">
      <c r="A1263" s="3">
        <v>103</v>
      </c>
      <c r="B1263" s="3">
        <v>103</v>
      </c>
      <c r="C1263" s="4">
        <v>2084.9879999999998</v>
      </c>
      <c r="D1263" s="4">
        <v>2084.7669999999998</v>
      </c>
      <c r="E1263" s="4">
        <v>2085.2089999999998</v>
      </c>
      <c r="F1263" s="4"/>
      <c r="G1263" s="4"/>
      <c r="H1263" s="26" t="s">
        <v>2839</v>
      </c>
      <c r="I1263" s="4"/>
      <c r="J1263" s="6">
        <v>0</v>
      </c>
      <c r="K1263" s="29" t="s">
        <v>1767</v>
      </c>
      <c r="L1263" s="4"/>
      <c r="M1263" s="3"/>
    </row>
    <row r="1264" spans="1:13" x14ac:dyDescent="0.3">
      <c r="A1264" s="3">
        <v>103</v>
      </c>
      <c r="B1264" s="3">
        <v>103</v>
      </c>
      <c r="C1264" s="4">
        <v>2085.6660000000002</v>
      </c>
      <c r="D1264" s="4">
        <v>2085.2089999999998</v>
      </c>
      <c r="E1264" s="4">
        <v>2086.1219999999998</v>
      </c>
      <c r="F1264" s="4"/>
      <c r="G1264" s="4"/>
      <c r="H1264" s="25" t="s">
        <v>2840</v>
      </c>
      <c r="I1264" s="4"/>
      <c r="J1264" s="6">
        <v>0</v>
      </c>
      <c r="K1264" s="30" t="s">
        <v>1767</v>
      </c>
      <c r="L1264" s="4"/>
      <c r="M1264" s="3"/>
    </row>
    <row r="1265" spans="1:13" x14ac:dyDescent="0.3">
      <c r="A1265" s="3">
        <v>103</v>
      </c>
      <c r="B1265" s="3">
        <v>103</v>
      </c>
      <c r="C1265" s="4">
        <v>2086.7040000000002</v>
      </c>
      <c r="D1265" s="4">
        <v>2086.1219999999998</v>
      </c>
      <c r="E1265" s="4">
        <v>2087.2849999999999</v>
      </c>
      <c r="F1265" s="4"/>
      <c r="G1265" s="4"/>
      <c r="H1265" s="26" t="s">
        <v>2841</v>
      </c>
      <c r="I1265" s="4"/>
      <c r="J1265" s="6">
        <v>0</v>
      </c>
      <c r="K1265" s="29" t="s">
        <v>1767</v>
      </c>
      <c r="L1265" s="4"/>
      <c r="M1265" s="3"/>
    </row>
    <row r="1266" spans="1:13" x14ac:dyDescent="0.3">
      <c r="A1266" s="3">
        <v>103</v>
      </c>
      <c r="B1266" s="3">
        <v>103</v>
      </c>
      <c r="C1266" s="4">
        <v>2087.4540000000002</v>
      </c>
      <c r="D1266" s="4">
        <v>2087.2849999999999</v>
      </c>
      <c r="E1266" s="4">
        <v>2087.623</v>
      </c>
      <c r="F1266" s="4"/>
      <c r="G1266" s="4"/>
      <c r="H1266" s="25" t="s">
        <v>2842</v>
      </c>
      <c r="I1266" s="4"/>
      <c r="J1266" s="6">
        <v>0</v>
      </c>
      <c r="K1266" s="30" t="s">
        <v>1767</v>
      </c>
      <c r="L1266" s="4"/>
      <c r="M1266" s="3"/>
    </row>
    <row r="1267" spans="1:13" x14ac:dyDescent="0.3">
      <c r="A1267" s="3">
        <v>103</v>
      </c>
      <c r="B1267" s="3">
        <v>103</v>
      </c>
      <c r="C1267" s="4">
        <v>2087.806</v>
      </c>
      <c r="D1267" s="4">
        <v>2087.623</v>
      </c>
      <c r="E1267" s="4">
        <v>2087.9879999999998</v>
      </c>
      <c r="F1267" s="4"/>
      <c r="G1267" s="4"/>
      <c r="H1267" s="26" t="s">
        <v>2843</v>
      </c>
      <c r="I1267" s="4"/>
      <c r="J1267" s="6">
        <v>0</v>
      </c>
      <c r="K1267" s="29" t="s">
        <v>1767</v>
      </c>
      <c r="L1267" s="4"/>
      <c r="M1267" s="3"/>
    </row>
    <row r="1268" spans="1:13" x14ac:dyDescent="0.3">
      <c r="A1268" s="3">
        <v>103</v>
      </c>
      <c r="B1268" s="3">
        <v>103</v>
      </c>
      <c r="C1268" s="4">
        <v>2088.049</v>
      </c>
      <c r="D1268" s="4">
        <v>2087.9879999999998</v>
      </c>
      <c r="E1268" s="4">
        <v>2088.11</v>
      </c>
      <c r="F1268" s="4"/>
      <c r="G1268" s="4"/>
      <c r="H1268" s="25" t="s">
        <v>2844</v>
      </c>
      <c r="I1268" s="4"/>
      <c r="J1268" s="6">
        <v>0</v>
      </c>
      <c r="K1268" s="30" t="s">
        <v>1767</v>
      </c>
      <c r="L1268" s="4"/>
      <c r="M1268" s="3"/>
    </row>
    <row r="1269" spans="1:13" x14ac:dyDescent="0.3">
      <c r="A1269" s="3">
        <v>103</v>
      </c>
      <c r="B1269" s="3">
        <v>103</v>
      </c>
      <c r="C1269" s="4">
        <v>2088.3809999999999</v>
      </c>
      <c r="D1269" s="4">
        <v>2088.11</v>
      </c>
      <c r="E1269" s="4">
        <v>2088.6509999999998</v>
      </c>
      <c r="F1269" s="4"/>
      <c r="G1269" s="4"/>
      <c r="H1269" s="26" t="s">
        <v>2845</v>
      </c>
      <c r="I1269" s="4"/>
      <c r="J1269" s="6">
        <v>0</v>
      </c>
      <c r="K1269" s="29" t="s">
        <v>1767</v>
      </c>
      <c r="L1269" s="4"/>
      <c r="M1269" s="3"/>
    </row>
    <row r="1270" spans="1:13" x14ac:dyDescent="0.3">
      <c r="A1270" s="3">
        <v>103</v>
      </c>
      <c r="B1270" s="3">
        <v>103</v>
      </c>
      <c r="C1270" s="4">
        <v>2088.8150000000001</v>
      </c>
      <c r="D1270" s="4">
        <v>2088.6509999999998</v>
      </c>
      <c r="E1270" s="4">
        <v>2088.9780000000001</v>
      </c>
      <c r="F1270" s="4"/>
      <c r="G1270" s="4"/>
      <c r="H1270" s="25" t="s">
        <v>2846</v>
      </c>
      <c r="I1270" s="4"/>
      <c r="J1270" s="6">
        <v>0</v>
      </c>
      <c r="K1270" s="30" t="s">
        <v>1767</v>
      </c>
      <c r="L1270" s="4"/>
      <c r="M1270" s="3"/>
    </row>
    <row r="1271" spans="1:13" x14ac:dyDescent="0.3">
      <c r="A1271" s="3">
        <v>103</v>
      </c>
      <c r="B1271" s="3">
        <v>103</v>
      </c>
      <c r="C1271" s="4">
        <v>2089.192</v>
      </c>
      <c r="D1271" s="4">
        <v>2088.9780000000001</v>
      </c>
      <c r="E1271" s="4">
        <v>2089.4050000000002</v>
      </c>
      <c r="F1271" s="4"/>
      <c r="G1271" s="4"/>
      <c r="H1271" s="26" t="s">
        <v>2847</v>
      </c>
      <c r="I1271" s="4"/>
      <c r="J1271" s="6">
        <v>0</v>
      </c>
      <c r="K1271" s="29" t="s">
        <v>1767</v>
      </c>
      <c r="L1271" s="4"/>
      <c r="M1271" s="3"/>
    </row>
    <row r="1272" spans="1:13" x14ac:dyDescent="0.3">
      <c r="A1272" s="3">
        <v>103</v>
      </c>
      <c r="B1272" s="3">
        <v>103</v>
      </c>
      <c r="C1272" s="4">
        <v>2089.7069999999999</v>
      </c>
      <c r="D1272" s="4">
        <v>2089.4050000000002</v>
      </c>
      <c r="E1272" s="4">
        <v>2090.009</v>
      </c>
      <c r="F1272" s="4"/>
      <c r="G1272" s="4"/>
      <c r="H1272" s="25" t="s">
        <v>2848</v>
      </c>
      <c r="I1272" s="4"/>
      <c r="J1272" s="6">
        <v>0</v>
      </c>
      <c r="K1272" s="30" t="s">
        <v>1767</v>
      </c>
      <c r="L1272" s="4"/>
      <c r="M1272" s="3"/>
    </row>
    <row r="1273" spans="1:13" x14ac:dyDescent="0.3">
      <c r="A1273" s="3">
        <v>103</v>
      </c>
      <c r="B1273" s="3">
        <v>103</v>
      </c>
      <c r="C1273" s="4">
        <v>2090.223</v>
      </c>
      <c r="D1273" s="4">
        <v>2090.009</v>
      </c>
      <c r="E1273" s="4">
        <v>2090.4360000000001</v>
      </c>
      <c r="F1273" s="4"/>
      <c r="G1273" s="4"/>
      <c r="H1273" s="26" t="s">
        <v>2849</v>
      </c>
      <c r="I1273" s="4"/>
      <c r="J1273" s="6">
        <v>0</v>
      </c>
      <c r="K1273" s="29" t="s">
        <v>1767</v>
      </c>
      <c r="L1273" s="4"/>
      <c r="M1273" s="3"/>
    </row>
    <row r="1274" spans="1:13" x14ac:dyDescent="0.3">
      <c r="A1274" s="3">
        <v>103</v>
      </c>
      <c r="B1274" s="3">
        <v>103</v>
      </c>
      <c r="C1274" s="4">
        <v>2090.7280000000001</v>
      </c>
      <c r="D1274" s="4">
        <v>2090.4360000000001</v>
      </c>
      <c r="E1274" s="4">
        <v>2091.02</v>
      </c>
      <c r="F1274" s="4"/>
      <c r="G1274" s="4"/>
      <c r="H1274" s="25" t="s">
        <v>2850</v>
      </c>
      <c r="I1274" s="4"/>
      <c r="J1274" s="6">
        <v>0</v>
      </c>
      <c r="K1274" s="30" t="s">
        <v>1767</v>
      </c>
      <c r="L1274" s="4"/>
      <c r="M1274" s="3"/>
    </row>
    <row r="1275" spans="1:13" x14ac:dyDescent="0.3">
      <c r="A1275" s="3">
        <v>103</v>
      </c>
      <c r="B1275" s="3">
        <v>103</v>
      </c>
      <c r="C1275" s="4">
        <v>2091.4090000000001</v>
      </c>
      <c r="D1275" s="4">
        <v>2091.02</v>
      </c>
      <c r="E1275" s="4">
        <v>2091.7979999999998</v>
      </c>
      <c r="F1275" s="4"/>
      <c r="G1275" s="4"/>
      <c r="H1275" s="26" t="s">
        <v>2851</v>
      </c>
      <c r="I1275" s="4"/>
      <c r="J1275" s="6">
        <v>0</v>
      </c>
      <c r="K1275" s="29" t="s">
        <v>1767</v>
      </c>
      <c r="L1275" s="4"/>
      <c r="M1275" s="3"/>
    </row>
    <row r="1276" spans="1:13" x14ac:dyDescent="0.3">
      <c r="A1276" s="3">
        <v>103</v>
      </c>
      <c r="B1276" s="3">
        <v>103</v>
      </c>
      <c r="C1276" s="4">
        <v>2092.0250000000001</v>
      </c>
      <c r="D1276" s="4">
        <v>2091.7979999999998</v>
      </c>
      <c r="E1276" s="4">
        <v>2092.252</v>
      </c>
      <c r="F1276" s="4"/>
      <c r="G1276" s="4"/>
      <c r="H1276" s="25" t="s">
        <v>2852</v>
      </c>
      <c r="I1276" s="4"/>
      <c r="J1276" s="6">
        <v>0</v>
      </c>
      <c r="K1276" s="30" t="s">
        <v>1767</v>
      </c>
      <c r="L1276" s="4"/>
      <c r="M1276" s="3"/>
    </row>
    <row r="1277" spans="1:13" x14ac:dyDescent="0.3">
      <c r="A1277" s="3">
        <v>103</v>
      </c>
      <c r="B1277" s="3">
        <v>103</v>
      </c>
      <c r="C1277" s="4">
        <v>2092.529</v>
      </c>
      <c r="D1277" s="4">
        <v>2092.252</v>
      </c>
      <c r="E1277" s="4">
        <v>2092.806</v>
      </c>
      <c r="F1277" s="4"/>
      <c r="G1277" s="4"/>
      <c r="H1277" s="26" t="s">
        <v>2853</v>
      </c>
      <c r="I1277" s="4"/>
      <c r="J1277" s="6">
        <v>0</v>
      </c>
      <c r="K1277" s="29" t="s">
        <v>1767</v>
      </c>
      <c r="L1277" s="4"/>
      <c r="M1277" s="3"/>
    </row>
    <row r="1278" spans="1:13" x14ac:dyDescent="0.3">
      <c r="A1278" s="3">
        <v>103</v>
      </c>
      <c r="B1278" s="3">
        <v>103</v>
      </c>
      <c r="C1278" s="4">
        <v>2093.2399999999998</v>
      </c>
      <c r="D1278" s="4">
        <v>2092.806</v>
      </c>
      <c r="E1278" s="4">
        <v>2093.6729999999998</v>
      </c>
      <c r="F1278" s="4"/>
      <c r="G1278" s="4"/>
      <c r="H1278" s="25" t="s">
        <v>2854</v>
      </c>
      <c r="I1278" s="4"/>
      <c r="J1278" s="6">
        <v>0</v>
      </c>
      <c r="K1278" s="30" t="s">
        <v>1767</v>
      </c>
      <c r="L1278" s="4"/>
      <c r="M1278" s="3"/>
    </row>
    <row r="1279" spans="1:13" x14ac:dyDescent="0.3">
      <c r="A1279" s="3">
        <v>103</v>
      </c>
      <c r="B1279" s="3">
        <v>103</v>
      </c>
      <c r="C1279" s="4">
        <v>2093.9090000000001</v>
      </c>
      <c r="D1279" s="4">
        <v>2093.6729999999998</v>
      </c>
      <c r="E1279" s="4">
        <v>2094.145</v>
      </c>
      <c r="F1279" s="4"/>
      <c r="G1279" s="4"/>
      <c r="H1279" s="26" t="s">
        <v>2855</v>
      </c>
      <c r="I1279" s="4"/>
      <c r="J1279" s="6">
        <v>0</v>
      </c>
      <c r="K1279" s="29" t="s">
        <v>1767</v>
      </c>
      <c r="L1279" s="4"/>
      <c r="M1279" s="3"/>
    </row>
    <row r="1280" spans="1:13" x14ac:dyDescent="0.3">
      <c r="A1280" s="3">
        <v>103</v>
      </c>
      <c r="B1280" s="3">
        <v>103</v>
      </c>
      <c r="C1280" s="4">
        <v>2094.172</v>
      </c>
      <c r="D1280" s="4">
        <v>2094.145</v>
      </c>
      <c r="E1280" s="4">
        <v>2094.1990000000001</v>
      </c>
      <c r="F1280" s="4"/>
      <c r="G1280" s="4"/>
      <c r="H1280" s="25" t="s">
        <v>2856</v>
      </c>
      <c r="I1280" s="4"/>
      <c r="J1280" s="6">
        <v>0</v>
      </c>
      <c r="K1280" s="30" t="s">
        <v>1767</v>
      </c>
      <c r="L1280" s="4"/>
      <c r="M1280" s="3"/>
    </row>
    <row r="1281" spans="1:13" x14ac:dyDescent="0.3">
      <c r="A1281" s="3">
        <v>103</v>
      </c>
      <c r="B1281" s="3">
        <v>103</v>
      </c>
      <c r="C1281" s="4">
        <v>2094.4789999999998</v>
      </c>
      <c r="D1281" s="4">
        <v>2094.1990000000001</v>
      </c>
      <c r="E1281" s="4">
        <v>2094.759</v>
      </c>
      <c r="F1281" s="4"/>
      <c r="G1281" s="4"/>
      <c r="H1281" s="26" t="s">
        <v>2857</v>
      </c>
      <c r="I1281" s="4"/>
      <c r="J1281" s="6">
        <v>0</v>
      </c>
      <c r="K1281" s="29" t="s">
        <v>1767</v>
      </c>
      <c r="L1281" s="4"/>
      <c r="M1281" s="3"/>
    </row>
    <row r="1282" spans="1:13" x14ac:dyDescent="0.3">
      <c r="A1282" s="3">
        <v>103</v>
      </c>
      <c r="B1282" s="3">
        <v>103</v>
      </c>
      <c r="C1282" s="4">
        <v>2094.9740000000002</v>
      </c>
      <c r="D1282" s="4">
        <v>2094.759</v>
      </c>
      <c r="E1282" s="4">
        <v>2095.1889999999999</v>
      </c>
      <c r="F1282" s="4"/>
      <c r="G1282" s="4"/>
      <c r="H1282" s="25" t="s">
        <v>2858</v>
      </c>
      <c r="I1282" s="4"/>
      <c r="J1282" s="6">
        <v>0</v>
      </c>
      <c r="K1282" s="30" t="s">
        <v>1767</v>
      </c>
      <c r="L1282" s="4"/>
      <c r="M1282" s="3"/>
    </row>
    <row r="1283" spans="1:13" x14ac:dyDescent="0.3">
      <c r="A1283" s="3">
        <v>103</v>
      </c>
      <c r="B1283" s="3">
        <v>103</v>
      </c>
      <c r="C1283" s="4">
        <v>2095.3519999999999</v>
      </c>
      <c r="D1283" s="4">
        <v>2095.1889999999999</v>
      </c>
      <c r="E1283" s="4">
        <v>2095.5140000000001</v>
      </c>
      <c r="F1283" s="4"/>
      <c r="G1283" s="4"/>
      <c r="H1283" s="26" t="s">
        <v>2859</v>
      </c>
      <c r="I1283" s="4"/>
      <c r="J1283" s="6">
        <v>0</v>
      </c>
      <c r="K1283" s="29" t="s">
        <v>1767</v>
      </c>
      <c r="L1283" s="4"/>
      <c r="M1283" s="3"/>
    </row>
    <row r="1284" spans="1:13" x14ac:dyDescent="0.3">
      <c r="A1284" s="3">
        <v>103</v>
      </c>
      <c r="B1284" s="3">
        <v>103</v>
      </c>
      <c r="C1284" s="4">
        <v>2095.9140000000002</v>
      </c>
      <c r="D1284" s="4">
        <v>2095.5140000000001</v>
      </c>
      <c r="E1284" s="4">
        <v>2096.3130000000001</v>
      </c>
      <c r="F1284" s="4"/>
      <c r="G1284" s="4"/>
      <c r="H1284" s="25" t="s">
        <v>2860</v>
      </c>
      <c r="I1284" s="4"/>
      <c r="J1284" s="6">
        <v>0</v>
      </c>
      <c r="K1284" s="30" t="s">
        <v>1767</v>
      </c>
      <c r="L1284" s="4"/>
      <c r="M1284" s="3"/>
    </row>
    <row r="1285" spans="1:13" x14ac:dyDescent="0.3">
      <c r="A1285" s="3">
        <v>103</v>
      </c>
      <c r="B1285" s="3">
        <v>103</v>
      </c>
      <c r="C1285" s="4">
        <v>2096.5050000000001</v>
      </c>
      <c r="D1285" s="4">
        <v>2096.3130000000001</v>
      </c>
      <c r="E1285" s="4">
        <v>2096.6970000000001</v>
      </c>
      <c r="F1285" s="4"/>
      <c r="G1285" s="4"/>
      <c r="H1285" s="26" t="s">
        <v>2861</v>
      </c>
      <c r="I1285" s="4"/>
      <c r="J1285" s="6">
        <v>0</v>
      </c>
      <c r="K1285" s="29" t="s">
        <v>1767</v>
      </c>
      <c r="L1285" s="4"/>
      <c r="M1285" s="3"/>
    </row>
    <row r="1286" spans="1:13" x14ac:dyDescent="0.3">
      <c r="A1286" s="3">
        <v>103</v>
      </c>
      <c r="B1286" s="3">
        <v>103</v>
      </c>
      <c r="C1286" s="4">
        <v>2096.7460000000001</v>
      </c>
      <c r="D1286" s="4">
        <v>2096.6970000000001</v>
      </c>
      <c r="E1286" s="4">
        <v>2096.7950000000001</v>
      </c>
      <c r="F1286" s="4"/>
      <c r="G1286" s="4"/>
      <c r="H1286" s="25" t="s">
        <v>2862</v>
      </c>
      <c r="I1286" s="4"/>
      <c r="J1286" s="6">
        <v>0</v>
      </c>
      <c r="K1286" s="30" t="s">
        <v>1767</v>
      </c>
      <c r="L1286" s="4"/>
      <c r="M1286" s="3"/>
    </row>
    <row r="1287" spans="1:13" x14ac:dyDescent="0.3">
      <c r="A1287" s="3">
        <v>103</v>
      </c>
      <c r="B1287" s="3">
        <v>103</v>
      </c>
      <c r="C1287" s="4">
        <v>2097.0230000000001</v>
      </c>
      <c r="D1287" s="4">
        <v>2096.7950000000001</v>
      </c>
      <c r="E1287" s="4">
        <v>2097.25</v>
      </c>
      <c r="F1287" s="4"/>
      <c r="G1287" s="4"/>
      <c r="H1287" s="26" t="s">
        <v>2863</v>
      </c>
      <c r="I1287" s="4"/>
      <c r="J1287" s="6">
        <v>0</v>
      </c>
      <c r="K1287" s="29" t="s">
        <v>1767</v>
      </c>
      <c r="L1287" s="4"/>
      <c r="M1287" s="3"/>
    </row>
    <row r="1288" spans="1:13" x14ac:dyDescent="0.3">
      <c r="A1288" s="3">
        <v>103</v>
      </c>
      <c r="B1288" s="3">
        <v>103</v>
      </c>
      <c r="C1288" s="4">
        <v>2097.4079999999999</v>
      </c>
      <c r="D1288" s="4">
        <v>2097.25</v>
      </c>
      <c r="E1288" s="4">
        <v>2097.5650000000001</v>
      </c>
      <c r="F1288" s="4"/>
      <c r="G1288" s="4"/>
      <c r="H1288" s="25" t="s">
        <v>2864</v>
      </c>
      <c r="I1288" s="4"/>
      <c r="J1288" s="6">
        <v>0</v>
      </c>
      <c r="K1288" s="30" t="s">
        <v>1767</v>
      </c>
      <c r="L1288" s="4"/>
      <c r="M1288" s="3"/>
    </row>
    <row r="1289" spans="1:13" x14ac:dyDescent="0.3">
      <c r="A1289" s="3">
        <v>103</v>
      </c>
      <c r="B1289" s="3">
        <v>103</v>
      </c>
      <c r="C1289" s="4">
        <v>2097.7150000000001</v>
      </c>
      <c r="D1289" s="4">
        <v>2097.5650000000001</v>
      </c>
      <c r="E1289" s="4">
        <v>2097.864</v>
      </c>
      <c r="F1289" s="4"/>
      <c r="G1289" s="4"/>
      <c r="H1289" s="26" t="s">
        <v>2865</v>
      </c>
      <c r="I1289" s="4"/>
      <c r="J1289" s="6">
        <v>0</v>
      </c>
      <c r="K1289" s="29" t="s">
        <v>1767</v>
      </c>
      <c r="L1289" s="4"/>
      <c r="M1289" s="3"/>
    </row>
    <row r="1290" spans="1:13" x14ac:dyDescent="0.3">
      <c r="A1290" s="3">
        <v>103</v>
      </c>
      <c r="B1290" s="3">
        <v>103</v>
      </c>
      <c r="C1290" s="4">
        <v>2098.0839999999998</v>
      </c>
      <c r="D1290" s="4">
        <v>2097.864</v>
      </c>
      <c r="E1290" s="4">
        <v>2098.3029999999999</v>
      </c>
      <c r="F1290" s="4"/>
      <c r="G1290" s="4"/>
      <c r="H1290" s="25" t="s">
        <v>2866</v>
      </c>
      <c r="I1290" s="4"/>
      <c r="J1290" s="6">
        <v>0</v>
      </c>
      <c r="K1290" s="30" t="s">
        <v>1767</v>
      </c>
      <c r="L1290" s="4"/>
      <c r="M1290" s="3"/>
    </row>
    <row r="1291" spans="1:13" x14ac:dyDescent="0.3">
      <c r="A1291" s="3">
        <v>103</v>
      </c>
      <c r="B1291" s="3">
        <v>103</v>
      </c>
      <c r="C1291" s="4">
        <v>2098.4670000000001</v>
      </c>
      <c r="D1291" s="4">
        <v>2098.3029999999999</v>
      </c>
      <c r="E1291" s="4">
        <v>2098.6309999999999</v>
      </c>
      <c r="F1291" s="4"/>
      <c r="G1291" s="4"/>
      <c r="H1291" s="26" t="s">
        <v>2867</v>
      </c>
      <c r="I1291" s="4"/>
      <c r="J1291" s="6">
        <v>0</v>
      </c>
      <c r="K1291" s="29" t="s">
        <v>1767</v>
      </c>
      <c r="L1291" s="4"/>
      <c r="M1291" s="3"/>
    </row>
    <row r="1292" spans="1:13" x14ac:dyDescent="0.3">
      <c r="A1292" s="3">
        <v>103</v>
      </c>
      <c r="B1292" s="3">
        <v>103</v>
      </c>
      <c r="C1292" s="4">
        <v>2098.913</v>
      </c>
      <c r="D1292" s="4">
        <v>2098.6309999999999</v>
      </c>
      <c r="E1292" s="4">
        <v>2099.194</v>
      </c>
      <c r="F1292" s="4"/>
      <c r="G1292" s="4"/>
      <c r="H1292" s="25" t="s">
        <v>2868</v>
      </c>
      <c r="I1292" s="4"/>
      <c r="J1292" s="6">
        <v>0</v>
      </c>
      <c r="K1292" s="30" t="s">
        <v>1767</v>
      </c>
      <c r="L1292" s="4"/>
      <c r="M1292" s="3"/>
    </row>
    <row r="1293" spans="1:13" x14ac:dyDescent="0.3">
      <c r="A1293" s="3">
        <v>103</v>
      </c>
      <c r="B1293" s="3">
        <v>103</v>
      </c>
      <c r="C1293" s="4">
        <v>2099.5059999999999</v>
      </c>
      <c r="D1293" s="4">
        <v>2099.194</v>
      </c>
      <c r="E1293" s="4">
        <v>2099.8180000000002</v>
      </c>
      <c r="F1293" s="4"/>
      <c r="G1293" s="4"/>
      <c r="H1293" s="26" t="s">
        <v>2869</v>
      </c>
      <c r="I1293" s="4"/>
      <c r="J1293" s="6">
        <v>0</v>
      </c>
      <c r="K1293" s="29" t="s">
        <v>1767</v>
      </c>
      <c r="L1293" s="4"/>
      <c r="M1293" s="3"/>
    </row>
    <row r="1294" spans="1:13" x14ac:dyDescent="0.3">
      <c r="A1294" s="3">
        <v>103</v>
      </c>
      <c r="B1294" s="3">
        <v>103</v>
      </c>
      <c r="C1294" s="4">
        <v>2100.1610000000001</v>
      </c>
      <c r="D1294" s="4">
        <v>2099.8180000000002</v>
      </c>
      <c r="E1294" s="4">
        <v>2100.5039999999999</v>
      </c>
      <c r="F1294" s="4"/>
      <c r="G1294" s="4"/>
      <c r="H1294" s="25" t="s">
        <v>2870</v>
      </c>
      <c r="I1294" s="4"/>
      <c r="J1294" s="6">
        <v>0</v>
      </c>
      <c r="K1294" s="30" t="s">
        <v>1767</v>
      </c>
      <c r="L1294" s="4"/>
      <c r="M1294" s="3"/>
    </row>
    <row r="1295" spans="1:13" x14ac:dyDescent="0.3">
      <c r="A1295" s="3">
        <v>103</v>
      </c>
      <c r="B1295" s="3">
        <v>103</v>
      </c>
      <c r="C1295" s="4">
        <v>2100.9389999999999</v>
      </c>
      <c r="D1295" s="4">
        <v>2100.5039999999999</v>
      </c>
      <c r="E1295" s="4">
        <v>2101.3739999999998</v>
      </c>
      <c r="F1295" s="4"/>
      <c r="G1295" s="4"/>
      <c r="H1295" s="26" t="s">
        <v>2871</v>
      </c>
      <c r="I1295" s="4"/>
      <c r="J1295" s="6">
        <v>0</v>
      </c>
      <c r="K1295" s="29" t="s">
        <v>1767</v>
      </c>
      <c r="L1295" s="4"/>
      <c r="M1295" s="3"/>
    </row>
    <row r="1296" spans="1:13" x14ac:dyDescent="0.3">
      <c r="A1296" s="3">
        <v>103</v>
      </c>
      <c r="B1296" s="3">
        <v>103</v>
      </c>
      <c r="C1296" s="4">
        <v>2101.5219999999999</v>
      </c>
      <c r="D1296" s="4">
        <v>2101.3739999999998</v>
      </c>
      <c r="E1296" s="4">
        <v>2101.67</v>
      </c>
      <c r="F1296" s="4"/>
      <c r="G1296" s="4"/>
      <c r="H1296" s="25" t="s">
        <v>2872</v>
      </c>
      <c r="I1296" s="4"/>
      <c r="J1296" s="6">
        <v>0</v>
      </c>
      <c r="K1296" s="30" t="s">
        <v>1767</v>
      </c>
      <c r="L1296" s="4"/>
      <c r="M1296" s="3"/>
    </row>
    <row r="1297" spans="1:13" x14ac:dyDescent="0.3">
      <c r="A1297" s="3">
        <v>103</v>
      </c>
      <c r="B1297" s="3">
        <v>103</v>
      </c>
      <c r="C1297" s="4">
        <v>2101.9580000000001</v>
      </c>
      <c r="D1297" s="4">
        <v>2101.67</v>
      </c>
      <c r="E1297" s="4">
        <v>2102.2449999999999</v>
      </c>
      <c r="F1297" s="4"/>
      <c r="G1297" s="4"/>
      <c r="H1297" s="26" t="s">
        <v>2873</v>
      </c>
      <c r="I1297" s="4"/>
      <c r="J1297" s="6">
        <v>0</v>
      </c>
      <c r="K1297" s="29" t="s">
        <v>1767</v>
      </c>
      <c r="L1297" s="4"/>
      <c r="M1297" s="3"/>
    </row>
    <row r="1298" spans="1:13" x14ac:dyDescent="0.3">
      <c r="A1298" s="3">
        <v>103</v>
      </c>
      <c r="B1298" s="3">
        <v>103</v>
      </c>
      <c r="C1298" s="4">
        <v>2102.2939999999999</v>
      </c>
      <c r="D1298" s="4">
        <v>2102.2449999999999</v>
      </c>
      <c r="E1298" s="4">
        <v>2102.3420000000001</v>
      </c>
      <c r="F1298" s="4"/>
      <c r="G1298" s="4"/>
      <c r="H1298" s="25" t="s">
        <v>2874</v>
      </c>
      <c r="I1298" s="4"/>
      <c r="J1298" s="6">
        <v>0</v>
      </c>
      <c r="K1298" s="30" t="s">
        <v>1767</v>
      </c>
      <c r="L1298" s="4"/>
      <c r="M1298" s="3"/>
    </row>
    <row r="1299" spans="1:13" x14ac:dyDescent="0.3">
      <c r="A1299" s="3">
        <v>103</v>
      </c>
      <c r="B1299" s="3">
        <v>103</v>
      </c>
      <c r="C1299" s="4">
        <v>2102.6990000000001</v>
      </c>
      <c r="D1299" s="4">
        <v>2102.3420000000001</v>
      </c>
      <c r="E1299" s="4">
        <v>2103.056</v>
      </c>
      <c r="F1299" s="4"/>
      <c r="G1299" s="4"/>
      <c r="H1299" s="26" t="s">
        <v>2875</v>
      </c>
      <c r="I1299" s="4"/>
      <c r="J1299" s="6">
        <v>0</v>
      </c>
      <c r="K1299" s="29" t="s">
        <v>1767</v>
      </c>
      <c r="L1299" s="4"/>
      <c r="M1299" s="3"/>
    </row>
    <row r="1300" spans="1:13" x14ac:dyDescent="0.3">
      <c r="A1300" s="3">
        <v>103</v>
      </c>
      <c r="B1300" s="3">
        <v>103</v>
      </c>
      <c r="C1300" s="4">
        <v>2103.08</v>
      </c>
      <c r="D1300" s="4">
        <v>2103.056</v>
      </c>
      <c r="E1300" s="4">
        <v>2103.1030000000001</v>
      </c>
      <c r="F1300" s="4"/>
      <c r="G1300" s="4"/>
      <c r="H1300" s="25" t="s">
        <v>2876</v>
      </c>
      <c r="I1300" s="4"/>
      <c r="J1300" s="6">
        <v>0</v>
      </c>
      <c r="K1300" s="30" t="s">
        <v>1767</v>
      </c>
      <c r="L1300" s="4"/>
      <c r="M1300" s="3"/>
    </row>
    <row r="1301" spans="1:13" x14ac:dyDescent="0.3">
      <c r="A1301" s="3">
        <v>103</v>
      </c>
      <c r="B1301" s="3">
        <v>103</v>
      </c>
      <c r="C1301" s="4">
        <v>2103.3180000000002</v>
      </c>
      <c r="D1301" s="4">
        <v>2103.1030000000001</v>
      </c>
      <c r="E1301" s="4">
        <v>2103.5329999999999</v>
      </c>
      <c r="F1301" s="4"/>
      <c r="G1301" s="4"/>
      <c r="H1301" s="26" t="s">
        <v>2877</v>
      </c>
      <c r="I1301" s="4"/>
      <c r="J1301" s="6">
        <v>0</v>
      </c>
      <c r="K1301" s="29" t="s">
        <v>1767</v>
      </c>
      <c r="L1301" s="4"/>
      <c r="M1301" s="3"/>
    </row>
    <row r="1302" spans="1:13" x14ac:dyDescent="0.3">
      <c r="A1302" s="3">
        <v>103</v>
      </c>
      <c r="B1302" s="3">
        <v>103</v>
      </c>
      <c r="C1302" s="4">
        <v>2103.73</v>
      </c>
      <c r="D1302" s="4">
        <v>2103.5329999999999</v>
      </c>
      <c r="E1302" s="4">
        <v>2103.9270000000001</v>
      </c>
      <c r="F1302" s="4"/>
      <c r="G1302" s="4"/>
      <c r="H1302" s="25" t="s">
        <v>2878</v>
      </c>
      <c r="I1302" s="4"/>
      <c r="J1302" s="6">
        <v>0</v>
      </c>
      <c r="K1302" s="30" t="s">
        <v>1767</v>
      </c>
      <c r="L1302" s="4"/>
      <c r="M1302" s="3"/>
    </row>
    <row r="1303" spans="1:13" x14ac:dyDescent="0.3">
      <c r="A1303" s="3">
        <v>103</v>
      </c>
      <c r="B1303" s="3">
        <v>103</v>
      </c>
      <c r="C1303" s="4">
        <v>2104.2640000000001</v>
      </c>
      <c r="D1303" s="4">
        <v>2103.9270000000001</v>
      </c>
      <c r="E1303" s="4">
        <v>2104.6010000000001</v>
      </c>
      <c r="F1303" s="4"/>
      <c r="G1303" s="4"/>
      <c r="H1303" s="26" t="s">
        <v>2879</v>
      </c>
      <c r="I1303" s="4"/>
      <c r="J1303" s="6">
        <v>0</v>
      </c>
      <c r="K1303" s="29" t="s">
        <v>1767</v>
      </c>
      <c r="L1303" s="4"/>
      <c r="M1303" s="3"/>
    </row>
    <row r="1304" spans="1:13" x14ac:dyDescent="0.3">
      <c r="A1304" s="3">
        <v>103</v>
      </c>
      <c r="B1304" s="3">
        <v>103</v>
      </c>
      <c r="C1304" s="4">
        <v>2104.6840000000002</v>
      </c>
      <c r="D1304" s="4">
        <v>2104.6010000000001</v>
      </c>
      <c r="E1304" s="4">
        <v>2104.7669999999998</v>
      </c>
      <c r="F1304" s="4"/>
      <c r="G1304" s="4"/>
      <c r="H1304" s="25" t="s">
        <v>2880</v>
      </c>
      <c r="I1304" s="4"/>
      <c r="J1304" s="6">
        <v>0</v>
      </c>
      <c r="K1304" s="30" t="s">
        <v>1767</v>
      </c>
      <c r="L1304" s="4"/>
      <c r="M1304" s="3"/>
    </row>
    <row r="1305" spans="1:13" x14ac:dyDescent="0.3">
      <c r="A1305" s="3">
        <v>103</v>
      </c>
      <c r="B1305" s="3">
        <v>103</v>
      </c>
      <c r="C1305" s="4">
        <v>2105.0940000000001</v>
      </c>
      <c r="D1305" s="4">
        <v>2104.7669999999998</v>
      </c>
      <c r="E1305" s="4">
        <v>2105.42</v>
      </c>
      <c r="F1305" s="4"/>
      <c r="G1305" s="4"/>
      <c r="H1305" s="26" t="s">
        <v>2881</v>
      </c>
      <c r="I1305" s="4"/>
      <c r="J1305" s="6">
        <v>0</v>
      </c>
      <c r="K1305" s="29" t="s">
        <v>1767</v>
      </c>
      <c r="L1305" s="4"/>
      <c r="M1305" s="3"/>
    </row>
    <row r="1306" spans="1:13" x14ac:dyDescent="0.3">
      <c r="A1306" s="3">
        <v>103</v>
      </c>
      <c r="B1306" s="3">
        <v>103</v>
      </c>
      <c r="C1306" s="4">
        <v>2105.462</v>
      </c>
      <c r="D1306" s="4">
        <v>2105.42</v>
      </c>
      <c r="E1306" s="4">
        <v>2105.5039999999999</v>
      </c>
      <c r="F1306" s="4"/>
      <c r="G1306" s="4"/>
      <c r="H1306" s="25" t="s">
        <v>2882</v>
      </c>
      <c r="I1306" s="4"/>
      <c r="J1306" s="6">
        <v>0</v>
      </c>
      <c r="K1306" s="30" t="s">
        <v>1767</v>
      </c>
      <c r="L1306" s="4"/>
      <c r="M1306" s="3"/>
    </row>
    <row r="1307" spans="1:13" x14ac:dyDescent="0.3">
      <c r="A1307" s="3">
        <v>103</v>
      </c>
      <c r="B1307" s="3">
        <v>103</v>
      </c>
      <c r="C1307" s="4">
        <v>2105.8690000000001</v>
      </c>
      <c r="D1307" s="4">
        <v>2105.5039999999999</v>
      </c>
      <c r="E1307" s="4">
        <v>2106.2339999999999</v>
      </c>
      <c r="F1307" s="4"/>
      <c r="G1307" s="4"/>
      <c r="H1307" s="26" t="s">
        <v>2883</v>
      </c>
      <c r="I1307" s="4"/>
      <c r="J1307" s="6">
        <v>0</v>
      </c>
      <c r="K1307" s="29" t="s">
        <v>1767</v>
      </c>
      <c r="L1307" s="4"/>
      <c r="M1307" s="3"/>
    </row>
    <row r="1308" spans="1:13" x14ac:dyDescent="0.3">
      <c r="A1308" s="3">
        <v>103</v>
      </c>
      <c r="B1308" s="3">
        <v>103</v>
      </c>
      <c r="C1308" s="4">
        <v>2106.2579999999998</v>
      </c>
      <c r="D1308" s="4">
        <v>2106.2339999999999</v>
      </c>
      <c r="E1308" s="4">
        <v>2106.2809999999999</v>
      </c>
      <c r="F1308" s="4"/>
      <c r="G1308" s="4"/>
      <c r="H1308" s="25" t="s">
        <v>2884</v>
      </c>
      <c r="I1308" s="4"/>
      <c r="J1308" s="6">
        <v>0</v>
      </c>
      <c r="K1308" s="30" t="s">
        <v>1767</v>
      </c>
      <c r="L1308" s="4"/>
      <c r="M1308" s="3"/>
    </row>
    <row r="1309" spans="1:13" x14ac:dyDescent="0.3">
      <c r="A1309" s="3">
        <v>103</v>
      </c>
      <c r="B1309" s="3">
        <v>103</v>
      </c>
      <c r="C1309" s="4">
        <v>2106.739</v>
      </c>
      <c r="D1309" s="4">
        <v>2106.2809999999999</v>
      </c>
      <c r="E1309" s="4">
        <v>2107.1970000000001</v>
      </c>
      <c r="F1309" s="4"/>
      <c r="G1309" s="4"/>
      <c r="H1309" s="26" t="s">
        <v>2885</v>
      </c>
      <c r="I1309" s="4"/>
      <c r="J1309" s="6">
        <v>0</v>
      </c>
      <c r="K1309" s="29" t="s">
        <v>1767</v>
      </c>
      <c r="L1309" s="4"/>
      <c r="M1309" s="3"/>
    </row>
    <row r="1310" spans="1:13" x14ac:dyDescent="0.3">
      <c r="A1310" s="3">
        <v>103</v>
      </c>
      <c r="B1310" s="3">
        <v>103</v>
      </c>
      <c r="C1310" s="4">
        <v>2107.2339999999999</v>
      </c>
      <c r="D1310" s="4">
        <v>2107.1970000000001</v>
      </c>
      <c r="E1310" s="4">
        <v>2107.27</v>
      </c>
      <c r="F1310" s="4"/>
      <c r="G1310" s="4"/>
      <c r="H1310" s="25" t="s">
        <v>2886</v>
      </c>
      <c r="I1310" s="4"/>
      <c r="J1310" s="6">
        <v>0</v>
      </c>
      <c r="K1310" s="30" t="s">
        <v>1767</v>
      </c>
      <c r="L1310" s="4"/>
      <c r="M1310" s="3"/>
    </row>
    <row r="1311" spans="1:13" x14ac:dyDescent="0.3">
      <c r="A1311" s="3">
        <v>103</v>
      </c>
      <c r="B1311" s="3">
        <v>103</v>
      </c>
      <c r="C1311" s="4">
        <v>2107.502</v>
      </c>
      <c r="D1311" s="4">
        <v>2107.27</v>
      </c>
      <c r="E1311" s="4">
        <v>2107.7339999999999</v>
      </c>
      <c r="F1311" s="4"/>
      <c r="G1311" s="4"/>
      <c r="H1311" s="26" t="s">
        <v>2887</v>
      </c>
      <c r="I1311" s="4"/>
      <c r="J1311" s="6">
        <v>0</v>
      </c>
      <c r="K1311" s="29" t="s">
        <v>1767</v>
      </c>
      <c r="L1311" s="4"/>
      <c r="M1311" s="3"/>
    </row>
    <row r="1312" spans="1:13" x14ac:dyDescent="0.3">
      <c r="A1312" s="3">
        <v>103</v>
      </c>
      <c r="B1312" s="3">
        <v>103</v>
      </c>
      <c r="C1312" s="4">
        <v>2107.7530000000002</v>
      </c>
      <c r="D1312" s="4">
        <v>2107.7339999999999</v>
      </c>
      <c r="E1312" s="4">
        <v>2107.7719999999999</v>
      </c>
      <c r="F1312" s="4"/>
      <c r="G1312" s="4"/>
      <c r="H1312" s="25" t="s">
        <v>2888</v>
      </c>
      <c r="I1312" s="4"/>
      <c r="J1312" s="6">
        <v>0</v>
      </c>
      <c r="K1312" s="30" t="s">
        <v>1767</v>
      </c>
      <c r="L1312" s="4"/>
      <c r="M1312" s="3"/>
    </row>
    <row r="1313" spans="1:13" x14ac:dyDescent="0.3">
      <c r="A1313" s="3">
        <v>103</v>
      </c>
      <c r="B1313" s="3">
        <v>103</v>
      </c>
      <c r="C1313" s="4">
        <v>2108.21</v>
      </c>
      <c r="D1313" s="4">
        <v>2107.7719999999999</v>
      </c>
      <c r="E1313" s="4">
        <v>2108.6469999999999</v>
      </c>
      <c r="F1313" s="4"/>
      <c r="G1313" s="4"/>
      <c r="H1313" s="26" t="s">
        <v>2889</v>
      </c>
      <c r="I1313" s="4"/>
      <c r="J1313" s="6">
        <v>0</v>
      </c>
      <c r="K1313" s="29" t="s">
        <v>1767</v>
      </c>
      <c r="L1313" s="4"/>
      <c r="M1313" s="3"/>
    </row>
    <row r="1314" spans="1:13" x14ac:dyDescent="0.3">
      <c r="A1314" s="3">
        <v>103</v>
      </c>
      <c r="B1314" s="3">
        <v>103</v>
      </c>
      <c r="C1314" s="4">
        <v>2109.0569999999998</v>
      </c>
      <c r="D1314" s="4">
        <v>2108.6469999999999</v>
      </c>
      <c r="E1314" s="4">
        <v>2109.4670000000001</v>
      </c>
      <c r="F1314" s="4"/>
      <c r="G1314" s="4"/>
      <c r="H1314" s="25" t="s">
        <v>2890</v>
      </c>
      <c r="I1314" s="4"/>
      <c r="J1314" s="6">
        <v>0</v>
      </c>
      <c r="K1314" s="30" t="s">
        <v>1767</v>
      </c>
      <c r="L1314" s="4"/>
      <c r="M1314" s="3"/>
    </row>
    <row r="1315" spans="1:13" x14ac:dyDescent="0.3">
      <c r="A1315" s="3">
        <v>103</v>
      </c>
      <c r="B1315" s="3">
        <v>103</v>
      </c>
      <c r="C1315" s="4">
        <v>2109.9189999999999</v>
      </c>
      <c r="D1315" s="4">
        <v>2109.4670000000001</v>
      </c>
      <c r="E1315" s="4">
        <v>2110.37</v>
      </c>
      <c r="F1315" s="4"/>
      <c r="G1315" s="4"/>
      <c r="H1315" s="26" t="s">
        <v>2891</v>
      </c>
      <c r="I1315" s="4"/>
      <c r="J1315" s="6">
        <v>0</v>
      </c>
      <c r="K1315" s="29" t="s">
        <v>1767</v>
      </c>
      <c r="L1315" s="4"/>
      <c r="M1315" s="3"/>
    </row>
    <row r="1316" spans="1:13" x14ac:dyDescent="0.3">
      <c r="A1316" s="3">
        <v>103</v>
      </c>
      <c r="B1316" s="3">
        <v>103</v>
      </c>
      <c r="C1316" s="4">
        <v>2110.4160000000002</v>
      </c>
      <c r="D1316" s="4">
        <v>2110.37</v>
      </c>
      <c r="E1316" s="4">
        <v>2110.4609999999998</v>
      </c>
      <c r="F1316" s="4"/>
      <c r="G1316" s="4"/>
      <c r="H1316" s="25" t="s">
        <v>2892</v>
      </c>
      <c r="I1316" s="4"/>
      <c r="J1316" s="6">
        <v>0</v>
      </c>
      <c r="K1316" s="30" t="s">
        <v>1767</v>
      </c>
      <c r="L1316" s="4"/>
      <c r="M1316" s="3"/>
    </row>
    <row r="1317" spans="1:13" x14ac:dyDescent="0.3">
      <c r="A1317" s="3">
        <v>103</v>
      </c>
      <c r="B1317" s="3">
        <v>103</v>
      </c>
      <c r="C1317" s="4">
        <v>2110.835</v>
      </c>
      <c r="D1317" s="4">
        <v>2110.4609999999998</v>
      </c>
      <c r="E1317" s="4">
        <v>2111.2089999999998</v>
      </c>
      <c r="F1317" s="4"/>
      <c r="G1317" s="4"/>
      <c r="H1317" s="26" t="s">
        <v>2893</v>
      </c>
      <c r="I1317" s="4"/>
      <c r="J1317" s="6">
        <v>0</v>
      </c>
      <c r="K1317" s="29" t="s">
        <v>1767</v>
      </c>
      <c r="L1317" s="4"/>
      <c r="M1317" s="3"/>
    </row>
    <row r="1318" spans="1:13" x14ac:dyDescent="0.3">
      <c r="A1318" s="3">
        <v>103</v>
      </c>
      <c r="B1318" s="3">
        <v>103</v>
      </c>
      <c r="C1318" s="4">
        <v>2111.2370000000001</v>
      </c>
      <c r="D1318" s="4">
        <v>2111.2089999999998</v>
      </c>
      <c r="E1318" s="4">
        <v>2111.2640000000001</v>
      </c>
      <c r="F1318" s="4"/>
      <c r="G1318" s="4"/>
      <c r="H1318" s="25" t="s">
        <v>2894</v>
      </c>
      <c r="I1318" s="4"/>
      <c r="J1318" s="6">
        <v>0</v>
      </c>
      <c r="K1318" s="30" t="s">
        <v>1767</v>
      </c>
      <c r="L1318" s="4"/>
      <c r="M1318" s="3"/>
    </row>
    <row r="1319" spans="1:13" x14ac:dyDescent="0.3">
      <c r="A1319" s="3">
        <v>103</v>
      </c>
      <c r="B1319" s="3">
        <v>103</v>
      </c>
      <c r="C1319" s="4">
        <v>2111.616</v>
      </c>
      <c r="D1319" s="4">
        <v>2111.2640000000001</v>
      </c>
      <c r="E1319" s="4">
        <v>2111.9679999999998</v>
      </c>
      <c r="F1319" s="4"/>
      <c r="G1319" s="4"/>
      <c r="H1319" s="26" t="s">
        <v>2895</v>
      </c>
      <c r="I1319" s="4"/>
      <c r="J1319" s="6">
        <v>0</v>
      </c>
      <c r="K1319" s="29" t="s">
        <v>1767</v>
      </c>
      <c r="L1319" s="4"/>
      <c r="M1319" s="3"/>
    </row>
    <row r="1320" spans="1:13" x14ac:dyDescent="0.3">
      <c r="A1320" s="3">
        <v>103</v>
      </c>
      <c r="B1320" s="3">
        <v>103</v>
      </c>
      <c r="C1320" s="4">
        <v>2112.1149999999998</v>
      </c>
      <c r="D1320" s="4">
        <v>2111.9679999999998</v>
      </c>
      <c r="E1320" s="4">
        <v>2112.2620000000002</v>
      </c>
      <c r="F1320" s="4"/>
      <c r="G1320" s="4"/>
      <c r="H1320" s="25" t="s">
        <v>2896</v>
      </c>
      <c r="I1320" s="4"/>
      <c r="J1320" s="6">
        <v>0</v>
      </c>
      <c r="K1320" s="30" t="s">
        <v>1767</v>
      </c>
      <c r="L1320" s="4"/>
      <c r="M1320" s="3"/>
    </row>
    <row r="1321" spans="1:13" x14ac:dyDescent="0.3">
      <c r="A1321" s="3">
        <v>103</v>
      </c>
      <c r="B1321" s="3">
        <v>103</v>
      </c>
      <c r="C1321" s="4">
        <v>2112.5529999999999</v>
      </c>
      <c r="D1321" s="4">
        <v>2112.2620000000002</v>
      </c>
      <c r="E1321" s="4">
        <v>2112.8440000000001</v>
      </c>
      <c r="F1321" s="4"/>
      <c r="G1321" s="4"/>
      <c r="H1321" s="26" t="s">
        <v>2897</v>
      </c>
      <c r="I1321" s="4"/>
      <c r="J1321" s="6">
        <v>0</v>
      </c>
      <c r="K1321" s="29" t="s">
        <v>1767</v>
      </c>
      <c r="L1321" s="4"/>
      <c r="M1321" s="3"/>
    </row>
    <row r="1322" spans="1:13" x14ac:dyDescent="0.3">
      <c r="A1322" s="3">
        <v>103</v>
      </c>
      <c r="B1322" s="3">
        <v>103</v>
      </c>
      <c r="C1322" s="4">
        <v>2114.0650000000001</v>
      </c>
      <c r="D1322" s="4">
        <v>2112.8440000000001</v>
      </c>
      <c r="E1322" s="4">
        <v>2115.2860000000001</v>
      </c>
      <c r="F1322" s="4"/>
      <c r="G1322" s="4"/>
      <c r="H1322" s="25" t="s">
        <v>2898</v>
      </c>
      <c r="I1322" s="4"/>
      <c r="J1322" s="6">
        <v>0</v>
      </c>
      <c r="K1322" s="30" t="s">
        <v>1767</v>
      </c>
      <c r="L1322" s="4"/>
      <c r="M1322" s="3"/>
    </row>
    <row r="1323" spans="1:13" x14ac:dyDescent="0.3">
      <c r="A1323" s="3">
        <v>103</v>
      </c>
      <c r="B1323" s="3">
        <v>103</v>
      </c>
      <c r="C1323" s="4">
        <v>2115.4929999999999</v>
      </c>
      <c r="D1323" s="4">
        <v>2115.2860000000001</v>
      </c>
      <c r="E1323" s="4">
        <v>2115.6999999999998</v>
      </c>
      <c r="F1323" s="4"/>
      <c r="G1323" s="4"/>
      <c r="H1323" s="26" t="s">
        <v>2899</v>
      </c>
      <c r="I1323" s="4"/>
      <c r="J1323" s="6">
        <v>0</v>
      </c>
      <c r="K1323" s="29" t="s">
        <v>1767</v>
      </c>
      <c r="L1323" s="4"/>
      <c r="M1323" s="3"/>
    </row>
    <row r="1324" spans="1:13" x14ac:dyDescent="0.3">
      <c r="A1324" s="3">
        <v>103</v>
      </c>
      <c r="B1324" s="3">
        <v>103</v>
      </c>
      <c r="C1324" s="4">
        <v>2115.739</v>
      </c>
      <c r="D1324" s="4">
        <v>2115.6999999999998</v>
      </c>
      <c r="E1324" s="4">
        <v>2115.7779999999998</v>
      </c>
      <c r="F1324" s="4"/>
      <c r="G1324" s="4"/>
      <c r="H1324" s="25" t="s">
        <v>2900</v>
      </c>
      <c r="I1324" s="4"/>
      <c r="J1324" s="6">
        <v>0</v>
      </c>
      <c r="K1324" s="30" t="s">
        <v>1767</v>
      </c>
      <c r="L1324" s="4"/>
      <c r="M1324" s="3"/>
    </row>
    <row r="1325" spans="1:13" x14ac:dyDescent="0.3">
      <c r="A1325" s="3">
        <v>103</v>
      </c>
      <c r="B1325" s="3">
        <v>103</v>
      </c>
      <c r="C1325" s="4">
        <v>2116.018</v>
      </c>
      <c r="D1325" s="4">
        <v>2115.7779999999998</v>
      </c>
      <c r="E1325" s="4">
        <v>2116.2570000000001</v>
      </c>
      <c r="F1325" s="4"/>
      <c r="G1325" s="4"/>
      <c r="H1325" s="26" t="s">
        <v>2901</v>
      </c>
      <c r="I1325" s="4"/>
      <c r="J1325" s="6">
        <v>0</v>
      </c>
      <c r="K1325" s="29" t="s">
        <v>1767</v>
      </c>
      <c r="L1325" s="4"/>
      <c r="M1325" s="3"/>
    </row>
    <row r="1326" spans="1:13" x14ac:dyDescent="0.3">
      <c r="A1326" s="3">
        <v>103</v>
      </c>
      <c r="B1326" s="3">
        <v>103</v>
      </c>
      <c r="C1326" s="4">
        <v>2116.5509999999999</v>
      </c>
      <c r="D1326" s="4">
        <v>2116.2570000000001</v>
      </c>
      <c r="E1326" s="4">
        <v>2116.8440000000001</v>
      </c>
      <c r="F1326" s="4"/>
      <c r="G1326" s="4"/>
      <c r="H1326" s="25" t="s">
        <v>2902</v>
      </c>
      <c r="I1326" s="4"/>
      <c r="J1326" s="6">
        <v>0</v>
      </c>
      <c r="K1326" s="30" t="s">
        <v>1767</v>
      </c>
      <c r="L1326" s="4"/>
      <c r="M1326" s="3"/>
    </row>
    <row r="1327" spans="1:13" x14ac:dyDescent="0.3">
      <c r="A1327" s="3">
        <v>103</v>
      </c>
      <c r="B1327" s="3">
        <v>103</v>
      </c>
      <c r="C1327" s="4">
        <v>2117.0340000000001</v>
      </c>
      <c r="D1327" s="4">
        <v>2116.8440000000001</v>
      </c>
      <c r="E1327" s="4">
        <v>2117.2240000000002</v>
      </c>
      <c r="F1327" s="4"/>
      <c r="G1327" s="4"/>
      <c r="H1327" s="26" t="s">
        <v>2903</v>
      </c>
      <c r="I1327" s="4"/>
      <c r="J1327" s="6">
        <v>0</v>
      </c>
      <c r="K1327" s="29" t="s">
        <v>1767</v>
      </c>
      <c r="L1327" s="4"/>
      <c r="M1327" s="3"/>
    </row>
    <row r="1328" spans="1:13" x14ac:dyDescent="0.3">
      <c r="A1328" s="3">
        <v>103</v>
      </c>
      <c r="B1328" s="3">
        <v>103</v>
      </c>
      <c r="C1328" s="4">
        <v>2117.4369999999999</v>
      </c>
      <c r="D1328" s="4">
        <v>2117.2240000000002</v>
      </c>
      <c r="E1328" s="4">
        <v>2117.65</v>
      </c>
      <c r="F1328" s="4"/>
      <c r="G1328" s="4"/>
      <c r="H1328" s="25" t="s">
        <v>2904</v>
      </c>
      <c r="I1328" s="4"/>
      <c r="J1328" s="6">
        <v>0</v>
      </c>
      <c r="K1328" s="30" t="s">
        <v>1767</v>
      </c>
      <c r="L1328" s="4"/>
      <c r="M1328" s="3"/>
    </row>
    <row r="1329" spans="1:13" x14ac:dyDescent="0.3">
      <c r="A1329" s="3">
        <v>103</v>
      </c>
      <c r="B1329" s="3">
        <v>103</v>
      </c>
      <c r="C1329" s="4">
        <v>2117.962</v>
      </c>
      <c r="D1329" s="4">
        <v>2117.65</v>
      </c>
      <c r="E1329" s="4">
        <v>2118.2730000000001</v>
      </c>
      <c r="F1329" s="4"/>
      <c r="G1329" s="4"/>
      <c r="H1329" s="26" t="s">
        <v>2905</v>
      </c>
      <c r="I1329" s="4"/>
      <c r="J1329" s="6">
        <v>0</v>
      </c>
      <c r="K1329" s="29" t="s">
        <v>1767</v>
      </c>
      <c r="L1329" s="4"/>
      <c r="M1329" s="3"/>
    </row>
    <row r="1330" spans="1:13" x14ac:dyDescent="0.3">
      <c r="A1330" s="3">
        <v>103</v>
      </c>
      <c r="B1330" s="3">
        <v>103</v>
      </c>
      <c r="C1330" s="4">
        <v>2118.346</v>
      </c>
      <c r="D1330" s="4">
        <v>2118.2730000000001</v>
      </c>
      <c r="E1330" s="4">
        <v>2118.4189999999999</v>
      </c>
      <c r="F1330" s="4"/>
      <c r="G1330" s="4"/>
      <c r="H1330" s="25" t="s">
        <v>2906</v>
      </c>
      <c r="I1330" s="4"/>
      <c r="J1330" s="6">
        <v>0</v>
      </c>
      <c r="K1330" s="30" t="s">
        <v>1767</v>
      </c>
      <c r="L1330" s="4"/>
      <c r="M1330" s="3"/>
    </row>
    <row r="1331" spans="1:13" x14ac:dyDescent="0.3">
      <c r="A1331" s="3">
        <v>103</v>
      </c>
      <c r="B1331" s="3">
        <v>103</v>
      </c>
      <c r="C1331" s="4">
        <v>2119.0329999999999</v>
      </c>
      <c r="D1331" s="4">
        <v>2118.4189999999999</v>
      </c>
      <c r="E1331" s="4">
        <v>2119.6469999999999</v>
      </c>
      <c r="F1331" s="4"/>
      <c r="G1331" s="4"/>
      <c r="H1331" s="26" t="s">
        <v>2907</v>
      </c>
      <c r="I1331" s="4"/>
      <c r="J1331" s="6">
        <v>0</v>
      </c>
      <c r="K1331" s="29" t="s">
        <v>1767</v>
      </c>
      <c r="L1331" s="4"/>
      <c r="M1331" s="3"/>
    </row>
    <row r="1332" spans="1:13" x14ac:dyDescent="0.3">
      <c r="A1332" s="3">
        <v>103</v>
      </c>
      <c r="B1332" s="3">
        <v>103</v>
      </c>
      <c r="C1332" s="4">
        <v>2119.893</v>
      </c>
      <c r="D1332" s="4">
        <v>2119.6469999999999</v>
      </c>
      <c r="E1332" s="4">
        <v>2120.1379999999999</v>
      </c>
      <c r="F1332" s="4"/>
      <c r="G1332" s="4"/>
      <c r="H1332" s="25" t="s">
        <v>2908</v>
      </c>
      <c r="I1332" s="4"/>
      <c r="J1332" s="6">
        <v>0</v>
      </c>
      <c r="K1332" s="30" t="s">
        <v>1767</v>
      </c>
      <c r="L1332" s="4"/>
      <c r="M1332" s="3"/>
    </row>
    <row r="1333" spans="1:13" x14ac:dyDescent="0.3">
      <c r="A1333" s="3">
        <v>103</v>
      </c>
      <c r="B1333" s="3">
        <v>103</v>
      </c>
      <c r="C1333" s="4">
        <v>2120.2779999999998</v>
      </c>
      <c r="D1333" s="4">
        <v>2120.1379999999999</v>
      </c>
      <c r="E1333" s="4">
        <v>2120.4169999999999</v>
      </c>
      <c r="F1333" s="4"/>
      <c r="G1333" s="4"/>
      <c r="H1333" s="26" t="s">
        <v>2909</v>
      </c>
      <c r="I1333" s="4"/>
      <c r="J1333" s="6">
        <v>0</v>
      </c>
      <c r="K1333" s="29" t="s">
        <v>1767</v>
      </c>
      <c r="L1333" s="4"/>
      <c r="M1333" s="3"/>
    </row>
    <row r="1334" spans="1:13" x14ac:dyDescent="0.3">
      <c r="A1334" s="3">
        <v>103</v>
      </c>
      <c r="B1334" s="3">
        <v>103</v>
      </c>
      <c r="C1334" s="4">
        <v>2120.741</v>
      </c>
      <c r="D1334" s="4">
        <v>2120.4169999999999</v>
      </c>
      <c r="E1334" s="4">
        <v>2121.0650000000001</v>
      </c>
      <c r="F1334" s="4"/>
      <c r="G1334" s="4"/>
      <c r="H1334" s="25" t="s">
        <v>2910</v>
      </c>
      <c r="I1334" s="4"/>
      <c r="J1334" s="6">
        <v>0</v>
      </c>
      <c r="K1334" s="30" t="s">
        <v>1767</v>
      </c>
      <c r="L1334" s="4"/>
      <c r="M1334" s="3"/>
    </row>
    <row r="1335" spans="1:13" x14ac:dyDescent="0.3">
      <c r="A1335" s="3">
        <v>103</v>
      </c>
      <c r="B1335" s="3">
        <v>103</v>
      </c>
      <c r="C1335" s="4">
        <v>2121.373</v>
      </c>
      <c r="D1335" s="4">
        <v>2121.0650000000001</v>
      </c>
      <c r="E1335" s="4">
        <v>2121.681</v>
      </c>
      <c r="F1335" s="4"/>
      <c r="G1335" s="4"/>
      <c r="H1335" s="26" t="s">
        <v>2911</v>
      </c>
      <c r="I1335" s="4"/>
      <c r="J1335" s="6">
        <v>0</v>
      </c>
      <c r="K1335" s="29" t="s">
        <v>1767</v>
      </c>
      <c r="L1335" s="4"/>
      <c r="M1335" s="3"/>
    </row>
    <row r="1336" spans="1:13" x14ac:dyDescent="0.3">
      <c r="A1336" s="3">
        <v>103</v>
      </c>
      <c r="B1336" s="3">
        <v>103</v>
      </c>
      <c r="C1336" s="4">
        <v>2121.7510000000002</v>
      </c>
      <c r="D1336" s="4">
        <v>2121.681</v>
      </c>
      <c r="E1336" s="4">
        <v>2121.8209999999999</v>
      </c>
      <c r="F1336" s="4"/>
      <c r="G1336" s="4"/>
      <c r="H1336" s="25" t="s">
        <v>2912</v>
      </c>
      <c r="I1336" s="4"/>
      <c r="J1336" s="6">
        <v>0</v>
      </c>
      <c r="K1336" s="30" t="s">
        <v>1767</v>
      </c>
      <c r="L1336" s="4"/>
      <c r="M1336" s="3"/>
    </row>
    <row r="1337" spans="1:13" x14ac:dyDescent="0.3">
      <c r="A1337" s="3">
        <v>103</v>
      </c>
      <c r="B1337" s="3">
        <v>103</v>
      </c>
      <c r="C1337" s="4">
        <v>2121.9789999999998</v>
      </c>
      <c r="D1337" s="4">
        <v>2121.8209999999999</v>
      </c>
      <c r="E1337" s="4">
        <v>2122.1370000000002</v>
      </c>
      <c r="F1337" s="4"/>
      <c r="G1337" s="4"/>
      <c r="H1337" s="26" t="s">
        <v>2913</v>
      </c>
      <c r="I1337" s="4"/>
      <c r="J1337" s="6">
        <v>0</v>
      </c>
      <c r="K1337" s="29" t="s">
        <v>1767</v>
      </c>
      <c r="L1337" s="4"/>
      <c r="M1337" s="3"/>
    </row>
    <row r="1338" spans="1:13" x14ac:dyDescent="0.3">
      <c r="A1338" s="3">
        <v>103</v>
      </c>
      <c r="B1338" s="3">
        <v>103</v>
      </c>
      <c r="C1338" s="4">
        <v>2122.7139999999999</v>
      </c>
      <c r="D1338" s="4">
        <v>2122.1370000000002</v>
      </c>
      <c r="E1338" s="4">
        <v>2123.2910000000002</v>
      </c>
      <c r="F1338" s="4"/>
      <c r="G1338" s="4"/>
      <c r="H1338" s="25" t="s">
        <v>2914</v>
      </c>
      <c r="I1338" s="4"/>
      <c r="J1338" s="6">
        <v>0</v>
      </c>
      <c r="K1338" s="30" t="s">
        <v>1767</v>
      </c>
      <c r="L1338" s="4"/>
      <c r="M1338" s="3"/>
    </row>
    <row r="1339" spans="1:13" x14ac:dyDescent="0.3">
      <c r="A1339" s="3">
        <v>103</v>
      </c>
      <c r="B1339" s="3">
        <v>103</v>
      </c>
      <c r="C1339" s="4">
        <v>2123.5549999999998</v>
      </c>
      <c r="D1339" s="4">
        <v>2123.2910000000002</v>
      </c>
      <c r="E1339" s="4">
        <v>2123.819</v>
      </c>
      <c r="F1339" s="4"/>
      <c r="G1339" s="4"/>
      <c r="H1339" s="26" t="s">
        <v>2915</v>
      </c>
      <c r="I1339" s="4"/>
      <c r="J1339" s="6">
        <v>0</v>
      </c>
      <c r="K1339" s="29" t="s">
        <v>1767</v>
      </c>
      <c r="L1339" s="4"/>
      <c r="M1339" s="3"/>
    </row>
    <row r="1340" spans="1:13" x14ac:dyDescent="0.3">
      <c r="A1340" s="3">
        <v>103</v>
      </c>
      <c r="B1340" s="3">
        <v>103</v>
      </c>
      <c r="C1340" s="4">
        <v>2123.9180000000001</v>
      </c>
      <c r="D1340" s="4">
        <v>2123.819</v>
      </c>
      <c r="E1340" s="4">
        <v>2124.0160000000001</v>
      </c>
      <c r="F1340" s="4"/>
      <c r="G1340" s="4"/>
      <c r="H1340" s="25" t="s">
        <v>2916</v>
      </c>
      <c r="I1340" s="4"/>
      <c r="J1340" s="6">
        <v>0</v>
      </c>
      <c r="K1340" s="30" t="s">
        <v>1767</v>
      </c>
      <c r="L1340" s="4"/>
      <c r="M1340" s="3"/>
    </row>
    <row r="1341" spans="1:13" x14ac:dyDescent="0.3">
      <c r="A1341" s="3">
        <v>103</v>
      </c>
      <c r="B1341" s="3">
        <v>103</v>
      </c>
      <c r="C1341" s="4">
        <v>2124.2939999999999</v>
      </c>
      <c r="D1341" s="4">
        <v>2124.0160000000001</v>
      </c>
      <c r="E1341" s="4">
        <v>2124.5709999999999</v>
      </c>
      <c r="F1341" s="4"/>
      <c r="G1341" s="4"/>
      <c r="H1341" s="26" t="s">
        <v>2917</v>
      </c>
      <c r="I1341" s="4"/>
      <c r="J1341" s="6">
        <v>0</v>
      </c>
      <c r="K1341" s="29" t="s">
        <v>1767</v>
      </c>
      <c r="L1341" s="4"/>
      <c r="M1341" s="3"/>
    </row>
    <row r="1342" spans="1:13" x14ac:dyDescent="0.3">
      <c r="A1342" s="3">
        <v>103</v>
      </c>
      <c r="B1342" s="3">
        <v>103</v>
      </c>
      <c r="C1342" s="4">
        <v>2124.6210000000001</v>
      </c>
      <c r="D1342" s="4">
        <v>2124.5709999999999</v>
      </c>
      <c r="E1342" s="4">
        <v>2124.6709999999998</v>
      </c>
      <c r="F1342" s="4"/>
      <c r="G1342" s="4"/>
      <c r="H1342" s="25" t="s">
        <v>2918</v>
      </c>
      <c r="I1342" s="4"/>
      <c r="J1342" s="6">
        <v>0</v>
      </c>
      <c r="K1342" s="30" t="s">
        <v>1767</v>
      </c>
      <c r="L1342" s="4"/>
      <c r="M1342" s="3"/>
    </row>
    <row r="1343" spans="1:13" x14ac:dyDescent="0.3">
      <c r="A1343" s="3">
        <v>103</v>
      </c>
      <c r="B1343" s="3">
        <v>103</v>
      </c>
      <c r="C1343" s="4">
        <v>2124.8980000000001</v>
      </c>
      <c r="D1343" s="4">
        <v>2124.6709999999998</v>
      </c>
      <c r="E1343" s="4">
        <v>2125.125</v>
      </c>
      <c r="F1343" s="4"/>
      <c r="G1343" s="4"/>
      <c r="H1343" s="26" t="s">
        <v>2919</v>
      </c>
      <c r="I1343" s="4"/>
      <c r="J1343" s="6">
        <v>0</v>
      </c>
      <c r="K1343" s="29" t="s">
        <v>1767</v>
      </c>
      <c r="L1343" s="4"/>
      <c r="M1343" s="3"/>
    </row>
    <row r="1344" spans="1:13" x14ac:dyDescent="0.3">
      <c r="A1344" s="3">
        <v>103</v>
      </c>
      <c r="B1344" s="3">
        <v>103</v>
      </c>
      <c r="C1344" s="4">
        <v>2125.2130000000002</v>
      </c>
      <c r="D1344" s="4">
        <v>2125.125</v>
      </c>
      <c r="E1344" s="4">
        <v>2125.3000000000002</v>
      </c>
      <c r="F1344" s="4"/>
      <c r="G1344" s="4"/>
      <c r="H1344" s="25" t="s">
        <v>2920</v>
      </c>
      <c r="I1344" s="4"/>
      <c r="J1344" s="6">
        <v>0</v>
      </c>
      <c r="K1344" s="30" t="s">
        <v>1767</v>
      </c>
      <c r="L1344" s="4"/>
      <c r="M1344" s="3"/>
    </row>
    <row r="1345" spans="1:13" x14ac:dyDescent="0.3">
      <c r="A1345" s="3">
        <v>103</v>
      </c>
      <c r="B1345" s="3">
        <v>103</v>
      </c>
      <c r="C1345" s="4">
        <v>2125.3679999999999</v>
      </c>
      <c r="D1345" s="4">
        <v>2125.3000000000002</v>
      </c>
      <c r="E1345" s="4">
        <v>2125.4349999999999</v>
      </c>
      <c r="F1345" s="4"/>
      <c r="G1345" s="4"/>
      <c r="H1345" s="26" t="s">
        <v>2921</v>
      </c>
      <c r="I1345" s="4"/>
      <c r="J1345" s="6">
        <v>0</v>
      </c>
      <c r="K1345" s="29" t="s">
        <v>1767</v>
      </c>
      <c r="L1345" s="4"/>
      <c r="M1345" s="3"/>
    </row>
    <row r="1346" spans="1:13" x14ac:dyDescent="0.3">
      <c r="A1346" s="3">
        <v>103</v>
      </c>
      <c r="B1346" s="3">
        <v>103</v>
      </c>
      <c r="C1346" s="4">
        <v>2125.6350000000002</v>
      </c>
      <c r="D1346" s="4">
        <v>2125.4349999999999</v>
      </c>
      <c r="E1346" s="4">
        <v>2125.8339999999998</v>
      </c>
      <c r="F1346" s="4"/>
      <c r="G1346" s="4"/>
      <c r="H1346" s="25" t="s">
        <v>2922</v>
      </c>
      <c r="I1346" s="4"/>
      <c r="J1346" s="6">
        <v>0</v>
      </c>
      <c r="K1346" s="30" t="s">
        <v>1767</v>
      </c>
      <c r="L1346" s="4"/>
      <c r="M1346" s="3"/>
    </row>
    <row r="1347" spans="1:13" x14ac:dyDescent="0.3">
      <c r="A1347" s="3">
        <v>103</v>
      </c>
      <c r="B1347" s="3">
        <v>103</v>
      </c>
      <c r="C1347" s="4">
        <v>2126.223</v>
      </c>
      <c r="D1347" s="4">
        <v>2125.8339999999998</v>
      </c>
      <c r="E1347" s="4">
        <v>2126.6120000000001</v>
      </c>
      <c r="F1347" s="4"/>
      <c r="G1347" s="4"/>
      <c r="H1347" s="26" t="s">
        <v>2923</v>
      </c>
      <c r="I1347" s="4"/>
      <c r="J1347" s="6">
        <v>0</v>
      </c>
      <c r="K1347" s="29" t="s">
        <v>1767</v>
      </c>
      <c r="L1347" s="4"/>
      <c r="M1347" s="3"/>
    </row>
    <row r="1348" spans="1:13" x14ac:dyDescent="0.3">
      <c r="A1348" s="3">
        <v>103</v>
      </c>
      <c r="B1348" s="3">
        <v>103</v>
      </c>
      <c r="C1348" s="4">
        <v>2126.7330000000002</v>
      </c>
      <c r="D1348" s="4">
        <v>2126.6120000000001</v>
      </c>
      <c r="E1348" s="4">
        <v>2126.8539999999998</v>
      </c>
      <c r="F1348" s="4"/>
      <c r="G1348" s="4"/>
      <c r="H1348" s="25" t="s">
        <v>2924</v>
      </c>
      <c r="I1348" s="4"/>
      <c r="J1348" s="6">
        <v>0</v>
      </c>
      <c r="K1348" s="30" t="s">
        <v>1767</v>
      </c>
      <c r="L1348" s="4"/>
      <c r="M1348" s="3"/>
    </row>
    <row r="1349" spans="1:13" x14ac:dyDescent="0.3">
      <c r="A1349" s="3">
        <v>103</v>
      </c>
      <c r="B1349" s="3">
        <v>103</v>
      </c>
      <c r="C1349" s="4">
        <v>2127.4369999999999</v>
      </c>
      <c r="D1349" s="4">
        <v>2126.8539999999998</v>
      </c>
      <c r="E1349" s="4">
        <v>2128.02</v>
      </c>
      <c r="F1349" s="4"/>
      <c r="G1349" s="4"/>
      <c r="H1349" s="26" t="s">
        <v>2925</v>
      </c>
      <c r="I1349" s="4"/>
      <c r="J1349" s="6">
        <v>0</v>
      </c>
      <c r="K1349" s="29" t="s">
        <v>1767</v>
      </c>
      <c r="L1349" s="4"/>
      <c r="M1349" s="3"/>
    </row>
    <row r="1350" spans="1:13" x14ac:dyDescent="0.3">
      <c r="A1350" s="3">
        <v>103</v>
      </c>
      <c r="B1350" s="3">
        <v>103</v>
      </c>
      <c r="C1350" s="4">
        <v>2128.2660000000001</v>
      </c>
      <c r="D1350" s="4">
        <v>2128.02</v>
      </c>
      <c r="E1350" s="4">
        <v>2128.5120000000002</v>
      </c>
      <c r="F1350" s="4"/>
      <c r="G1350" s="4"/>
      <c r="H1350" s="25" t="s">
        <v>2926</v>
      </c>
      <c r="I1350" s="4"/>
      <c r="J1350" s="6">
        <v>0</v>
      </c>
      <c r="K1350" s="30" t="s">
        <v>1767</v>
      </c>
      <c r="L1350" s="4"/>
      <c r="M1350" s="3"/>
    </row>
    <row r="1351" spans="1:13" x14ac:dyDescent="0.3">
      <c r="A1351" s="3">
        <v>103</v>
      </c>
      <c r="B1351" s="3">
        <v>103</v>
      </c>
      <c r="C1351" s="4">
        <v>2128.89</v>
      </c>
      <c r="D1351" s="4">
        <v>2128.5120000000002</v>
      </c>
      <c r="E1351" s="4">
        <v>2129.268</v>
      </c>
      <c r="F1351" s="4"/>
      <c r="G1351" s="4"/>
      <c r="H1351" s="26" t="s">
        <v>2927</v>
      </c>
      <c r="I1351" s="4"/>
      <c r="J1351" s="6">
        <v>0</v>
      </c>
      <c r="K1351" s="29" t="s">
        <v>1767</v>
      </c>
      <c r="L1351" s="4"/>
      <c r="M1351" s="3"/>
    </row>
    <row r="1352" spans="1:13" x14ac:dyDescent="0.3">
      <c r="A1352" s="3">
        <v>103</v>
      </c>
      <c r="B1352" s="3">
        <v>103</v>
      </c>
      <c r="C1352" s="4">
        <v>2129.5</v>
      </c>
      <c r="D1352" s="4">
        <v>2129.268</v>
      </c>
      <c r="E1352" s="4">
        <v>2129.732</v>
      </c>
      <c r="F1352" s="4"/>
      <c r="G1352" s="4"/>
      <c r="H1352" s="25" t="s">
        <v>2928</v>
      </c>
      <c r="I1352" s="4"/>
      <c r="J1352" s="6">
        <v>0</v>
      </c>
      <c r="K1352" s="30" t="s">
        <v>1767</v>
      </c>
      <c r="L1352" s="4"/>
      <c r="M1352" s="3"/>
    </row>
    <row r="1353" spans="1:13" x14ac:dyDescent="0.3">
      <c r="A1353" s="3">
        <v>103</v>
      </c>
      <c r="B1353" s="3">
        <v>103</v>
      </c>
      <c r="C1353" s="4">
        <v>2130.009</v>
      </c>
      <c r="D1353" s="4">
        <v>2129.732</v>
      </c>
      <c r="E1353" s="4">
        <v>2130.2860000000001</v>
      </c>
      <c r="F1353" s="4"/>
      <c r="G1353" s="4"/>
      <c r="H1353" s="26" t="s">
        <v>2929</v>
      </c>
      <c r="I1353" s="4"/>
      <c r="J1353" s="6">
        <v>0</v>
      </c>
      <c r="K1353" s="29" t="s">
        <v>1767</v>
      </c>
      <c r="L1353" s="4"/>
      <c r="M1353" s="3"/>
    </row>
    <row r="1354" spans="1:13" x14ac:dyDescent="0.3">
      <c r="A1354" s="3">
        <v>103</v>
      </c>
      <c r="B1354" s="3">
        <v>103</v>
      </c>
      <c r="C1354" s="4">
        <v>2130.5189999999998</v>
      </c>
      <c r="D1354" s="4">
        <v>2130.2860000000001</v>
      </c>
      <c r="E1354" s="4">
        <v>2130.752</v>
      </c>
      <c r="F1354" s="4"/>
      <c r="G1354" s="4"/>
      <c r="H1354" s="25" t="s">
        <v>2930</v>
      </c>
      <c r="I1354" s="4"/>
      <c r="J1354" s="6">
        <v>0</v>
      </c>
      <c r="K1354" s="30" t="s">
        <v>1767</v>
      </c>
      <c r="L1354" s="4"/>
      <c r="M1354" s="3"/>
    </row>
    <row r="1355" spans="1:13" x14ac:dyDescent="0.3">
      <c r="A1355" s="3">
        <v>103</v>
      </c>
      <c r="B1355" s="3">
        <v>103</v>
      </c>
      <c r="C1355" s="4">
        <v>2131.27</v>
      </c>
      <c r="D1355" s="4">
        <v>2130.752</v>
      </c>
      <c r="E1355" s="4">
        <v>2131.788</v>
      </c>
      <c r="F1355" s="4"/>
      <c r="G1355" s="4"/>
      <c r="H1355" s="26" t="s">
        <v>2931</v>
      </c>
      <c r="I1355" s="4"/>
      <c r="J1355" s="6">
        <v>0</v>
      </c>
      <c r="K1355" s="29" t="s">
        <v>1767</v>
      </c>
      <c r="L1355" s="4"/>
      <c r="M1355" s="3"/>
    </row>
    <row r="1356" spans="1:13" x14ac:dyDescent="0.3">
      <c r="A1356" s="3">
        <v>103</v>
      </c>
      <c r="B1356" s="3">
        <v>103</v>
      </c>
      <c r="C1356" s="4">
        <v>2132.1039999999998</v>
      </c>
      <c r="D1356" s="4">
        <v>2131.788</v>
      </c>
      <c r="E1356" s="4">
        <v>2132.42</v>
      </c>
      <c r="F1356" s="4"/>
      <c r="G1356" s="4"/>
      <c r="H1356" s="25" t="s">
        <v>2932</v>
      </c>
      <c r="I1356" s="4"/>
      <c r="J1356" s="6">
        <v>0</v>
      </c>
      <c r="K1356" s="30" t="s">
        <v>1767</v>
      </c>
      <c r="L1356" s="4"/>
      <c r="M1356" s="3"/>
    </row>
    <row r="1357" spans="1:13" x14ac:dyDescent="0.3">
      <c r="A1357" s="3">
        <v>103</v>
      </c>
      <c r="B1357" s="3">
        <v>103</v>
      </c>
      <c r="C1357" s="4">
        <v>2132.6309999999999</v>
      </c>
      <c r="D1357" s="4">
        <v>2132.42</v>
      </c>
      <c r="E1357" s="4">
        <v>2132.8409999999999</v>
      </c>
      <c r="F1357" s="4"/>
      <c r="G1357" s="4"/>
      <c r="H1357" s="26" t="s">
        <v>2933</v>
      </c>
      <c r="I1357" s="4"/>
      <c r="J1357" s="6">
        <v>0</v>
      </c>
      <c r="K1357" s="29" t="s">
        <v>1767</v>
      </c>
      <c r="L1357" s="4"/>
      <c r="M1357" s="3"/>
    </row>
    <row r="1358" spans="1:13" x14ac:dyDescent="0.3">
      <c r="A1358" s="3">
        <v>103</v>
      </c>
      <c r="B1358" s="3">
        <v>103</v>
      </c>
      <c r="C1358" s="4">
        <v>2133.4459999999999</v>
      </c>
      <c r="D1358" s="4">
        <v>2132.8409999999999</v>
      </c>
      <c r="E1358" s="4">
        <v>2134.0500000000002</v>
      </c>
      <c r="F1358" s="4"/>
      <c r="G1358" s="4"/>
      <c r="H1358" s="25" t="s">
        <v>2934</v>
      </c>
      <c r="I1358" s="4"/>
      <c r="J1358" s="6">
        <v>0</v>
      </c>
      <c r="K1358" s="30" t="s">
        <v>1767</v>
      </c>
      <c r="L1358" s="4"/>
      <c r="M1358" s="3"/>
    </row>
    <row r="1359" spans="1:13" x14ac:dyDescent="0.3">
      <c r="A1359" s="3">
        <v>103</v>
      </c>
      <c r="B1359" s="3">
        <v>103</v>
      </c>
      <c r="C1359" s="4">
        <v>2134.1840000000002</v>
      </c>
      <c r="D1359" s="4">
        <v>2134.0500000000002</v>
      </c>
      <c r="E1359" s="4">
        <v>2134.317</v>
      </c>
      <c r="F1359" s="4"/>
      <c r="G1359" s="4"/>
      <c r="H1359" s="26" t="s">
        <v>2935</v>
      </c>
      <c r="I1359" s="4"/>
      <c r="J1359" s="6">
        <v>0</v>
      </c>
      <c r="K1359" s="29" t="s">
        <v>1767</v>
      </c>
      <c r="L1359" s="4"/>
      <c r="M1359" s="3"/>
    </row>
    <row r="1360" spans="1:13" x14ac:dyDescent="0.3">
      <c r="A1360" s="3">
        <v>103</v>
      </c>
      <c r="B1360" s="3">
        <v>103</v>
      </c>
      <c r="C1360" s="4">
        <v>2134.6170000000002</v>
      </c>
      <c r="D1360" s="4">
        <v>2134.317</v>
      </c>
      <c r="E1360" s="4">
        <v>2134.9169999999999</v>
      </c>
      <c r="F1360" s="4"/>
      <c r="G1360" s="4"/>
      <c r="H1360" s="25" t="s">
        <v>2936</v>
      </c>
      <c r="I1360" s="4"/>
      <c r="J1360" s="6">
        <v>0</v>
      </c>
      <c r="K1360" s="30" t="s">
        <v>1767</v>
      </c>
      <c r="L1360" s="4"/>
      <c r="M1360" s="3"/>
    </row>
    <row r="1361" spans="1:13" x14ac:dyDescent="0.3">
      <c r="A1361" s="3">
        <v>103</v>
      </c>
      <c r="B1361" s="3">
        <v>103</v>
      </c>
      <c r="C1361" s="4">
        <v>2135.2240000000002</v>
      </c>
      <c r="D1361" s="4">
        <v>2134.9169999999999</v>
      </c>
      <c r="E1361" s="4">
        <v>2135.5300000000002</v>
      </c>
      <c r="F1361" s="4"/>
      <c r="G1361" s="4"/>
      <c r="H1361" s="26" t="s">
        <v>2937</v>
      </c>
      <c r="I1361" s="4"/>
      <c r="J1361" s="6">
        <v>0</v>
      </c>
      <c r="K1361" s="29" t="s">
        <v>1767</v>
      </c>
      <c r="L1361" s="4"/>
      <c r="M1361" s="3"/>
    </row>
    <row r="1362" spans="1:13" x14ac:dyDescent="0.3">
      <c r="A1362" s="3">
        <v>103</v>
      </c>
      <c r="B1362" s="3">
        <v>103</v>
      </c>
      <c r="C1362" s="4">
        <v>2135.8910000000001</v>
      </c>
      <c r="D1362" s="4">
        <v>2135.5300000000002</v>
      </c>
      <c r="E1362" s="4">
        <v>2136.2510000000002</v>
      </c>
      <c r="F1362" s="4"/>
      <c r="G1362" s="4"/>
      <c r="H1362" s="25" t="s">
        <v>2938</v>
      </c>
      <c r="I1362" s="4"/>
      <c r="J1362" s="6">
        <v>0</v>
      </c>
      <c r="K1362" s="30" t="s">
        <v>1767</v>
      </c>
      <c r="L1362" s="4"/>
      <c r="M1362" s="3"/>
    </row>
    <row r="1363" spans="1:13" x14ac:dyDescent="0.3">
      <c r="A1363" s="3">
        <v>103</v>
      </c>
      <c r="B1363" s="3">
        <v>103</v>
      </c>
      <c r="C1363" s="4">
        <v>2136.721</v>
      </c>
      <c r="D1363" s="4">
        <v>2136.2510000000002</v>
      </c>
      <c r="E1363" s="4">
        <v>2137.1909999999998</v>
      </c>
      <c r="F1363" s="4"/>
      <c r="G1363" s="4"/>
      <c r="H1363" s="26" t="s">
        <v>2939</v>
      </c>
      <c r="I1363" s="4"/>
      <c r="J1363" s="6">
        <v>0</v>
      </c>
      <c r="K1363" s="29" t="s">
        <v>1767</v>
      </c>
      <c r="L1363" s="4"/>
      <c r="M1363" s="3"/>
    </row>
    <row r="1364" spans="1:13" x14ac:dyDescent="0.3">
      <c r="A1364" s="3">
        <v>103</v>
      </c>
      <c r="B1364" s="3">
        <v>103</v>
      </c>
      <c r="C1364" s="4">
        <v>2137.59</v>
      </c>
      <c r="D1364" s="4">
        <v>2137.1909999999998</v>
      </c>
      <c r="E1364" s="4">
        <v>2137.989</v>
      </c>
      <c r="F1364" s="4"/>
      <c r="G1364" s="4"/>
      <c r="H1364" s="25" t="s">
        <v>2940</v>
      </c>
      <c r="I1364" s="4"/>
      <c r="J1364" s="6">
        <v>0</v>
      </c>
      <c r="K1364" s="30" t="s">
        <v>1767</v>
      </c>
      <c r="L1364" s="4"/>
      <c r="M1364" s="3"/>
    </row>
    <row r="1365" spans="1:13" x14ac:dyDescent="0.3">
      <c r="A1365" s="3">
        <v>103</v>
      </c>
      <c r="B1365" s="3">
        <v>103</v>
      </c>
      <c r="C1365" s="4">
        <v>2138.6779999999999</v>
      </c>
      <c r="D1365" s="4">
        <v>2137.989</v>
      </c>
      <c r="E1365" s="4">
        <v>2139.366</v>
      </c>
      <c r="F1365" s="4"/>
      <c r="G1365" s="4"/>
      <c r="H1365" s="26" t="s">
        <v>2941</v>
      </c>
      <c r="I1365" s="4"/>
      <c r="J1365" s="6">
        <v>0</v>
      </c>
      <c r="K1365" s="29" t="s">
        <v>1767</v>
      </c>
      <c r="L1365" s="4"/>
      <c r="M1365" s="3"/>
    </row>
    <row r="1366" spans="1:13" x14ac:dyDescent="0.3">
      <c r="A1366" s="3">
        <v>103</v>
      </c>
      <c r="B1366" s="3">
        <v>103</v>
      </c>
      <c r="C1366" s="4">
        <v>2139.703</v>
      </c>
      <c r="D1366" s="4">
        <v>2139.366</v>
      </c>
      <c r="E1366" s="4">
        <v>2140.04</v>
      </c>
      <c r="F1366" s="4"/>
      <c r="G1366" s="4"/>
      <c r="H1366" s="25" t="s">
        <v>2942</v>
      </c>
      <c r="I1366" s="4"/>
      <c r="J1366" s="6">
        <v>0</v>
      </c>
      <c r="K1366" s="30" t="s">
        <v>1767</v>
      </c>
      <c r="L1366" s="4"/>
      <c r="M1366" s="3"/>
    </row>
    <row r="1367" spans="1:13" x14ac:dyDescent="0.3">
      <c r="A1367" s="3">
        <v>103</v>
      </c>
      <c r="B1367" s="3">
        <v>103</v>
      </c>
      <c r="C1367" s="4">
        <v>2140.4369999999999</v>
      </c>
      <c r="D1367" s="4">
        <v>2140.04</v>
      </c>
      <c r="E1367" s="4">
        <v>2140.8339999999998</v>
      </c>
      <c r="F1367" s="4"/>
      <c r="G1367" s="4"/>
      <c r="H1367" s="26" t="s">
        <v>2943</v>
      </c>
      <c r="I1367" s="4"/>
      <c r="J1367" s="6">
        <v>0</v>
      </c>
      <c r="K1367" s="29" t="s">
        <v>1767</v>
      </c>
      <c r="L1367" s="4"/>
      <c r="M1367" s="3"/>
    </row>
    <row r="1368" spans="1:13" x14ac:dyDescent="0.3">
      <c r="A1368" s="3">
        <v>103</v>
      </c>
      <c r="B1368" s="3">
        <v>103</v>
      </c>
      <c r="C1368" s="4">
        <v>2140.9090000000001</v>
      </c>
      <c r="D1368" s="4">
        <v>2140.8339999999998</v>
      </c>
      <c r="E1368" s="4">
        <v>2140.9830000000002</v>
      </c>
      <c r="F1368" s="4"/>
      <c r="G1368" s="4"/>
      <c r="H1368" s="25" t="s">
        <v>2944</v>
      </c>
      <c r="I1368" s="4"/>
      <c r="J1368" s="6">
        <v>0</v>
      </c>
      <c r="K1368" s="30" t="s">
        <v>1767</v>
      </c>
      <c r="L1368" s="4"/>
      <c r="M1368" s="3"/>
    </row>
    <row r="1369" spans="1:13" x14ac:dyDescent="0.3">
      <c r="A1369" s="3">
        <v>103</v>
      </c>
      <c r="B1369" s="3">
        <v>103</v>
      </c>
      <c r="C1369" s="4">
        <v>2141.2460000000001</v>
      </c>
      <c r="D1369" s="4">
        <v>2140.9830000000002</v>
      </c>
      <c r="E1369" s="4">
        <v>2141.509</v>
      </c>
      <c r="F1369" s="4"/>
      <c r="G1369" s="4"/>
      <c r="H1369" s="26" t="s">
        <v>2945</v>
      </c>
      <c r="I1369" s="4"/>
      <c r="J1369" s="6">
        <v>0</v>
      </c>
      <c r="K1369" s="29" t="s">
        <v>1767</v>
      </c>
      <c r="L1369" s="4"/>
      <c r="M1369" s="3"/>
    </row>
    <row r="1370" spans="1:13" x14ac:dyDescent="0.3">
      <c r="A1370" s="3">
        <v>103</v>
      </c>
      <c r="B1370" s="3">
        <v>103</v>
      </c>
      <c r="C1370" s="4">
        <v>2141.636</v>
      </c>
      <c r="D1370" s="4">
        <v>2141.509</v>
      </c>
      <c r="E1370" s="4">
        <v>2141.7629999999999</v>
      </c>
      <c r="F1370" s="4"/>
      <c r="G1370" s="4"/>
      <c r="H1370" s="25" t="s">
        <v>2946</v>
      </c>
      <c r="I1370" s="4"/>
      <c r="J1370" s="6">
        <v>0</v>
      </c>
      <c r="K1370" s="30" t="s">
        <v>1767</v>
      </c>
      <c r="L1370" s="4"/>
      <c r="M1370" s="3"/>
    </row>
    <row r="1371" spans="1:13" x14ac:dyDescent="0.3">
      <c r="A1371" s="3">
        <v>103</v>
      </c>
      <c r="B1371" s="3">
        <v>103</v>
      </c>
      <c r="C1371" s="4">
        <v>2142.1979999999999</v>
      </c>
      <c r="D1371" s="4">
        <v>2141.7629999999999</v>
      </c>
      <c r="E1371" s="4">
        <v>2142.6329999999998</v>
      </c>
      <c r="F1371" s="4"/>
      <c r="G1371" s="4"/>
      <c r="H1371" s="26" t="s">
        <v>2947</v>
      </c>
      <c r="I1371" s="4"/>
      <c r="J1371" s="6">
        <v>0</v>
      </c>
      <c r="K1371" s="29" t="s">
        <v>1767</v>
      </c>
      <c r="L1371" s="4"/>
      <c r="M1371" s="3"/>
    </row>
    <row r="1372" spans="1:13" x14ac:dyDescent="0.3">
      <c r="A1372" s="3">
        <v>103</v>
      </c>
      <c r="B1372" s="3">
        <v>103</v>
      </c>
      <c r="C1372" s="4">
        <v>2142.9659999999999</v>
      </c>
      <c r="D1372" s="4">
        <v>2142.6329999999998</v>
      </c>
      <c r="E1372" s="4">
        <v>2143.299</v>
      </c>
      <c r="F1372" s="4"/>
      <c r="G1372" s="4"/>
      <c r="H1372" s="25" t="s">
        <v>2948</v>
      </c>
      <c r="I1372" s="4"/>
      <c r="J1372" s="6">
        <v>0</v>
      </c>
      <c r="K1372" s="30" t="s">
        <v>1767</v>
      </c>
      <c r="L1372" s="4"/>
      <c r="M1372" s="3"/>
    </row>
    <row r="1373" spans="1:13" x14ac:dyDescent="0.3">
      <c r="A1373" s="3">
        <v>103</v>
      </c>
      <c r="B1373" s="3">
        <v>103</v>
      </c>
      <c r="C1373" s="4">
        <v>2143.614</v>
      </c>
      <c r="D1373" s="4">
        <v>2143.299</v>
      </c>
      <c r="E1373" s="4">
        <v>2143.9290000000001</v>
      </c>
      <c r="F1373" s="4"/>
      <c r="G1373" s="4"/>
      <c r="H1373" s="26" t="s">
        <v>2949</v>
      </c>
      <c r="I1373" s="4"/>
      <c r="J1373" s="6">
        <v>0</v>
      </c>
      <c r="K1373" s="29" t="s">
        <v>1767</v>
      </c>
      <c r="L1373" s="4"/>
      <c r="M1373" s="3"/>
    </row>
    <row r="1374" spans="1:13" x14ac:dyDescent="0.3">
      <c r="A1374" s="3">
        <v>103</v>
      </c>
      <c r="B1374" s="3">
        <v>103</v>
      </c>
      <c r="C1374" s="4">
        <v>2144.0279999999998</v>
      </c>
      <c r="D1374" s="4">
        <v>2143.9290000000001</v>
      </c>
      <c r="E1374" s="4">
        <v>2144.127</v>
      </c>
      <c r="F1374" s="4"/>
      <c r="G1374" s="4"/>
      <c r="H1374" s="25" t="s">
        <v>2950</v>
      </c>
      <c r="I1374" s="4"/>
      <c r="J1374" s="6">
        <v>0</v>
      </c>
      <c r="K1374" s="30" t="s">
        <v>1767</v>
      </c>
      <c r="L1374" s="4"/>
      <c r="M1374" s="3"/>
    </row>
    <row r="1375" spans="1:13" x14ac:dyDescent="0.3">
      <c r="A1375" s="3">
        <v>103</v>
      </c>
      <c r="B1375" s="3">
        <v>103</v>
      </c>
      <c r="C1375" s="4">
        <v>2144.3220000000001</v>
      </c>
      <c r="D1375" s="4">
        <v>2144.127</v>
      </c>
      <c r="E1375" s="4">
        <v>2144.5169999999998</v>
      </c>
      <c r="F1375" s="4"/>
      <c r="G1375" s="4"/>
      <c r="H1375" s="26" t="s">
        <v>2951</v>
      </c>
      <c r="I1375" s="4"/>
      <c r="J1375" s="6">
        <v>0</v>
      </c>
      <c r="K1375" s="29" t="s">
        <v>1767</v>
      </c>
      <c r="L1375" s="4"/>
      <c r="M1375" s="3"/>
    </row>
    <row r="1376" spans="1:13" x14ac:dyDescent="0.3">
      <c r="A1376" s="3">
        <v>103</v>
      </c>
      <c r="B1376" s="3">
        <v>103</v>
      </c>
      <c r="C1376" s="4">
        <v>2144.5340000000001</v>
      </c>
      <c r="D1376" s="4">
        <v>2144.5169999999998</v>
      </c>
      <c r="E1376" s="4">
        <v>2144.5500000000002</v>
      </c>
      <c r="F1376" s="4"/>
      <c r="G1376" s="4"/>
      <c r="H1376" s="25" t="s">
        <v>2952</v>
      </c>
      <c r="I1376" s="4"/>
      <c r="J1376" s="6">
        <v>0</v>
      </c>
      <c r="K1376" s="30" t="s">
        <v>1767</v>
      </c>
      <c r="L1376" s="4"/>
      <c r="M1376" s="3"/>
    </row>
    <row r="1377" spans="1:13" x14ac:dyDescent="0.3">
      <c r="A1377" s="3">
        <v>103</v>
      </c>
      <c r="B1377" s="3">
        <v>103</v>
      </c>
      <c r="C1377" s="4">
        <v>2144.7750000000001</v>
      </c>
      <c r="D1377" s="4">
        <v>2144.5500000000002</v>
      </c>
      <c r="E1377" s="4">
        <v>2144.9989999999998</v>
      </c>
      <c r="F1377" s="4"/>
      <c r="G1377" s="4"/>
      <c r="H1377" s="26" t="s">
        <v>2953</v>
      </c>
      <c r="I1377" s="4"/>
      <c r="J1377" s="6">
        <v>0</v>
      </c>
      <c r="K1377" s="29" t="s">
        <v>1767</v>
      </c>
      <c r="L1377" s="4"/>
      <c r="M1377" s="3"/>
    </row>
    <row r="1378" spans="1:13" x14ac:dyDescent="0.3">
      <c r="A1378" s="3">
        <v>103</v>
      </c>
      <c r="B1378" s="3">
        <v>103</v>
      </c>
      <c r="C1378" s="4">
        <v>2145.42</v>
      </c>
      <c r="D1378" s="4">
        <v>2144.9989999999998</v>
      </c>
      <c r="E1378" s="4">
        <v>2145.84</v>
      </c>
      <c r="F1378" s="4"/>
      <c r="G1378" s="4"/>
      <c r="H1378" s="25" t="s">
        <v>2954</v>
      </c>
      <c r="I1378" s="4"/>
      <c r="J1378" s="6">
        <v>0</v>
      </c>
      <c r="K1378" s="30" t="s">
        <v>1767</v>
      </c>
      <c r="L1378" s="4"/>
      <c r="M1378" s="3"/>
    </row>
    <row r="1379" spans="1:13" x14ac:dyDescent="0.3">
      <c r="A1379" s="3">
        <v>103</v>
      </c>
      <c r="B1379" s="3">
        <v>103</v>
      </c>
      <c r="C1379" s="4">
        <v>2146.2150000000001</v>
      </c>
      <c r="D1379" s="4">
        <v>2145.84</v>
      </c>
      <c r="E1379" s="4">
        <v>2146.59</v>
      </c>
      <c r="F1379" s="4"/>
      <c r="G1379" s="4"/>
      <c r="H1379" s="26" t="s">
        <v>2955</v>
      </c>
      <c r="I1379" s="4"/>
      <c r="J1379" s="6">
        <v>0</v>
      </c>
      <c r="K1379" s="29" t="s">
        <v>1767</v>
      </c>
      <c r="L1379" s="4"/>
      <c r="M1379" s="3"/>
    </row>
    <row r="1380" spans="1:13" x14ac:dyDescent="0.3">
      <c r="A1380" s="3">
        <v>103</v>
      </c>
      <c r="B1380" s="3">
        <v>103</v>
      </c>
      <c r="C1380" s="4">
        <v>2146.6759999999999</v>
      </c>
      <c r="D1380" s="4">
        <v>2146.59</v>
      </c>
      <c r="E1380" s="4">
        <v>2146.7620000000002</v>
      </c>
      <c r="F1380" s="4"/>
      <c r="G1380" s="4"/>
      <c r="H1380" s="25" t="s">
        <v>2956</v>
      </c>
      <c r="I1380" s="4"/>
      <c r="J1380" s="6">
        <v>0</v>
      </c>
      <c r="K1380" s="30" t="s">
        <v>1767</v>
      </c>
      <c r="L1380" s="4"/>
      <c r="M1380" s="3"/>
    </row>
    <row r="1381" spans="1:13" x14ac:dyDescent="0.3">
      <c r="A1381" s="3">
        <v>103</v>
      </c>
      <c r="B1381" s="3">
        <v>103</v>
      </c>
      <c r="C1381" s="4">
        <v>2146.982</v>
      </c>
      <c r="D1381" s="4">
        <v>2146.7620000000002</v>
      </c>
      <c r="E1381" s="4">
        <v>2147.201</v>
      </c>
      <c r="F1381" s="4"/>
      <c r="G1381" s="4"/>
      <c r="H1381" s="26" t="s">
        <v>2957</v>
      </c>
      <c r="I1381" s="4"/>
      <c r="J1381" s="6">
        <v>0</v>
      </c>
      <c r="K1381" s="29" t="s">
        <v>1767</v>
      </c>
      <c r="L1381" s="4"/>
      <c r="M1381" s="3"/>
    </row>
    <row r="1382" spans="1:13" x14ac:dyDescent="0.3">
      <c r="A1382" s="3">
        <v>103</v>
      </c>
      <c r="B1382" s="3">
        <v>103</v>
      </c>
      <c r="C1382" s="4">
        <v>2147.2669999999998</v>
      </c>
      <c r="D1382" s="4">
        <v>2147.201</v>
      </c>
      <c r="E1382" s="4">
        <v>2147.3319999999999</v>
      </c>
      <c r="F1382" s="4"/>
      <c r="G1382" s="4"/>
      <c r="H1382" s="25" t="s">
        <v>2958</v>
      </c>
      <c r="I1382" s="4"/>
      <c r="J1382" s="6">
        <v>0</v>
      </c>
      <c r="K1382" s="30" t="s">
        <v>1767</v>
      </c>
      <c r="L1382" s="4"/>
      <c r="M1382" s="3"/>
    </row>
    <row r="1383" spans="1:13" x14ac:dyDescent="0.3">
      <c r="A1383" s="3">
        <v>103</v>
      </c>
      <c r="B1383" s="3">
        <v>103</v>
      </c>
      <c r="C1383" s="4">
        <v>2147.6759999999999</v>
      </c>
      <c r="D1383" s="4">
        <v>2147.3319999999999</v>
      </c>
      <c r="E1383" s="4">
        <v>2148.02</v>
      </c>
      <c r="F1383" s="4"/>
      <c r="G1383" s="4"/>
      <c r="H1383" s="26" t="s">
        <v>2959</v>
      </c>
      <c r="I1383" s="4"/>
      <c r="J1383" s="6">
        <v>0</v>
      </c>
      <c r="K1383" s="29" t="s">
        <v>1767</v>
      </c>
      <c r="L1383" s="4"/>
      <c r="M1383" s="3"/>
    </row>
    <row r="1384" spans="1:13" x14ac:dyDescent="0.3">
      <c r="A1384" s="3">
        <v>103</v>
      </c>
      <c r="B1384" s="3">
        <v>103</v>
      </c>
      <c r="C1384" s="4">
        <v>2148.1120000000001</v>
      </c>
      <c r="D1384" s="4">
        <v>2148.02</v>
      </c>
      <c r="E1384" s="4">
        <v>2148.2040000000002</v>
      </c>
      <c r="F1384" s="4"/>
      <c r="G1384" s="4"/>
      <c r="H1384" s="25" t="s">
        <v>2960</v>
      </c>
      <c r="I1384" s="4"/>
      <c r="J1384" s="6">
        <v>0</v>
      </c>
      <c r="K1384" s="30" t="s">
        <v>1767</v>
      </c>
      <c r="L1384" s="4"/>
      <c r="M1384" s="3"/>
    </row>
    <row r="1385" spans="1:13" x14ac:dyDescent="0.3">
      <c r="A1385" s="3">
        <v>103</v>
      </c>
      <c r="B1385" s="3">
        <v>103</v>
      </c>
      <c r="C1385" s="4">
        <v>2148.5169999999998</v>
      </c>
      <c r="D1385" s="4">
        <v>2148.2040000000002</v>
      </c>
      <c r="E1385" s="4">
        <v>2148.8290000000002</v>
      </c>
      <c r="F1385" s="4"/>
      <c r="G1385" s="4"/>
      <c r="H1385" s="26" t="s">
        <v>2961</v>
      </c>
      <c r="I1385" s="4"/>
      <c r="J1385" s="6">
        <v>0</v>
      </c>
      <c r="K1385" s="29" t="s">
        <v>1767</v>
      </c>
      <c r="L1385" s="4"/>
      <c r="M1385" s="3"/>
    </row>
    <row r="1386" spans="1:13" x14ac:dyDescent="0.3">
      <c r="A1386" s="3">
        <v>103</v>
      </c>
      <c r="B1386" s="3">
        <v>103</v>
      </c>
      <c r="C1386" s="4">
        <v>2148.9140000000002</v>
      </c>
      <c r="D1386" s="4">
        <v>2148.8290000000002</v>
      </c>
      <c r="E1386" s="4">
        <v>2148.998</v>
      </c>
      <c r="F1386" s="4"/>
      <c r="G1386" s="4"/>
      <c r="H1386" s="25" t="s">
        <v>2962</v>
      </c>
      <c r="I1386" s="4"/>
      <c r="J1386" s="6">
        <v>0</v>
      </c>
      <c r="K1386" s="30" t="s">
        <v>1767</v>
      </c>
      <c r="L1386" s="4"/>
      <c r="M1386" s="3"/>
    </row>
    <row r="1387" spans="1:13" x14ac:dyDescent="0.3">
      <c r="A1387" s="3">
        <v>103</v>
      </c>
      <c r="B1387" s="3">
        <v>103</v>
      </c>
      <c r="C1387" s="4">
        <v>2149.17</v>
      </c>
      <c r="D1387" s="4">
        <v>2148.998</v>
      </c>
      <c r="E1387" s="4">
        <v>2149.3420000000001</v>
      </c>
      <c r="F1387" s="4"/>
      <c r="G1387" s="4"/>
      <c r="H1387" s="26" t="s">
        <v>2963</v>
      </c>
      <c r="I1387" s="4"/>
      <c r="J1387" s="6">
        <v>0</v>
      </c>
      <c r="K1387" s="29" t="s">
        <v>1767</v>
      </c>
      <c r="L1387" s="4"/>
      <c r="M1387" s="3"/>
    </row>
    <row r="1388" spans="1:13" x14ac:dyDescent="0.3">
      <c r="A1388" s="3">
        <v>103</v>
      </c>
      <c r="B1388" s="3">
        <v>103</v>
      </c>
      <c r="C1388" s="4">
        <v>2149.6869999999999</v>
      </c>
      <c r="D1388" s="4">
        <v>2149.3420000000001</v>
      </c>
      <c r="E1388" s="4">
        <v>2150.0320000000002</v>
      </c>
      <c r="F1388" s="4"/>
      <c r="G1388" s="4"/>
      <c r="H1388" s="25" t="s">
        <v>2964</v>
      </c>
      <c r="I1388" s="4"/>
      <c r="J1388" s="6">
        <v>0</v>
      </c>
      <c r="K1388" s="30" t="s">
        <v>1767</v>
      </c>
      <c r="L1388" s="4"/>
      <c r="M1388" s="3"/>
    </row>
    <row r="1389" spans="1:13" x14ac:dyDescent="0.3">
      <c r="A1389" s="3">
        <v>103</v>
      </c>
      <c r="B1389" s="3">
        <v>103</v>
      </c>
      <c r="C1389" s="4">
        <v>2150.4720000000002</v>
      </c>
      <c r="D1389" s="4">
        <v>2150.0320000000002</v>
      </c>
      <c r="E1389" s="4">
        <v>2150.9110000000001</v>
      </c>
      <c r="F1389" s="4"/>
      <c r="G1389" s="4"/>
      <c r="H1389" s="26" t="s">
        <v>2965</v>
      </c>
      <c r="I1389" s="4"/>
      <c r="J1389" s="6">
        <v>0</v>
      </c>
      <c r="K1389" s="29" t="s">
        <v>1767</v>
      </c>
      <c r="L1389" s="4"/>
      <c r="M1389" s="3"/>
    </row>
    <row r="1390" spans="1:13" x14ac:dyDescent="0.3">
      <c r="A1390" s="3">
        <v>103</v>
      </c>
      <c r="B1390" s="3">
        <v>103</v>
      </c>
      <c r="C1390" s="4">
        <v>2150.9720000000002</v>
      </c>
      <c r="D1390" s="4">
        <v>2150.9110000000001</v>
      </c>
      <c r="E1390" s="4">
        <v>2151.0320000000002</v>
      </c>
      <c r="F1390" s="4"/>
      <c r="G1390" s="4"/>
      <c r="H1390" s="25" t="s">
        <v>2966</v>
      </c>
      <c r="I1390" s="4"/>
      <c r="J1390" s="6">
        <v>0</v>
      </c>
      <c r="K1390" s="30" t="s">
        <v>1767</v>
      </c>
      <c r="L1390" s="4"/>
      <c r="M1390" s="3"/>
    </row>
    <row r="1391" spans="1:13" x14ac:dyDescent="0.3">
      <c r="A1391" s="3">
        <v>103</v>
      </c>
      <c r="B1391" s="3">
        <v>103</v>
      </c>
      <c r="C1391" s="4">
        <v>2151.348</v>
      </c>
      <c r="D1391" s="4">
        <v>2151.0320000000002</v>
      </c>
      <c r="E1391" s="4">
        <v>2151.663</v>
      </c>
      <c r="F1391" s="4"/>
      <c r="G1391" s="4"/>
      <c r="H1391" s="26" t="s">
        <v>2967</v>
      </c>
      <c r="I1391" s="4"/>
      <c r="J1391" s="6">
        <v>0</v>
      </c>
      <c r="K1391" s="29" t="s">
        <v>1767</v>
      </c>
      <c r="L1391" s="4"/>
      <c r="M1391" s="3"/>
    </row>
    <row r="1392" spans="1:13" x14ac:dyDescent="0.3">
      <c r="A1392" s="3">
        <v>103</v>
      </c>
      <c r="B1392" s="3">
        <v>103</v>
      </c>
      <c r="C1392" s="4">
        <v>2152.1979999999999</v>
      </c>
      <c r="D1392" s="4">
        <v>2151.663</v>
      </c>
      <c r="E1392" s="4">
        <v>2152.7330000000002</v>
      </c>
      <c r="F1392" s="4"/>
      <c r="G1392" s="4"/>
      <c r="H1392" s="25" t="s">
        <v>2968</v>
      </c>
      <c r="I1392" s="4"/>
      <c r="J1392" s="6">
        <v>0</v>
      </c>
      <c r="K1392" s="30" t="s">
        <v>1767</v>
      </c>
      <c r="L1392" s="4"/>
      <c r="M1392" s="3"/>
    </row>
    <row r="1393" spans="1:13" x14ac:dyDescent="0.3">
      <c r="A1393" s="3">
        <v>103</v>
      </c>
      <c r="B1393" s="3">
        <v>103</v>
      </c>
      <c r="C1393" s="4">
        <v>2152.9490000000001</v>
      </c>
      <c r="D1393" s="4">
        <v>2152.7330000000002</v>
      </c>
      <c r="E1393" s="4">
        <v>2153.165</v>
      </c>
      <c r="F1393" s="4"/>
      <c r="G1393" s="4"/>
      <c r="H1393" s="26" t="s">
        <v>2969</v>
      </c>
      <c r="I1393" s="4"/>
      <c r="J1393" s="6">
        <v>0</v>
      </c>
      <c r="K1393" s="29" t="s">
        <v>1767</v>
      </c>
      <c r="L1393" s="4"/>
      <c r="M1393" s="3"/>
    </row>
    <row r="1394" spans="1:13" x14ac:dyDescent="0.3">
      <c r="A1394" s="3">
        <v>103</v>
      </c>
      <c r="B1394" s="3">
        <v>103</v>
      </c>
      <c r="C1394" s="4">
        <v>2153.4780000000001</v>
      </c>
      <c r="D1394" s="4">
        <v>2153.165</v>
      </c>
      <c r="E1394" s="4">
        <v>2153.79</v>
      </c>
      <c r="F1394" s="4"/>
      <c r="G1394" s="4"/>
      <c r="H1394" s="25" t="s">
        <v>2970</v>
      </c>
      <c r="I1394" s="4"/>
      <c r="J1394" s="6">
        <v>0</v>
      </c>
      <c r="K1394" s="30" t="s">
        <v>1767</v>
      </c>
      <c r="L1394" s="4"/>
      <c r="M1394" s="3"/>
    </row>
    <row r="1395" spans="1:13" x14ac:dyDescent="0.3">
      <c r="A1395" s="3">
        <v>103</v>
      </c>
      <c r="B1395" s="3">
        <v>103</v>
      </c>
      <c r="C1395" s="4">
        <v>2154.0129999999999</v>
      </c>
      <c r="D1395" s="4">
        <v>2153.79</v>
      </c>
      <c r="E1395" s="4">
        <v>2154.2359999999999</v>
      </c>
      <c r="F1395" s="4"/>
      <c r="G1395" s="4"/>
      <c r="H1395" s="26" t="s">
        <v>2971</v>
      </c>
      <c r="I1395" s="4"/>
      <c r="J1395" s="6">
        <v>0</v>
      </c>
      <c r="K1395" s="29" t="s">
        <v>1767</v>
      </c>
      <c r="L1395" s="4"/>
      <c r="M1395" s="3"/>
    </row>
    <row r="1396" spans="1:13" x14ac:dyDescent="0.3">
      <c r="A1396" s="3">
        <v>103</v>
      </c>
      <c r="B1396" s="3">
        <v>103</v>
      </c>
      <c r="C1396" s="4">
        <v>2154.3760000000002</v>
      </c>
      <c r="D1396" s="4">
        <v>2154.2359999999999</v>
      </c>
      <c r="E1396" s="4">
        <v>2154.5149999999999</v>
      </c>
      <c r="F1396" s="4"/>
      <c r="G1396" s="4"/>
      <c r="H1396" s="25" t="s">
        <v>2972</v>
      </c>
      <c r="I1396" s="4"/>
      <c r="J1396" s="6">
        <v>0</v>
      </c>
      <c r="K1396" s="30" t="s">
        <v>1767</v>
      </c>
      <c r="L1396" s="4"/>
      <c r="M1396" s="3"/>
    </row>
    <row r="1397" spans="1:13" x14ac:dyDescent="0.3">
      <c r="A1397" s="3">
        <v>103</v>
      </c>
      <c r="B1397" s="3">
        <v>103</v>
      </c>
      <c r="C1397" s="4">
        <v>2154.8130000000001</v>
      </c>
      <c r="D1397" s="4">
        <v>2154.5149999999999</v>
      </c>
      <c r="E1397" s="4">
        <v>2155.11</v>
      </c>
      <c r="F1397" s="4"/>
      <c r="G1397" s="4"/>
      <c r="H1397" s="26" t="s">
        <v>2973</v>
      </c>
      <c r="I1397" s="4"/>
      <c r="J1397" s="6">
        <v>0</v>
      </c>
      <c r="K1397" s="29" t="s">
        <v>1767</v>
      </c>
      <c r="L1397" s="4"/>
      <c r="M1397" s="3"/>
    </row>
    <row r="1398" spans="1:13" x14ac:dyDescent="0.3">
      <c r="A1398" s="3">
        <v>103</v>
      </c>
      <c r="B1398" s="3">
        <v>103</v>
      </c>
      <c r="C1398" s="4">
        <v>2155.38</v>
      </c>
      <c r="D1398" s="4">
        <v>2155.11</v>
      </c>
      <c r="E1398" s="4">
        <v>2155.6489999999999</v>
      </c>
      <c r="F1398" s="4"/>
      <c r="G1398" s="4"/>
      <c r="H1398" s="25" t="s">
        <v>2974</v>
      </c>
      <c r="I1398" s="4"/>
      <c r="J1398" s="6">
        <v>0</v>
      </c>
      <c r="K1398" s="30" t="s">
        <v>1767</v>
      </c>
      <c r="L1398" s="4"/>
      <c r="M1398" s="3"/>
    </row>
    <row r="1399" spans="1:13" x14ac:dyDescent="0.3">
      <c r="A1399" s="3">
        <v>103</v>
      </c>
      <c r="B1399" s="3">
        <v>103</v>
      </c>
      <c r="C1399" s="4">
        <v>2156.0859999999998</v>
      </c>
      <c r="D1399" s="4">
        <v>2155.6489999999999</v>
      </c>
      <c r="E1399" s="4">
        <v>2156.5219999999999</v>
      </c>
      <c r="F1399" s="4"/>
      <c r="G1399" s="4"/>
      <c r="H1399" s="26" t="s">
        <v>2975</v>
      </c>
      <c r="I1399" s="4"/>
      <c r="J1399" s="6">
        <v>0</v>
      </c>
      <c r="K1399" s="29" t="s">
        <v>1767</v>
      </c>
      <c r="L1399" s="4"/>
      <c r="M1399" s="3"/>
    </row>
    <row r="1400" spans="1:13" x14ac:dyDescent="0.3">
      <c r="A1400" s="3">
        <v>103</v>
      </c>
      <c r="B1400" s="3">
        <v>103</v>
      </c>
      <c r="C1400" s="4">
        <v>2156.616</v>
      </c>
      <c r="D1400" s="4">
        <v>2156.5219999999999</v>
      </c>
      <c r="E1400" s="4">
        <v>2156.7089999999998</v>
      </c>
      <c r="F1400" s="4"/>
      <c r="G1400" s="4"/>
      <c r="H1400" s="25" t="s">
        <v>2976</v>
      </c>
      <c r="I1400" s="4"/>
      <c r="J1400" s="6">
        <v>0</v>
      </c>
      <c r="K1400" s="30" t="s">
        <v>1767</v>
      </c>
      <c r="L1400" s="4"/>
      <c r="M1400" s="3"/>
    </row>
    <row r="1401" spans="1:13" x14ac:dyDescent="0.3">
      <c r="A1401" s="3">
        <v>103</v>
      </c>
      <c r="B1401" s="3">
        <v>103</v>
      </c>
      <c r="C1401" s="4">
        <v>2157.1529999999998</v>
      </c>
      <c r="D1401" s="4">
        <v>2156.7089999999998</v>
      </c>
      <c r="E1401" s="4">
        <v>2157.596</v>
      </c>
      <c r="F1401" s="4"/>
      <c r="G1401" s="4"/>
      <c r="H1401" s="26" t="s">
        <v>2977</v>
      </c>
      <c r="I1401" s="4"/>
      <c r="J1401" s="6">
        <v>0</v>
      </c>
      <c r="K1401" s="29" t="s">
        <v>1767</v>
      </c>
      <c r="L1401" s="4"/>
      <c r="M1401" s="3"/>
    </row>
    <row r="1402" spans="1:13" x14ac:dyDescent="0.3">
      <c r="A1402" s="3">
        <v>103</v>
      </c>
      <c r="B1402" s="3">
        <v>103</v>
      </c>
      <c r="C1402" s="4">
        <v>2157.6930000000002</v>
      </c>
      <c r="D1402" s="4">
        <v>2157.596</v>
      </c>
      <c r="E1402" s="4">
        <v>2157.7890000000002</v>
      </c>
      <c r="F1402" s="4"/>
      <c r="G1402" s="4"/>
      <c r="H1402" s="25" t="s">
        <v>2978</v>
      </c>
      <c r="I1402" s="4"/>
      <c r="J1402" s="6">
        <v>0</v>
      </c>
      <c r="K1402" s="30" t="s">
        <v>1767</v>
      </c>
      <c r="L1402" s="4"/>
      <c r="M1402" s="3"/>
    </row>
    <row r="1403" spans="1:13" x14ac:dyDescent="0.3">
      <c r="A1403" s="3">
        <v>103</v>
      </c>
      <c r="B1403" s="3">
        <v>103</v>
      </c>
      <c r="C1403" s="4">
        <v>2158.0349999999999</v>
      </c>
      <c r="D1403" s="4">
        <v>2157.7890000000002</v>
      </c>
      <c r="E1403" s="4">
        <v>2158.2809999999999</v>
      </c>
      <c r="F1403" s="4"/>
      <c r="G1403" s="4"/>
      <c r="H1403" s="26" t="s">
        <v>2979</v>
      </c>
      <c r="I1403" s="4"/>
      <c r="J1403" s="6">
        <v>0</v>
      </c>
      <c r="K1403" s="29" t="s">
        <v>1767</v>
      </c>
      <c r="L1403" s="4"/>
      <c r="M1403" s="3"/>
    </row>
    <row r="1404" spans="1:13" x14ac:dyDescent="0.3">
      <c r="A1404" s="3">
        <v>103</v>
      </c>
      <c r="B1404" s="3">
        <v>103</v>
      </c>
      <c r="C1404" s="4">
        <v>2158.4630000000002</v>
      </c>
      <c r="D1404" s="4">
        <v>2158.2809999999999</v>
      </c>
      <c r="E1404" s="4">
        <v>2158.645</v>
      </c>
      <c r="F1404" s="4"/>
      <c r="G1404" s="4"/>
      <c r="H1404" s="25" t="s">
        <v>2980</v>
      </c>
      <c r="I1404" s="4"/>
      <c r="J1404" s="6">
        <v>0</v>
      </c>
      <c r="K1404" s="30" t="s">
        <v>1767</v>
      </c>
      <c r="L1404" s="4"/>
      <c r="M1404" s="3"/>
    </row>
    <row r="1405" spans="1:13" x14ac:dyDescent="0.3">
      <c r="A1405" s="3">
        <v>103</v>
      </c>
      <c r="B1405" s="3">
        <v>103</v>
      </c>
      <c r="C1405" s="4">
        <v>2158.8939999999998</v>
      </c>
      <c r="D1405" s="4">
        <v>2158.645</v>
      </c>
      <c r="E1405" s="4">
        <v>2159.143</v>
      </c>
      <c r="F1405" s="4"/>
      <c r="G1405" s="4"/>
      <c r="H1405" s="26" t="s">
        <v>2981</v>
      </c>
      <c r="I1405" s="4"/>
      <c r="J1405" s="6">
        <v>0</v>
      </c>
      <c r="K1405" s="29" t="s">
        <v>1767</v>
      </c>
      <c r="L1405" s="4"/>
      <c r="M1405" s="3"/>
    </row>
    <row r="1406" spans="1:13" x14ac:dyDescent="0.3">
      <c r="A1406" s="3">
        <v>103</v>
      </c>
      <c r="B1406" s="3">
        <v>103</v>
      </c>
      <c r="C1406" s="4">
        <v>2159.364</v>
      </c>
      <c r="D1406" s="4">
        <v>2159.143</v>
      </c>
      <c r="E1406" s="4">
        <v>2159.585</v>
      </c>
      <c r="F1406" s="4"/>
      <c r="G1406" s="4"/>
      <c r="H1406" s="25" t="s">
        <v>2982</v>
      </c>
      <c r="I1406" s="4"/>
      <c r="J1406" s="6">
        <v>0</v>
      </c>
      <c r="K1406" s="30" t="s">
        <v>1767</v>
      </c>
      <c r="L1406" s="4"/>
      <c r="M1406" s="3"/>
    </row>
    <row r="1407" spans="1:13" x14ac:dyDescent="0.3">
      <c r="A1407" s="3">
        <v>103</v>
      </c>
      <c r="B1407" s="3">
        <v>103</v>
      </c>
      <c r="C1407" s="4">
        <v>2159.953</v>
      </c>
      <c r="D1407" s="4">
        <v>2159.585</v>
      </c>
      <c r="E1407" s="4">
        <v>2160.3200000000002</v>
      </c>
      <c r="F1407" s="4"/>
      <c r="G1407" s="4"/>
      <c r="H1407" s="26" t="s">
        <v>2983</v>
      </c>
      <c r="I1407" s="4"/>
      <c r="J1407" s="6">
        <v>0</v>
      </c>
      <c r="K1407" s="29" t="s">
        <v>1767</v>
      </c>
      <c r="L1407" s="4"/>
      <c r="M1407" s="3"/>
    </row>
    <row r="1408" spans="1:13" x14ac:dyDescent="0.3">
      <c r="A1408" s="3">
        <v>103</v>
      </c>
      <c r="B1408" s="3">
        <v>103</v>
      </c>
      <c r="C1408" s="4">
        <v>2160.3359999999998</v>
      </c>
      <c r="D1408" s="4">
        <v>2160.3200000000002</v>
      </c>
      <c r="E1408" s="4">
        <v>2160.3510000000001</v>
      </c>
      <c r="F1408" s="4"/>
      <c r="G1408" s="4"/>
      <c r="H1408" s="25" t="s">
        <v>2984</v>
      </c>
      <c r="I1408" s="4"/>
      <c r="J1408" s="6">
        <v>0</v>
      </c>
      <c r="K1408" s="30" t="s">
        <v>1767</v>
      </c>
      <c r="L1408" s="4"/>
      <c r="M1408" s="3"/>
    </row>
    <row r="1409" spans="1:13" x14ac:dyDescent="0.3">
      <c r="A1409" s="3">
        <v>103</v>
      </c>
      <c r="B1409" s="3">
        <v>103</v>
      </c>
      <c r="C1409" s="4">
        <v>2160.7559999999999</v>
      </c>
      <c r="D1409" s="4">
        <v>2160.3510000000001</v>
      </c>
      <c r="E1409" s="4">
        <v>2161.16</v>
      </c>
      <c r="F1409" s="4"/>
      <c r="G1409" s="4"/>
      <c r="H1409" s="26" t="s">
        <v>2985</v>
      </c>
      <c r="I1409" s="4"/>
      <c r="J1409" s="6">
        <v>0</v>
      </c>
      <c r="K1409" s="29" t="s">
        <v>1767</v>
      </c>
      <c r="L1409" s="4"/>
      <c r="M1409" s="3"/>
    </row>
    <row r="1410" spans="1:13" x14ac:dyDescent="0.3">
      <c r="A1410" s="3">
        <v>103</v>
      </c>
      <c r="B1410" s="3">
        <v>103</v>
      </c>
      <c r="C1410" s="4">
        <v>2161.616</v>
      </c>
      <c r="D1410" s="4">
        <v>2161.16</v>
      </c>
      <c r="E1410" s="4">
        <v>2162.0709999999999</v>
      </c>
      <c r="F1410" s="4"/>
      <c r="G1410" s="4"/>
      <c r="H1410" s="25" t="s">
        <v>2986</v>
      </c>
      <c r="I1410" s="4"/>
      <c r="J1410" s="6">
        <v>0</v>
      </c>
      <c r="K1410" s="30" t="s">
        <v>1767</v>
      </c>
      <c r="L1410" s="4"/>
      <c r="M1410" s="3"/>
    </row>
    <row r="1411" spans="1:13" x14ac:dyDescent="0.3">
      <c r="A1411" s="3">
        <v>103</v>
      </c>
      <c r="B1411" s="3">
        <v>103</v>
      </c>
      <c r="C1411" s="4">
        <v>2162.2689999999998</v>
      </c>
      <c r="D1411" s="4">
        <v>2162.0709999999999</v>
      </c>
      <c r="E1411" s="4">
        <v>2162.4659999999999</v>
      </c>
      <c r="F1411" s="4"/>
      <c r="G1411" s="4"/>
      <c r="H1411" s="26" t="s">
        <v>2987</v>
      </c>
      <c r="I1411" s="4"/>
      <c r="J1411" s="6">
        <v>0</v>
      </c>
      <c r="K1411" s="29" t="s">
        <v>1767</v>
      </c>
      <c r="L1411" s="4"/>
      <c r="M1411" s="3"/>
    </row>
    <row r="1412" spans="1:13" x14ac:dyDescent="0.3">
      <c r="A1412" s="3">
        <v>103</v>
      </c>
      <c r="B1412" s="3">
        <v>103</v>
      </c>
      <c r="C1412" s="4">
        <v>2162.5680000000002</v>
      </c>
      <c r="D1412" s="4">
        <v>2162.4659999999999</v>
      </c>
      <c r="E1412" s="4">
        <v>2162.67</v>
      </c>
      <c r="F1412" s="4"/>
      <c r="G1412" s="4"/>
      <c r="H1412" s="25" t="s">
        <v>2988</v>
      </c>
      <c r="I1412" s="4"/>
      <c r="J1412" s="6">
        <v>0</v>
      </c>
      <c r="K1412" s="30" t="s">
        <v>1767</v>
      </c>
      <c r="L1412" s="4"/>
      <c r="M1412" s="3"/>
    </row>
    <row r="1413" spans="1:13" x14ac:dyDescent="0.3">
      <c r="A1413" s="3">
        <v>103</v>
      </c>
      <c r="B1413" s="3">
        <v>103</v>
      </c>
      <c r="C1413" s="4">
        <v>2162.9540000000002</v>
      </c>
      <c r="D1413" s="4">
        <v>2162.67</v>
      </c>
      <c r="E1413" s="4">
        <v>2163.2370000000001</v>
      </c>
      <c r="F1413" s="4"/>
      <c r="G1413" s="4"/>
      <c r="H1413" s="26" t="s">
        <v>2989</v>
      </c>
      <c r="I1413" s="4"/>
      <c r="J1413" s="6">
        <v>0</v>
      </c>
      <c r="K1413" s="29" t="s">
        <v>1767</v>
      </c>
      <c r="L1413" s="4"/>
      <c r="M1413" s="3"/>
    </row>
    <row r="1414" spans="1:13" x14ac:dyDescent="0.3">
      <c r="A1414" s="3">
        <v>103</v>
      </c>
      <c r="B1414" s="3">
        <v>103</v>
      </c>
      <c r="C1414" s="4">
        <v>2163.9209999999998</v>
      </c>
      <c r="D1414" s="4">
        <v>2163.2370000000001</v>
      </c>
      <c r="E1414" s="4">
        <v>2164.605</v>
      </c>
      <c r="F1414" s="4"/>
      <c r="G1414" s="4"/>
      <c r="H1414" s="25" t="s">
        <v>2990</v>
      </c>
      <c r="I1414" s="4"/>
      <c r="J1414" s="6">
        <v>0</v>
      </c>
      <c r="K1414" s="30" t="s">
        <v>1767</v>
      </c>
      <c r="L1414" s="4"/>
      <c r="M1414" s="3"/>
    </row>
    <row r="1415" spans="1:13" x14ac:dyDescent="0.3">
      <c r="A1415" s="3">
        <v>103</v>
      </c>
      <c r="B1415" s="3">
        <v>103</v>
      </c>
      <c r="C1415" s="4">
        <v>2164.877</v>
      </c>
      <c r="D1415" s="4">
        <v>2164.605</v>
      </c>
      <c r="E1415" s="4">
        <v>2165.1489999999999</v>
      </c>
      <c r="F1415" s="4"/>
      <c r="G1415" s="4"/>
      <c r="H1415" s="26" t="s">
        <v>2991</v>
      </c>
      <c r="I1415" s="4"/>
      <c r="J1415" s="6">
        <v>0</v>
      </c>
      <c r="K1415" s="29" t="s">
        <v>1767</v>
      </c>
      <c r="L1415" s="4"/>
      <c r="M1415" s="3"/>
    </row>
    <row r="1416" spans="1:13" x14ac:dyDescent="0.3">
      <c r="A1416" s="3">
        <v>103</v>
      </c>
      <c r="B1416" s="3">
        <v>103</v>
      </c>
      <c r="C1416" s="4">
        <v>2165.1889999999999</v>
      </c>
      <c r="D1416" s="4">
        <v>2165.1489999999999</v>
      </c>
      <c r="E1416" s="4">
        <v>2165.2280000000001</v>
      </c>
      <c r="F1416" s="4"/>
      <c r="G1416" s="4"/>
      <c r="H1416" s="25" t="s">
        <v>2992</v>
      </c>
      <c r="I1416" s="4"/>
      <c r="J1416" s="6">
        <v>0</v>
      </c>
      <c r="K1416" s="30" t="s">
        <v>1767</v>
      </c>
      <c r="L1416" s="4"/>
      <c r="M1416" s="3"/>
    </row>
    <row r="1417" spans="1:13" x14ac:dyDescent="0.3">
      <c r="A1417" s="3">
        <v>103</v>
      </c>
      <c r="B1417" s="3">
        <v>103</v>
      </c>
      <c r="C1417" s="4">
        <v>2165.4839999999999</v>
      </c>
      <c r="D1417" s="4">
        <v>2165.2280000000001</v>
      </c>
      <c r="E1417" s="4">
        <v>2165.739</v>
      </c>
      <c r="F1417" s="4"/>
      <c r="G1417" s="4"/>
      <c r="H1417" s="26" t="s">
        <v>2993</v>
      </c>
      <c r="I1417" s="4"/>
      <c r="J1417" s="6">
        <v>0</v>
      </c>
      <c r="K1417" s="29" t="s">
        <v>1767</v>
      </c>
      <c r="L1417" s="4"/>
      <c r="M1417" s="3"/>
    </row>
    <row r="1418" spans="1:13" x14ac:dyDescent="0.3">
      <c r="A1418" s="3">
        <v>103</v>
      </c>
      <c r="B1418" s="3">
        <v>103</v>
      </c>
      <c r="C1418" s="4">
        <v>2166.0439999999999</v>
      </c>
      <c r="D1418" s="4">
        <v>2165.739</v>
      </c>
      <c r="E1418" s="4">
        <v>2166.348</v>
      </c>
      <c r="F1418" s="4"/>
      <c r="G1418" s="4"/>
      <c r="H1418" s="25" t="s">
        <v>2994</v>
      </c>
      <c r="I1418" s="4"/>
      <c r="J1418" s="6">
        <v>0</v>
      </c>
      <c r="K1418" s="30" t="s">
        <v>1767</v>
      </c>
      <c r="L1418" s="4"/>
      <c r="M1418" s="3"/>
    </row>
    <row r="1419" spans="1:13" x14ac:dyDescent="0.3">
      <c r="A1419" s="3">
        <v>103</v>
      </c>
      <c r="B1419" s="3">
        <v>103</v>
      </c>
      <c r="C1419" s="4">
        <v>2166.5859999999998</v>
      </c>
      <c r="D1419" s="4">
        <v>2166.348</v>
      </c>
      <c r="E1419" s="4">
        <v>2166.8240000000001</v>
      </c>
      <c r="F1419" s="4"/>
      <c r="G1419" s="4"/>
      <c r="H1419" s="26" t="s">
        <v>2995</v>
      </c>
      <c r="I1419" s="4"/>
      <c r="J1419" s="6">
        <v>0</v>
      </c>
      <c r="K1419" s="29" t="s">
        <v>1767</v>
      </c>
      <c r="L1419" s="4"/>
      <c r="M1419" s="3"/>
    </row>
    <row r="1420" spans="1:13" x14ac:dyDescent="0.3">
      <c r="A1420" s="3">
        <v>103</v>
      </c>
      <c r="B1420" s="3">
        <v>103</v>
      </c>
      <c r="C1420" s="4">
        <v>2167.21</v>
      </c>
      <c r="D1420" s="4">
        <v>2166.8240000000001</v>
      </c>
      <c r="E1420" s="4">
        <v>2167.5949999999998</v>
      </c>
      <c r="F1420" s="4"/>
      <c r="G1420" s="4"/>
      <c r="H1420" s="25" t="s">
        <v>2996</v>
      </c>
      <c r="I1420" s="4"/>
      <c r="J1420" s="6">
        <v>0</v>
      </c>
      <c r="K1420" s="30" t="s">
        <v>1767</v>
      </c>
      <c r="L1420" s="4"/>
      <c r="M1420" s="3"/>
    </row>
    <row r="1421" spans="1:13" x14ac:dyDescent="0.3">
      <c r="A1421" s="3">
        <v>103</v>
      </c>
      <c r="B1421" s="3">
        <v>103</v>
      </c>
      <c r="C1421" s="4">
        <v>2167.9929999999999</v>
      </c>
      <c r="D1421" s="4">
        <v>2167.5949999999998</v>
      </c>
      <c r="E1421" s="4">
        <v>2168.39</v>
      </c>
      <c r="F1421" s="4"/>
      <c r="G1421" s="4"/>
      <c r="H1421" s="26" t="s">
        <v>2997</v>
      </c>
      <c r="I1421" s="4"/>
      <c r="J1421" s="6">
        <v>0</v>
      </c>
      <c r="K1421" s="29" t="s">
        <v>1767</v>
      </c>
      <c r="L1421" s="4"/>
      <c r="M1421" s="3"/>
    </row>
    <row r="1422" spans="1:13" x14ac:dyDescent="0.3">
      <c r="A1422" s="3">
        <v>103</v>
      </c>
      <c r="B1422" s="3">
        <v>103</v>
      </c>
      <c r="C1422" s="4">
        <v>2168.511</v>
      </c>
      <c r="D1422" s="4">
        <v>2168.39</v>
      </c>
      <c r="E1422" s="4">
        <v>2168.6320000000001</v>
      </c>
      <c r="F1422" s="4"/>
      <c r="G1422" s="4"/>
      <c r="H1422" s="25" t="s">
        <v>2998</v>
      </c>
      <c r="I1422" s="4"/>
      <c r="J1422" s="6">
        <v>0</v>
      </c>
      <c r="K1422" s="30" t="s">
        <v>1767</v>
      </c>
      <c r="L1422" s="4"/>
      <c r="M1422" s="3"/>
    </row>
    <row r="1423" spans="1:13" x14ac:dyDescent="0.3">
      <c r="A1423" s="3">
        <v>103</v>
      </c>
      <c r="B1423" s="3">
        <v>103</v>
      </c>
      <c r="C1423" s="4">
        <v>2168.8380000000002</v>
      </c>
      <c r="D1423" s="4">
        <v>2168.6320000000001</v>
      </c>
      <c r="E1423" s="4">
        <v>2169.0430000000001</v>
      </c>
      <c r="F1423" s="4"/>
      <c r="G1423" s="4"/>
      <c r="H1423" s="26" t="s">
        <v>2999</v>
      </c>
      <c r="I1423" s="4"/>
      <c r="J1423" s="6">
        <v>0</v>
      </c>
      <c r="K1423" s="29" t="s">
        <v>1767</v>
      </c>
      <c r="L1423" s="4"/>
      <c r="M1423" s="3"/>
    </row>
    <row r="1424" spans="1:13" x14ac:dyDescent="0.3">
      <c r="A1424" s="3">
        <v>103</v>
      </c>
      <c r="B1424" s="3">
        <v>103</v>
      </c>
      <c r="C1424" s="4">
        <v>2169.3209999999999</v>
      </c>
      <c r="D1424" s="4">
        <v>2169.0430000000001</v>
      </c>
      <c r="E1424" s="4">
        <v>2169.5990000000002</v>
      </c>
      <c r="F1424" s="4"/>
      <c r="G1424" s="4"/>
      <c r="H1424" s="25" t="s">
        <v>3000</v>
      </c>
      <c r="I1424" s="4"/>
      <c r="J1424" s="6">
        <v>0</v>
      </c>
      <c r="K1424" s="30" t="s">
        <v>1767</v>
      </c>
      <c r="L1424" s="4"/>
      <c r="M1424" s="3"/>
    </row>
    <row r="1425" spans="1:13" x14ac:dyDescent="0.3">
      <c r="A1425" s="3">
        <v>103</v>
      </c>
      <c r="B1425" s="3">
        <v>103</v>
      </c>
      <c r="C1425" s="4">
        <v>2169.9389999999999</v>
      </c>
      <c r="D1425" s="4">
        <v>2169.5990000000002</v>
      </c>
      <c r="E1425" s="4">
        <v>2170.279</v>
      </c>
      <c r="F1425" s="4"/>
      <c r="G1425" s="4"/>
      <c r="H1425" s="26" t="s">
        <v>3001</v>
      </c>
      <c r="I1425" s="4"/>
      <c r="J1425" s="6">
        <v>0</v>
      </c>
      <c r="K1425" s="29" t="s">
        <v>1767</v>
      </c>
      <c r="L1425" s="4"/>
      <c r="M1425" s="3"/>
    </row>
    <row r="1426" spans="1:13" x14ac:dyDescent="0.3">
      <c r="A1426" s="3">
        <v>103</v>
      </c>
      <c r="B1426" s="3">
        <v>103</v>
      </c>
      <c r="C1426" s="4">
        <v>2170.5140000000001</v>
      </c>
      <c r="D1426" s="4">
        <v>2170.279</v>
      </c>
      <c r="E1426" s="4">
        <v>2170.748</v>
      </c>
      <c r="F1426" s="4"/>
      <c r="G1426" s="4"/>
      <c r="H1426" s="25" t="s">
        <v>3002</v>
      </c>
      <c r="I1426" s="4"/>
      <c r="J1426" s="6">
        <v>0</v>
      </c>
      <c r="K1426" s="30" t="s">
        <v>1767</v>
      </c>
      <c r="L1426" s="4"/>
      <c r="M1426" s="3"/>
    </row>
    <row r="1427" spans="1:13" x14ac:dyDescent="0.3">
      <c r="A1427" s="3">
        <v>103</v>
      </c>
      <c r="B1427" s="3">
        <v>103</v>
      </c>
      <c r="C1427" s="4">
        <v>2170.924</v>
      </c>
      <c r="D1427" s="4">
        <v>2170.748</v>
      </c>
      <c r="E1427" s="4">
        <v>2171.1</v>
      </c>
      <c r="F1427" s="4"/>
      <c r="G1427" s="4"/>
      <c r="H1427" s="26" t="s">
        <v>3003</v>
      </c>
      <c r="I1427" s="4"/>
      <c r="J1427" s="6">
        <v>0</v>
      </c>
      <c r="K1427" s="29" t="s">
        <v>1767</v>
      </c>
      <c r="L1427" s="4"/>
      <c r="M1427" s="3"/>
    </row>
    <row r="1428" spans="1:13" x14ac:dyDescent="0.3">
      <c r="A1428" s="3">
        <v>103</v>
      </c>
      <c r="B1428" s="3">
        <v>103</v>
      </c>
      <c r="C1428" s="4">
        <v>2171.134</v>
      </c>
      <c r="D1428" s="4">
        <v>2171.1</v>
      </c>
      <c r="E1428" s="4">
        <v>2171.1680000000001</v>
      </c>
      <c r="F1428" s="4"/>
      <c r="G1428" s="4"/>
      <c r="H1428" s="25" t="s">
        <v>3004</v>
      </c>
      <c r="I1428" s="4"/>
      <c r="J1428" s="6">
        <v>0</v>
      </c>
      <c r="K1428" s="30" t="s">
        <v>1767</v>
      </c>
      <c r="L1428" s="4"/>
      <c r="M1428" s="3"/>
    </row>
    <row r="1429" spans="1:13" x14ac:dyDescent="0.3">
      <c r="A1429" s="3">
        <v>103</v>
      </c>
      <c r="B1429" s="3">
        <v>103</v>
      </c>
      <c r="C1429" s="4">
        <v>2171.431</v>
      </c>
      <c r="D1429" s="4">
        <v>2171.1680000000001</v>
      </c>
      <c r="E1429" s="4">
        <v>2171.694</v>
      </c>
      <c r="F1429" s="4"/>
      <c r="G1429" s="4"/>
      <c r="H1429" s="26" t="s">
        <v>3005</v>
      </c>
      <c r="I1429" s="4"/>
      <c r="J1429" s="6">
        <v>0</v>
      </c>
      <c r="K1429" s="29" t="s">
        <v>1767</v>
      </c>
      <c r="L1429" s="4"/>
      <c r="M1429" s="3"/>
    </row>
    <row r="1430" spans="1:13" x14ac:dyDescent="0.3">
      <c r="A1430" s="3">
        <v>103</v>
      </c>
      <c r="B1430" s="3">
        <v>103</v>
      </c>
      <c r="C1430" s="4">
        <v>2172.11</v>
      </c>
      <c r="D1430" s="4">
        <v>2171.694</v>
      </c>
      <c r="E1430" s="4">
        <v>2172.5250000000001</v>
      </c>
      <c r="F1430" s="4"/>
      <c r="G1430" s="4"/>
      <c r="H1430" s="25" t="s">
        <v>3006</v>
      </c>
      <c r="I1430" s="4"/>
      <c r="J1430" s="6">
        <v>0</v>
      </c>
      <c r="K1430" s="30" t="s">
        <v>1767</v>
      </c>
      <c r="L1430" s="4"/>
      <c r="M1430" s="3"/>
    </row>
    <row r="1431" spans="1:13" x14ac:dyDescent="0.3">
      <c r="A1431" s="3">
        <v>103</v>
      </c>
      <c r="B1431" s="3">
        <v>103</v>
      </c>
      <c r="C1431" s="4">
        <v>2172.83</v>
      </c>
      <c r="D1431" s="4">
        <v>2172.5250000000001</v>
      </c>
      <c r="E1431" s="4">
        <v>2173.134</v>
      </c>
      <c r="F1431" s="4"/>
      <c r="G1431" s="4"/>
      <c r="H1431" s="26" t="s">
        <v>3007</v>
      </c>
      <c r="I1431" s="4"/>
      <c r="J1431" s="6">
        <v>0</v>
      </c>
      <c r="K1431" s="29" t="s">
        <v>1767</v>
      </c>
      <c r="L1431" s="4"/>
      <c r="M1431" s="3"/>
    </row>
    <row r="1432" spans="1:13" x14ac:dyDescent="0.3">
      <c r="A1432" s="3">
        <v>103</v>
      </c>
      <c r="B1432" s="3">
        <v>103</v>
      </c>
      <c r="C1432" s="4">
        <v>2173.3969999999999</v>
      </c>
      <c r="D1432" s="4">
        <v>2173.134</v>
      </c>
      <c r="E1432" s="4">
        <v>2173.6590000000001</v>
      </c>
      <c r="F1432" s="4"/>
      <c r="G1432" s="4"/>
      <c r="H1432" s="25" t="s">
        <v>3008</v>
      </c>
      <c r="I1432" s="4"/>
      <c r="J1432" s="6">
        <v>0</v>
      </c>
      <c r="K1432" s="30" t="s">
        <v>1767</v>
      </c>
      <c r="L1432" s="4"/>
      <c r="M1432" s="3"/>
    </row>
    <row r="1433" spans="1:13" x14ac:dyDescent="0.3">
      <c r="A1433" s="3">
        <v>103</v>
      </c>
      <c r="B1433" s="3">
        <v>103</v>
      </c>
      <c r="C1433" s="4">
        <v>2174.06</v>
      </c>
      <c r="D1433" s="4">
        <v>2173.6590000000001</v>
      </c>
      <c r="E1433" s="4">
        <v>2174.46</v>
      </c>
      <c r="F1433" s="4"/>
      <c r="G1433" s="4"/>
      <c r="H1433" s="26" t="s">
        <v>3009</v>
      </c>
      <c r="I1433" s="4"/>
      <c r="J1433" s="6">
        <v>0</v>
      </c>
      <c r="K1433" s="29" t="s">
        <v>1767</v>
      </c>
      <c r="L1433" s="4"/>
      <c r="M1433" s="3"/>
    </row>
    <row r="1434" spans="1:13" x14ac:dyDescent="0.3">
      <c r="A1434" s="3">
        <v>103</v>
      </c>
      <c r="B1434" s="3">
        <v>103</v>
      </c>
      <c r="C1434" s="4">
        <v>2174.712</v>
      </c>
      <c r="D1434" s="4">
        <v>2174.46</v>
      </c>
      <c r="E1434" s="4">
        <v>2174.9630000000002</v>
      </c>
      <c r="F1434" s="4"/>
      <c r="G1434" s="4"/>
      <c r="H1434" s="25" t="s">
        <v>3010</v>
      </c>
      <c r="I1434" s="4"/>
      <c r="J1434" s="6">
        <v>0</v>
      </c>
      <c r="K1434" s="30" t="s">
        <v>1767</v>
      </c>
      <c r="L1434" s="4"/>
      <c r="M1434" s="3"/>
    </row>
    <row r="1435" spans="1:13" x14ac:dyDescent="0.3">
      <c r="A1435" s="3">
        <v>103</v>
      </c>
      <c r="B1435" s="3">
        <v>103</v>
      </c>
      <c r="C1435" s="4">
        <v>2175.2539999999999</v>
      </c>
      <c r="D1435" s="4">
        <v>2174.9630000000002</v>
      </c>
      <c r="E1435" s="4">
        <v>2175.5439999999999</v>
      </c>
      <c r="F1435" s="4"/>
      <c r="G1435" s="4"/>
      <c r="H1435" s="26" t="s">
        <v>3011</v>
      </c>
      <c r="I1435" s="4"/>
      <c r="J1435" s="6">
        <v>0</v>
      </c>
      <c r="K1435" s="29" t="s">
        <v>1767</v>
      </c>
      <c r="L1435" s="4"/>
      <c r="M1435" s="3"/>
    </row>
    <row r="1436" spans="1:13" x14ac:dyDescent="0.3">
      <c r="A1436" s="3">
        <v>103</v>
      </c>
      <c r="B1436" s="3">
        <v>103</v>
      </c>
      <c r="C1436" s="4">
        <v>2175.8180000000002</v>
      </c>
      <c r="D1436" s="4">
        <v>2175.5439999999999</v>
      </c>
      <c r="E1436" s="4">
        <v>2176.0920000000001</v>
      </c>
      <c r="F1436" s="4"/>
      <c r="G1436" s="4"/>
      <c r="H1436" s="25" t="s">
        <v>3012</v>
      </c>
      <c r="I1436" s="4"/>
      <c r="J1436" s="6">
        <v>0</v>
      </c>
      <c r="K1436" s="30" t="s">
        <v>1767</v>
      </c>
      <c r="L1436" s="4"/>
      <c r="M1436" s="3"/>
    </row>
    <row r="1437" spans="1:13" x14ac:dyDescent="0.3">
      <c r="A1437" s="3">
        <v>103</v>
      </c>
      <c r="B1437" s="3">
        <v>103</v>
      </c>
      <c r="C1437" s="4">
        <v>2176.3429999999998</v>
      </c>
      <c r="D1437" s="4">
        <v>2176.0920000000001</v>
      </c>
      <c r="E1437" s="4">
        <v>2176.5929999999998</v>
      </c>
      <c r="F1437" s="4"/>
      <c r="G1437" s="4"/>
      <c r="H1437" s="26" t="s">
        <v>3013</v>
      </c>
      <c r="I1437" s="4"/>
      <c r="J1437" s="6">
        <v>0</v>
      </c>
      <c r="K1437" s="29" t="s">
        <v>1767</v>
      </c>
      <c r="L1437" s="4"/>
      <c r="M1437" s="3"/>
    </row>
    <row r="1438" spans="1:13" x14ac:dyDescent="0.3">
      <c r="A1438" s="3">
        <v>103</v>
      </c>
      <c r="B1438" s="3">
        <v>103</v>
      </c>
      <c r="C1438" s="4">
        <v>2176.7860000000001</v>
      </c>
      <c r="D1438" s="4">
        <v>2176.5929999999998</v>
      </c>
      <c r="E1438" s="4">
        <v>2176.9789999999998</v>
      </c>
      <c r="F1438" s="4"/>
      <c r="G1438" s="4"/>
      <c r="H1438" s="25" t="s">
        <v>3014</v>
      </c>
      <c r="I1438" s="4"/>
      <c r="J1438" s="6">
        <v>0</v>
      </c>
      <c r="K1438" s="30" t="s">
        <v>1767</v>
      </c>
      <c r="L1438" s="4"/>
      <c r="M1438" s="3"/>
    </row>
    <row r="1439" spans="1:13" x14ac:dyDescent="0.3">
      <c r="A1439" s="3">
        <v>103</v>
      </c>
      <c r="B1439" s="3">
        <v>103</v>
      </c>
      <c r="C1439" s="4">
        <v>2177.1959999999999</v>
      </c>
      <c r="D1439" s="4">
        <v>2176.9789999999998</v>
      </c>
      <c r="E1439" s="4">
        <v>2177.4119999999998</v>
      </c>
      <c r="F1439" s="4"/>
      <c r="G1439" s="4"/>
      <c r="H1439" s="26" t="s">
        <v>3015</v>
      </c>
      <c r="I1439" s="4"/>
      <c r="J1439" s="6">
        <v>0</v>
      </c>
      <c r="K1439" s="29" t="s">
        <v>1767</v>
      </c>
      <c r="L1439" s="4"/>
      <c r="M1439" s="3"/>
    </row>
    <row r="1440" spans="1:13" x14ac:dyDescent="0.3">
      <c r="A1440" s="3">
        <v>103</v>
      </c>
      <c r="B1440" s="3">
        <v>103</v>
      </c>
      <c r="C1440" s="4">
        <v>2177.6880000000001</v>
      </c>
      <c r="D1440" s="4">
        <v>2177.4119999999998</v>
      </c>
      <c r="E1440" s="4">
        <v>2177.9630000000002</v>
      </c>
      <c r="F1440" s="4"/>
      <c r="G1440" s="4"/>
      <c r="H1440" s="25" t="s">
        <v>3016</v>
      </c>
      <c r="I1440" s="4"/>
      <c r="J1440" s="6">
        <v>0</v>
      </c>
      <c r="K1440" s="30" t="s">
        <v>1767</v>
      </c>
      <c r="L1440" s="4"/>
      <c r="M1440" s="3"/>
    </row>
    <row r="1441" spans="1:13" x14ac:dyDescent="0.3">
      <c r="A1441" s="3">
        <v>103</v>
      </c>
      <c r="B1441" s="3">
        <v>103</v>
      </c>
      <c r="C1441" s="4">
        <v>2178.223</v>
      </c>
      <c r="D1441" s="4">
        <v>2177.9630000000002</v>
      </c>
      <c r="E1441" s="4">
        <v>2178.4830000000002</v>
      </c>
      <c r="F1441" s="4"/>
      <c r="G1441" s="4"/>
      <c r="H1441" s="26" t="s">
        <v>3017</v>
      </c>
      <c r="I1441" s="4"/>
      <c r="J1441" s="6">
        <v>0</v>
      </c>
      <c r="K1441" s="29" t="s">
        <v>1767</v>
      </c>
      <c r="L1441" s="4"/>
      <c r="M1441" s="3"/>
    </row>
    <row r="1442" spans="1:13" x14ac:dyDescent="0.3">
      <c r="A1442" s="3">
        <v>103</v>
      </c>
      <c r="B1442" s="3">
        <v>103</v>
      </c>
      <c r="C1442" s="4">
        <v>2178.73</v>
      </c>
      <c r="D1442" s="4">
        <v>2178.4830000000002</v>
      </c>
      <c r="E1442" s="4">
        <v>2178.9769999999999</v>
      </c>
      <c r="F1442" s="4"/>
      <c r="G1442" s="4"/>
      <c r="H1442" s="25" t="s">
        <v>3018</v>
      </c>
      <c r="I1442" s="4"/>
      <c r="J1442" s="6">
        <v>0</v>
      </c>
      <c r="K1442" s="30" t="s">
        <v>1767</v>
      </c>
      <c r="L1442" s="4"/>
      <c r="M1442" s="3"/>
    </row>
    <row r="1443" spans="1:13" x14ac:dyDescent="0.3">
      <c r="A1443" s="3">
        <v>103</v>
      </c>
      <c r="B1443" s="3">
        <v>103</v>
      </c>
      <c r="C1443" s="4">
        <v>2179.15</v>
      </c>
      <c r="D1443" s="4">
        <v>2178.9769999999999</v>
      </c>
      <c r="E1443" s="4">
        <v>2179.3220000000001</v>
      </c>
      <c r="F1443" s="4"/>
      <c r="G1443" s="4"/>
      <c r="H1443" s="26" t="s">
        <v>3019</v>
      </c>
      <c r="I1443" s="4"/>
      <c r="J1443" s="6">
        <v>0</v>
      </c>
      <c r="K1443" s="29" t="s">
        <v>1767</v>
      </c>
      <c r="L1443" s="4"/>
      <c r="M1443" s="3"/>
    </row>
    <row r="1444" spans="1:13" x14ac:dyDescent="0.3">
      <c r="A1444" s="3">
        <v>103</v>
      </c>
      <c r="B1444" s="3">
        <v>103</v>
      </c>
      <c r="C1444" s="4">
        <v>2179.6689999999999</v>
      </c>
      <c r="D1444" s="4">
        <v>2179.3220000000001</v>
      </c>
      <c r="E1444" s="4">
        <v>2180.0160000000001</v>
      </c>
      <c r="F1444" s="4"/>
      <c r="G1444" s="4"/>
      <c r="H1444" s="25" t="s">
        <v>3020</v>
      </c>
      <c r="I1444" s="4"/>
      <c r="J1444" s="6">
        <v>0</v>
      </c>
      <c r="K1444" s="30" t="s">
        <v>1767</v>
      </c>
      <c r="L1444" s="4"/>
      <c r="M1444" s="3"/>
    </row>
    <row r="1445" spans="1:13" x14ac:dyDescent="0.3">
      <c r="A1445" s="3">
        <v>103</v>
      </c>
      <c r="B1445" s="3">
        <v>103</v>
      </c>
      <c r="C1445" s="4">
        <v>2180.373</v>
      </c>
      <c r="D1445" s="4">
        <v>2180.0160000000001</v>
      </c>
      <c r="E1445" s="4">
        <v>2180.7289999999998</v>
      </c>
      <c r="F1445" s="4"/>
      <c r="G1445" s="4"/>
      <c r="H1445" s="26" t="s">
        <v>3021</v>
      </c>
      <c r="I1445" s="4"/>
      <c r="J1445" s="6">
        <v>0</v>
      </c>
      <c r="K1445" s="29" t="s">
        <v>1767</v>
      </c>
      <c r="L1445" s="4"/>
      <c r="M1445" s="3"/>
    </row>
    <row r="1446" spans="1:13" x14ac:dyDescent="0.3">
      <c r="A1446" s="3">
        <v>103</v>
      </c>
      <c r="B1446" s="3">
        <v>103</v>
      </c>
      <c r="C1446" s="4">
        <v>2180.92</v>
      </c>
      <c r="D1446" s="4">
        <v>2180.7289999999998</v>
      </c>
      <c r="E1446" s="4">
        <v>2181.11</v>
      </c>
      <c r="F1446" s="4"/>
      <c r="G1446" s="4"/>
      <c r="H1446" s="25" t="s">
        <v>3022</v>
      </c>
      <c r="I1446" s="4"/>
      <c r="J1446" s="6">
        <v>0</v>
      </c>
      <c r="K1446" s="30" t="s">
        <v>1767</v>
      </c>
      <c r="L1446" s="4"/>
      <c r="M1446" s="3"/>
    </row>
    <row r="1447" spans="1:13" x14ac:dyDescent="0.3">
      <c r="A1447" s="3">
        <v>103</v>
      </c>
      <c r="B1447" s="3">
        <v>103</v>
      </c>
      <c r="C1447" s="4">
        <v>2181.3539999999998</v>
      </c>
      <c r="D1447" s="4">
        <v>2181.11</v>
      </c>
      <c r="E1447" s="4">
        <v>2181.598</v>
      </c>
      <c r="F1447" s="4"/>
      <c r="G1447" s="4"/>
      <c r="H1447" s="26" t="s">
        <v>3023</v>
      </c>
      <c r="I1447" s="4"/>
      <c r="J1447" s="6">
        <v>0</v>
      </c>
      <c r="K1447" s="29" t="s">
        <v>1767</v>
      </c>
      <c r="L1447" s="4"/>
      <c r="M1447" s="3"/>
    </row>
    <row r="1448" spans="1:13" x14ac:dyDescent="0.3">
      <c r="A1448" s="3">
        <v>103</v>
      </c>
      <c r="B1448" s="3">
        <v>103</v>
      </c>
      <c r="C1448" s="4">
        <v>2181.6819999999998</v>
      </c>
      <c r="D1448" s="4">
        <v>2181.598</v>
      </c>
      <c r="E1448" s="4">
        <v>2181.7660000000001</v>
      </c>
      <c r="F1448" s="4"/>
      <c r="G1448" s="4"/>
      <c r="H1448" s="25" t="s">
        <v>3024</v>
      </c>
      <c r="I1448" s="4"/>
      <c r="J1448" s="6">
        <v>0</v>
      </c>
      <c r="K1448" s="30" t="s">
        <v>1767</v>
      </c>
      <c r="L1448" s="4"/>
      <c r="M1448" s="3"/>
    </row>
    <row r="1449" spans="1:13" x14ac:dyDescent="0.3">
      <c r="A1449" s="3">
        <v>103</v>
      </c>
      <c r="B1449" s="3">
        <v>103</v>
      </c>
      <c r="C1449" s="4">
        <v>2182.0349999999999</v>
      </c>
      <c r="D1449" s="4">
        <v>2181.7660000000001</v>
      </c>
      <c r="E1449" s="4">
        <v>2182.3040000000001</v>
      </c>
      <c r="F1449" s="4"/>
      <c r="G1449" s="4"/>
      <c r="H1449" s="26" t="s">
        <v>3025</v>
      </c>
      <c r="I1449" s="4"/>
      <c r="J1449" s="6">
        <v>0</v>
      </c>
      <c r="K1449" s="29" t="s">
        <v>1767</v>
      </c>
      <c r="L1449" s="4"/>
      <c r="M1449" s="3"/>
    </row>
    <row r="1450" spans="1:13" x14ac:dyDescent="0.3">
      <c r="A1450" s="3">
        <v>103</v>
      </c>
      <c r="B1450" s="3">
        <v>103</v>
      </c>
      <c r="C1450" s="4">
        <v>2182.913</v>
      </c>
      <c r="D1450" s="4">
        <v>2182.3040000000001</v>
      </c>
      <c r="E1450" s="4">
        <v>2183.5210000000002</v>
      </c>
      <c r="F1450" s="4"/>
      <c r="G1450" s="4"/>
      <c r="H1450" s="25" t="s">
        <v>3026</v>
      </c>
      <c r="I1450" s="4"/>
      <c r="J1450" s="6">
        <v>0</v>
      </c>
      <c r="K1450" s="30" t="s">
        <v>1767</v>
      </c>
      <c r="L1450" s="4"/>
      <c r="M1450" s="3"/>
    </row>
    <row r="1451" spans="1:13" x14ac:dyDescent="0.3">
      <c r="A1451" s="3">
        <v>103</v>
      </c>
      <c r="B1451" s="3">
        <v>103</v>
      </c>
      <c r="C1451" s="4">
        <v>2183.788</v>
      </c>
      <c r="D1451" s="4">
        <v>2183.5210000000002</v>
      </c>
      <c r="E1451" s="4">
        <v>2184.0540000000001</v>
      </c>
      <c r="F1451" s="4"/>
      <c r="G1451" s="4"/>
      <c r="H1451" s="26" t="s">
        <v>3027</v>
      </c>
      <c r="I1451" s="4"/>
      <c r="J1451" s="6">
        <v>0</v>
      </c>
      <c r="K1451" s="29" t="s">
        <v>1767</v>
      </c>
      <c r="L1451" s="4"/>
      <c r="M1451" s="3"/>
    </row>
    <row r="1452" spans="1:13" x14ac:dyDescent="0.3">
      <c r="A1452" s="3">
        <v>103</v>
      </c>
      <c r="B1452" s="3">
        <v>103</v>
      </c>
      <c r="C1452" s="4">
        <v>2184.1309999999999</v>
      </c>
      <c r="D1452" s="4">
        <v>2184.0540000000001</v>
      </c>
      <c r="E1452" s="4">
        <v>2184.2080000000001</v>
      </c>
      <c r="F1452" s="4"/>
      <c r="G1452" s="4"/>
      <c r="H1452" s="25" t="s">
        <v>3028</v>
      </c>
      <c r="I1452" s="4"/>
      <c r="J1452" s="6">
        <v>0</v>
      </c>
      <c r="K1452" s="30" t="s">
        <v>1767</v>
      </c>
      <c r="L1452" s="4"/>
      <c r="M1452" s="3"/>
    </row>
    <row r="1453" spans="1:13" x14ac:dyDescent="0.3">
      <c r="A1453" s="3">
        <v>103</v>
      </c>
      <c r="B1453" s="3">
        <v>103</v>
      </c>
      <c r="C1453" s="4">
        <v>2184.625</v>
      </c>
      <c r="D1453" s="4">
        <v>2184.2080000000001</v>
      </c>
      <c r="E1453" s="4">
        <v>2185.0419999999999</v>
      </c>
      <c r="F1453" s="4"/>
      <c r="G1453" s="4"/>
      <c r="H1453" s="26" t="s">
        <v>3029</v>
      </c>
      <c r="I1453" s="4"/>
      <c r="J1453" s="6">
        <v>0</v>
      </c>
      <c r="K1453" s="29" t="s">
        <v>1767</v>
      </c>
      <c r="L1453" s="4"/>
      <c r="M1453" s="3"/>
    </row>
    <row r="1454" spans="1:13" x14ac:dyDescent="0.3">
      <c r="A1454" s="3">
        <v>103</v>
      </c>
      <c r="B1454" s="3">
        <v>103</v>
      </c>
      <c r="C1454" s="4">
        <v>2185.2199999999998</v>
      </c>
      <c r="D1454" s="4">
        <v>2185.0419999999999</v>
      </c>
      <c r="E1454" s="4">
        <v>2185.3980000000001</v>
      </c>
      <c r="F1454" s="4"/>
      <c r="G1454" s="4"/>
      <c r="H1454" s="25" t="s">
        <v>3030</v>
      </c>
      <c r="I1454" s="4"/>
      <c r="J1454" s="6">
        <v>0</v>
      </c>
      <c r="K1454" s="30" t="s">
        <v>1767</v>
      </c>
      <c r="L1454" s="4"/>
      <c r="M1454" s="3"/>
    </row>
    <row r="1455" spans="1:13" x14ac:dyDescent="0.3">
      <c r="A1455" s="3">
        <v>103</v>
      </c>
      <c r="B1455" s="3">
        <v>103</v>
      </c>
      <c r="C1455" s="4">
        <v>2185.8319999999999</v>
      </c>
      <c r="D1455" s="4">
        <v>2185.3980000000001</v>
      </c>
      <c r="E1455" s="4">
        <v>2186.2660000000001</v>
      </c>
      <c r="F1455" s="4"/>
      <c r="G1455" s="4"/>
      <c r="H1455" s="26" t="s">
        <v>3031</v>
      </c>
      <c r="I1455" s="4"/>
      <c r="J1455" s="6">
        <v>0</v>
      </c>
      <c r="K1455" s="29" t="s">
        <v>1767</v>
      </c>
      <c r="L1455" s="4"/>
      <c r="M1455" s="3"/>
    </row>
    <row r="1456" spans="1:13" x14ac:dyDescent="0.3">
      <c r="A1456" s="3">
        <v>103</v>
      </c>
      <c r="B1456" s="3">
        <v>103</v>
      </c>
      <c r="C1456" s="4">
        <v>2186.6080000000002</v>
      </c>
      <c r="D1456" s="4">
        <v>2186.2660000000001</v>
      </c>
      <c r="E1456" s="4">
        <v>2186.9490000000001</v>
      </c>
      <c r="F1456" s="4"/>
      <c r="G1456" s="4"/>
      <c r="H1456" s="25" t="s">
        <v>3032</v>
      </c>
      <c r="I1456" s="4"/>
      <c r="J1456" s="6">
        <v>0</v>
      </c>
      <c r="K1456" s="30" t="s">
        <v>1767</v>
      </c>
      <c r="L1456" s="4"/>
      <c r="M1456" s="3"/>
    </row>
    <row r="1457" spans="1:13" x14ac:dyDescent="0.3">
      <c r="A1457" s="3">
        <v>103</v>
      </c>
      <c r="B1457" s="3">
        <v>103</v>
      </c>
      <c r="C1457" s="4">
        <v>2187.3470000000002</v>
      </c>
      <c r="D1457" s="4">
        <v>2186.9490000000001</v>
      </c>
      <c r="E1457" s="4">
        <v>2187.7449999999999</v>
      </c>
      <c r="F1457" s="4"/>
      <c r="G1457" s="4"/>
      <c r="H1457" s="26" t="s">
        <v>3033</v>
      </c>
      <c r="I1457" s="4"/>
      <c r="J1457" s="6">
        <v>0</v>
      </c>
      <c r="K1457" s="29" t="s">
        <v>1767</v>
      </c>
      <c r="L1457" s="4"/>
      <c r="M1457" s="3"/>
    </row>
    <row r="1458" spans="1:13" x14ac:dyDescent="0.3">
      <c r="A1458" s="3">
        <v>103</v>
      </c>
      <c r="B1458" s="3">
        <v>103</v>
      </c>
      <c r="C1458" s="4">
        <v>2187.8270000000002</v>
      </c>
      <c r="D1458" s="4">
        <v>2187.7449999999999</v>
      </c>
      <c r="E1458" s="4">
        <v>2187.9090000000001</v>
      </c>
      <c r="F1458" s="4"/>
      <c r="G1458" s="4"/>
      <c r="H1458" s="25" t="s">
        <v>3034</v>
      </c>
      <c r="I1458" s="4"/>
      <c r="J1458" s="6">
        <v>0</v>
      </c>
      <c r="K1458" s="30" t="s">
        <v>1767</v>
      </c>
      <c r="L1458" s="4"/>
      <c r="M1458" s="3"/>
    </row>
    <row r="1459" spans="1:13" x14ac:dyDescent="0.3">
      <c r="A1459" s="3">
        <v>103</v>
      </c>
      <c r="B1459" s="3">
        <v>103</v>
      </c>
      <c r="C1459" s="4">
        <v>2188.3710000000001</v>
      </c>
      <c r="D1459" s="4">
        <v>2187.9090000000001</v>
      </c>
      <c r="E1459" s="4">
        <v>2188.8330000000001</v>
      </c>
      <c r="F1459" s="4"/>
      <c r="G1459" s="4"/>
      <c r="H1459" s="26" t="s">
        <v>3035</v>
      </c>
      <c r="I1459" s="4"/>
      <c r="J1459" s="6">
        <v>0</v>
      </c>
      <c r="K1459" s="29" t="s">
        <v>1767</v>
      </c>
      <c r="L1459" s="4"/>
      <c r="M1459" s="3"/>
    </row>
    <row r="1460" spans="1:13" x14ac:dyDescent="0.3">
      <c r="A1460" s="3">
        <v>103</v>
      </c>
      <c r="B1460" s="3">
        <v>103</v>
      </c>
      <c r="C1460" s="4">
        <v>2189.1390000000001</v>
      </c>
      <c r="D1460" s="4">
        <v>2188.8330000000001</v>
      </c>
      <c r="E1460" s="4">
        <v>2189.4450000000002</v>
      </c>
      <c r="F1460" s="4"/>
      <c r="G1460" s="4"/>
      <c r="H1460" s="25" t="s">
        <v>3036</v>
      </c>
      <c r="I1460" s="4"/>
      <c r="J1460" s="6">
        <v>0</v>
      </c>
      <c r="K1460" s="30" t="s">
        <v>1767</v>
      </c>
      <c r="L1460" s="4"/>
      <c r="M1460" s="3"/>
    </row>
    <row r="1461" spans="1:13" x14ac:dyDescent="0.3">
      <c r="A1461" s="3">
        <v>103</v>
      </c>
      <c r="B1461" s="3">
        <v>103</v>
      </c>
      <c r="C1461" s="4">
        <v>2189.77</v>
      </c>
      <c r="D1461" s="4">
        <v>2189.4450000000002</v>
      </c>
      <c r="E1461" s="4">
        <v>2190.0949999999998</v>
      </c>
      <c r="F1461" s="4"/>
      <c r="G1461" s="4"/>
      <c r="H1461" s="26" t="s">
        <v>3037</v>
      </c>
      <c r="I1461" s="4"/>
      <c r="J1461" s="6">
        <v>0</v>
      </c>
      <c r="K1461" s="29" t="s">
        <v>1767</v>
      </c>
      <c r="L1461" s="4"/>
      <c r="M1461" s="3"/>
    </row>
    <row r="1462" spans="1:13" x14ac:dyDescent="0.3">
      <c r="A1462" s="3">
        <v>103</v>
      </c>
      <c r="B1462" s="3">
        <v>103</v>
      </c>
      <c r="C1462" s="4">
        <v>2190.2919999999999</v>
      </c>
      <c r="D1462" s="4">
        <v>2190.0949999999998</v>
      </c>
      <c r="E1462" s="4">
        <v>2190.4879999999998</v>
      </c>
      <c r="F1462" s="4"/>
      <c r="G1462" s="4"/>
      <c r="H1462" s="25" t="s">
        <v>3038</v>
      </c>
      <c r="I1462" s="4"/>
      <c r="J1462" s="6">
        <v>0</v>
      </c>
      <c r="K1462" s="30" t="s">
        <v>1767</v>
      </c>
      <c r="L1462" s="4"/>
      <c r="M1462" s="3"/>
    </row>
    <row r="1463" spans="1:13" x14ac:dyDescent="0.3">
      <c r="A1463" s="3">
        <v>103</v>
      </c>
      <c r="B1463" s="3">
        <v>103</v>
      </c>
      <c r="C1463" s="4">
        <v>2190.7600000000002</v>
      </c>
      <c r="D1463" s="4">
        <v>2190.4879999999998</v>
      </c>
      <c r="E1463" s="4">
        <v>2191.0309999999999</v>
      </c>
      <c r="F1463" s="4"/>
      <c r="G1463" s="4"/>
      <c r="H1463" s="26" t="s">
        <v>3039</v>
      </c>
      <c r="I1463" s="4"/>
      <c r="J1463" s="6">
        <v>0</v>
      </c>
      <c r="K1463" s="29" t="s">
        <v>1767</v>
      </c>
      <c r="L1463" s="4"/>
      <c r="M1463" s="3"/>
    </row>
    <row r="1464" spans="1:13" x14ac:dyDescent="0.3">
      <c r="A1464" s="3">
        <v>103</v>
      </c>
      <c r="B1464" s="3">
        <v>103</v>
      </c>
      <c r="C1464" s="4">
        <v>2191.107</v>
      </c>
      <c r="D1464" s="4">
        <v>2191.0309999999999</v>
      </c>
      <c r="E1464" s="4">
        <v>2191.183</v>
      </c>
      <c r="F1464" s="4"/>
      <c r="G1464" s="4"/>
      <c r="H1464" s="25" t="s">
        <v>3040</v>
      </c>
      <c r="I1464" s="4"/>
      <c r="J1464" s="6">
        <v>0</v>
      </c>
      <c r="K1464" s="30" t="s">
        <v>1767</v>
      </c>
      <c r="L1464" s="4"/>
      <c r="M1464" s="3"/>
    </row>
    <row r="1465" spans="1:13" x14ac:dyDescent="0.3">
      <c r="A1465" s="3">
        <v>103</v>
      </c>
      <c r="B1465" s="3">
        <v>103</v>
      </c>
      <c r="C1465" s="4">
        <v>2191.5169999999998</v>
      </c>
      <c r="D1465" s="4">
        <v>2191.183</v>
      </c>
      <c r="E1465" s="4">
        <v>2191.8510000000001</v>
      </c>
      <c r="F1465" s="4"/>
      <c r="G1465" s="4"/>
      <c r="H1465" s="26" t="s">
        <v>3041</v>
      </c>
      <c r="I1465" s="4"/>
      <c r="J1465" s="6">
        <v>0</v>
      </c>
      <c r="K1465" s="29" t="s">
        <v>1767</v>
      </c>
      <c r="L1465" s="4"/>
      <c r="M1465" s="3"/>
    </row>
    <row r="1466" spans="1:13" x14ac:dyDescent="0.3">
      <c r="A1466" s="3">
        <v>103</v>
      </c>
      <c r="B1466" s="3">
        <v>103</v>
      </c>
      <c r="C1466" s="4">
        <v>2192.2350000000001</v>
      </c>
      <c r="D1466" s="4">
        <v>2191.8510000000001</v>
      </c>
      <c r="E1466" s="4">
        <v>2192.6179999999999</v>
      </c>
      <c r="F1466" s="4"/>
      <c r="G1466" s="4"/>
      <c r="H1466" s="25" t="s">
        <v>3042</v>
      </c>
      <c r="I1466" s="4"/>
      <c r="J1466" s="6">
        <v>0</v>
      </c>
      <c r="K1466" s="30" t="s">
        <v>1767</v>
      </c>
      <c r="L1466" s="4"/>
      <c r="M1466" s="3"/>
    </row>
    <row r="1467" spans="1:13" x14ac:dyDescent="0.3">
      <c r="A1467" s="3">
        <v>103</v>
      </c>
      <c r="B1467" s="3">
        <v>103</v>
      </c>
      <c r="C1467" s="4">
        <v>2193.0500000000002</v>
      </c>
      <c r="D1467" s="4">
        <v>2192.6179999999999</v>
      </c>
      <c r="E1467" s="4">
        <v>2193.482</v>
      </c>
      <c r="F1467" s="4"/>
      <c r="G1467" s="4"/>
      <c r="H1467" s="26" t="s">
        <v>3043</v>
      </c>
      <c r="I1467" s="4"/>
      <c r="J1467" s="6">
        <v>0</v>
      </c>
      <c r="K1467" s="29" t="s">
        <v>1767</v>
      </c>
      <c r="L1467" s="4"/>
      <c r="M1467" s="3"/>
    </row>
    <row r="1468" spans="1:13" x14ac:dyDescent="0.3">
      <c r="A1468" s="3">
        <v>103</v>
      </c>
      <c r="B1468" s="3">
        <v>103</v>
      </c>
      <c r="C1468" s="4">
        <v>2193.5</v>
      </c>
      <c r="D1468" s="4">
        <v>2193.482</v>
      </c>
      <c r="E1468" s="4">
        <v>2193.5169999999998</v>
      </c>
      <c r="F1468" s="4"/>
      <c r="G1468" s="4"/>
      <c r="H1468" s="25" t="s">
        <v>3044</v>
      </c>
      <c r="I1468" s="4"/>
      <c r="J1468" s="6">
        <v>0</v>
      </c>
      <c r="K1468" s="30" t="s">
        <v>1767</v>
      </c>
      <c r="L1468" s="4"/>
      <c r="M1468" s="3"/>
    </row>
    <row r="1469" spans="1:13" x14ac:dyDescent="0.3">
      <c r="A1469" s="3">
        <v>103</v>
      </c>
      <c r="B1469" s="3">
        <v>103</v>
      </c>
      <c r="C1469" s="4">
        <v>2194</v>
      </c>
      <c r="D1469" s="4">
        <v>2193.5169999999998</v>
      </c>
      <c r="E1469" s="4">
        <v>2194.482</v>
      </c>
      <c r="F1469" s="4"/>
      <c r="G1469" s="4"/>
      <c r="H1469" s="26" t="s">
        <v>3045</v>
      </c>
      <c r="I1469" s="4"/>
      <c r="J1469" s="6">
        <v>0</v>
      </c>
      <c r="K1469" s="29" t="s">
        <v>1767</v>
      </c>
      <c r="L1469" s="4"/>
      <c r="M1469" s="3"/>
    </row>
    <row r="1470" spans="1:13" x14ac:dyDescent="0.3">
      <c r="A1470" s="3">
        <v>103</v>
      </c>
      <c r="B1470" s="3">
        <v>103</v>
      </c>
      <c r="C1470" s="4">
        <v>2194.5619999999999</v>
      </c>
      <c r="D1470" s="4">
        <v>2194.482</v>
      </c>
      <c r="E1470" s="4">
        <v>2194.6410000000001</v>
      </c>
      <c r="F1470" s="4"/>
      <c r="G1470" s="4"/>
      <c r="H1470" s="25" t="s">
        <v>3046</v>
      </c>
      <c r="I1470" s="4"/>
      <c r="J1470" s="6">
        <v>0</v>
      </c>
      <c r="K1470" s="30" t="s">
        <v>1767</v>
      </c>
      <c r="L1470" s="4"/>
      <c r="M1470" s="3"/>
    </row>
    <row r="1471" spans="1:13" x14ac:dyDescent="0.3">
      <c r="A1471" s="3">
        <v>103</v>
      </c>
      <c r="B1471" s="3">
        <v>103</v>
      </c>
      <c r="C1471" s="4">
        <v>2194.9299999999998</v>
      </c>
      <c r="D1471" s="4">
        <v>2194.6410000000001</v>
      </c>
      <c r="E1471" s="4">
        <v>2195.2190000000001</v>
      </c>
      <c r="F1471" s="4"/>
      <c r="G1471" s="4"/>
      <c r="H1471" s="26" t="s">
        <v>3047</v>
      </c>
      <c r="I1471" s="4"/>
      <c r="J1471" s="6">
        <v>0</v>
      </c>
      <c r="K1471" s="29" t="s">
        <v>1767</v>
      </c>
      <c r="L1471" s="4"/>
      <c r="M1471" s="3"/>
    </row>
    <row r="1472" spans="1:13" x14ac:dyDescent="0.3">
      <c r="A1472" s="3">
        <v>103</v>
      </c>
      <c r="B1472" s="3">
        <v>103</v>
      </c>
      <c r="C1472" s="4">
        <v>2195.6889999999999</v>
      </c>
      <c r="D1472" s="4">
        <v>2195.2190000000001</v>
      </c>
      <c r="E1472" s="4">
        <v>2196.1590000000001</v>
      </c>
      <c r="F1472" s="4"/>
      <c r="G1472" s="4"/>
      <c r="H1472" s="25" t="s">
        <v>3048</v>
      </c>
      <c r="I1472" s="4"/>
      <c r="J1472" s="6">
        <v>0</v>
      </c>
      <c r="K1472" s="30" t="s">
        <v>1767</v>
      </c>
      <c r="L1472" s="4"/>
      <c r="M1472" s="3"/>
    </row>
    <row r="1473" spans="1:13" x14ac:dyDescent="0.3">
      <c r="A1473" s="3">
        <v>103</v>
      </c>
      <c r="B1473" s="3">
        <v>103</v>
      </c>
      <c r="C1473" s="4">
        <v>2196.326</v>
      </c>
      <c r="D1473" s="4">
        <v>2196.1590000000001</v>
      </c>
      <c r="E1473" s="4">
        <v>2196.4929999999999</v>
      </c>
      <c r="F1473" s="4"/>
      <c r="G1473" s="4"/>
      <c r="H1473" s="26" t="s">
        <v>3049</v>
      </c>
      <c r="I1473" s="4"/>
      <c r="J1473" s="6">
        <v>0</v>
      </c>
      <c r="K1473" s="29" t="s">
        <v>1767</v>
      </c>
      <c r="L1473" s="4"/>
      <c r="M1473" s="3"/>
    </row>
    <row r="1474" spans="1:13" x14ac:dyDescent="0.3">
      <c r="A1474" s="3">
        <v>103</v>
      </c>
      <c r="B1474" s="3">
        <v>103</v>
      </c>
      <c r="C1474" s="4">
        <v>2196.7829999999999</v>
      </c>
      <c r="D1474" s="4">
        <v>2196.4929999999999</v>
      </c>
      <c r="E1474" s="4">
        <v>2197.0729999999999</v>
      </c>
      <c r="F1474" s="4"/>
      <c r="G1474" s="4"/>
      <c r="H1474" s="25" t="s">
        <v>3050</v>
      </c>
      <c r="I1474" s="4"/>
      <c r="J1474" s="6">
        <v>0</v>
      </c>
      <c r="K1474" s="30" t="s">
        <v>1767</v>
      </c>
      <c r="L1474" s="4"/>
      <c r="M1474" s="3"/>
    </row>
    <row r="1475" spans="1:13" x14ac:dyDescent="0.3">
      <c r="A1475" s="3">
        <v>103</v>
      </c>
      <c r="B1475" s="3">
        <v>103</v>
      </c>
      <c r="C1475" s="4">
        <v>2197.2399999999998</v>
      </c>
      <c r="D1475" s="4">
        <v>2197.0729999999999</v>
      </c>
      <c r="E1475" s="4">
        <v>2197.4059999999999</v>
      </c>
      <c r="F1475" s="4"/>
      <c r="G1475" s="4"/>
      <c r="H1475" s="26" t="s">
        <v>3051</v>
      </c>
      <c r="I1475" s="4"/>
      <c r="J1475" s="6">
        <v>0</v>
      </c>
      <c r="K1475" s="29" t="s">
        <v>1767</v>
      </c>
      <c r="L1475" s="4"/>
      <c r="M1475" s="3"/>
    </row>
    <row r="1476" spans="1:13" x14ac:dyDescent="0.3">
      <c r="A1476" s="3">
        <v>103</v>
      </c>
      <c r="B1476" s="3">
        <v>103</v>
      </c>
      <c r="C1476" s="4">
        <v>2197.77</v>
      </c>
      <c r="D1476" s="4">
        <v>2197.4059999999999</v>
      </c>
      <c r="E1476" s="4">
        <v>2198.134</v>
      </c>
      <c r="F1476" s="4"/>
      <c r="G1476" s="4"/>
      <c r="H1476" s="25" t="s">
        <v>3052</v>
      </c>
      <c r="I1476" s="4"/>
      <c r="J1476" s="6">
        <v>0</v>
      </c>
      <c r="K1476" s="30" t="s">
        <v>1767</v>
      </c>
      <c r="L1476" s="4"/>
      <c r="M1476" s="3"/>
    </row>
    <row r="1477" spans="1:13" x14ac:dyDescent="0.3">
      <c r="A1477" s="3">
        <v>103</v>
      </c>
      <c r="B1477" s="3">
        <v>103</v>
      </c>
      <c r="C1477" s="4">
        <v>2198.2869999999998</v>
      </c>
      <c r="D1477" s="4">
        <v>2198.134</v>
      </c>
      <c r="E1477" s="4">
        <v>2198.44</v>
      </c>
      <c r="F1477" s="4"/>
      <c r="G1477" s="4"/>
      <c r="H1477" s="26" t="s">
        <v>3053</v>
      </c>
      <c r="I1477" s="4"/>
      <c r="J1477" s="6">
        <v>0</v>
      </c>
      <c r="K1477" s="29" t="s">
        <v>1767</v>
      </c>
      <c r="L1477" s="4"/>
      <c r="M1477" s="3"/>
    </row>
    <row r="1478" spans="1:13" x14ac:dyDescent="0.3">
      <c r="A1478" s="3">
        <v>103</v>
      </c>
      <c r="B1478" s="3">
        <v>103</v>
      </c>
      <c r="C1478" s="4">
        <v>2198.7710000000002</v>
      </c>
      <c r="D1478" s="4">
        <v>2198.44</v>
      </c>
      <c r="E1478" s="4">
        <v>2199.1019999999999</v>
      </c>
      <c r="F1478" s="4"/>
      <c r="G1478" s="4"/>
      <c r="H1478" s="25" t="s">
        <v>3054</v>
      </c>
      <c r="I1478" s="4"/>
      <c r="J1478" s="6">
        <v>0</v>
      </c>
      <c r="K1478" s="30" t="s">
        <v>1767</v>
      </c>
      <c r="L1478" s="4"/>
      <c r="M1478" s="3"/>
    </row>
    <row r="1479" spans="1:13" x14ac:dyDescent="0.3">
      <c r="A1479" s="3">
        <v>103</v>
      </c>
      <c r="B1479" s="3">
        <v>103</v>
      </c>
      <c r="C1479" s="4">
        <v>2199.2339999999999</v>
      </c>
      <c r="D1479" s="4">
        <v>2199.1019999999999</v>
      </c>
      <c r="E1479" s="4">
        <v>2199.366</v>
      </c>
      <c r="F1479" s="4"/>
      <c r="G1479" s="4"/>
      <c r="H1479" s="26" t="s">
        <v>3055</v>
      </c>
      <c r="I1479" s="4"/>
      <c r="J1479" s="6">
        <v>0</v>
      </c>
      <c r="K1479" s="29" t="s">
        <v>1767</v>
      </c>
      <c r="L1479" s="4"/>
      <c r="M1479" s="3"/>
    </row>
    <row r="1480" spans="1:13" x14ac:dyDescent="0.3">
      <c r="A1480" s="3">
        <v>103</v>
      </c>
      <c r="B1480" s="3">
        <v>103</v>
      </c>
      <c r="C1480" s="4">
        <v>2199.4360000000001</v>
      </c>
      <c r="D1480" s="4">
        <v>2199.366</v>
      </c>
      <c r="E1480" s="4">
        <v>2199.5050000000001</v>
      </c>
      <c r="F1480" s="4"/>
      <c r="G1480" s="4"/>
      <c r="H1480" s="25" t="s">
        <v>3056</v>
      </c>
      <c r="I1480" s="4"/>
      <c r="J1480" s="6">
        <v>0</v>
      </c>
      <c r="K1480" s="30" t="s">
        <v>1767</v>
      </c>
      <c r="L1480" s="4"/>
      <c r="M1480" s="3"/>
    </row>
    <row r="1481" spans="1:13" x14ac:dyDescent="0.3">
      <c r="A1481" s="3">
        <v>103</v>
      </c>
      <c r="B1481" s="3">
        <v>103</v>
      </c>
      <c r="C1481" s="4">
        <v>2200.0790000000002</v>
      </c>
      <c r="D1481" s="4">
        <v>2199.5050000000001</v>
      </c>
      <c r="E1481" s="4">
        <v>2200.652</v>
      </c>
      <c r="F1481" s="4"/>
      <c r="G1481" s="4"/>
      <c r="H1481" s="26" t="s">
        <v>3057</v>
      </c>
      <c r="I1481" s="4"/>
      <c r="J1481" s="6">
        <v>0</v>
      </c>
      <c r="K1481" s="29" t="s">
        <v>1767</v>
      </c>
      <c r="L1481" s="4"/>
      <c r="M1481" s="3"/>
    </row>
    <row r="1482" spans="1:13" x14ac:dyDescent="0.3">
      <c r="A1482" s="3">
        <v>103</v>
      </c>
      <c r="B1482" s="3">
        <v>103</v>
      </c>
      <c r="C1482" s="4">
        <v>2200.6660000000002</v>
      </c>
      <c r="D1482" s="4">
        <v>2200.652</v>
      </c>
      <c r="E1482" s="4">
        <v>2200.6790000000001</v>
      </c>
      <c r="F1482" s="4"/>
      <c r="G1482" s="4"/>
      <c r="H1482" s="25" t="s">
        <v>3058</v>
      </c>
      <c r="I1482" s="4"/>
      <c r="J1482" s="6">
        <v>0</v>
      </c>
      <c r="K1482" s="30" t="s">
        <v>1767</v>
      </c>
      <c r="L1482" s="4"/>
      <c r="M1482" s="3"/>
    </row>
    <row r="1483" spans="1:13" x14ac:dyDescent="0.3">
      <c r="A1483" s="3">
        <v>103</v>
      </c>
      <c r="B1483" s="3">
        <v>103</v>
      </c>
      <c r="C1483" s="4">
        <v>2201.0250000000001</v>
      </c>
      <c r="D1483" s="4">
        <v>2200.6790000000001</v>
      </c>
      <c r="E1483" s="4">
        <v>2201.3710000000001</v>
      </c>
      <c r="F1483" s="4"/>
      <c r="G1483" s="4"/>
      <c r="H1483" s="26" t="s">
        <v>3059</v>
      </c>
      <c r="I1483" s="4"/>
      <c r="J1483" s="6">
        <v>0</v>
      </c>
      <c r="K1483" s="29" t="s">
        <v>1767</v>
      </c>
      <c r="L1483" s="4"/>
      <c r="M1483" s="3"/>
    </row>
    <row r="1484" spans="1:13" x14ac:dyDescent="0.3">
      <c r="A1484" s="3">
        <v>103</v>
      </c>
      <c r="B1484" s="3">
        <v>103</v>
      </c>
      <c r="C1484" s="4">
        <v>2201.4850000000001</v>
      </c>
      <c r="D1484" s="4">
        <v>2201.3710000000001</v>
      </c>
      <c r="E1484" s="4">
        <v>2201.598</v>
      </c>
      <c r="F1484" s="4"/>
      <c r="G1484" s="4"/>
      <c r="H1484" s="25" t="s">
        <v>3060</v>
      </c>
      <c r="I1484" s="4"/>
      <c r="J1484" s="6">
        <v>0</v>
      </c>
      <c r="K1484" s="30" t="s">
        <v>1767</v>
      </c>
      <c r="L1484" s="4"/>
      <c r="M1484" s="3"/>
    </row>
    <row r="1485" spans="1:13" x14ac:dyDescent="0.3">
      <c r="A1485" s="3">
        <v>103</v>
      </c>
      <c r="B1485" s="3">
        <v>103</v>
      </c>
      <c r="C1485" s="4">
        <v>2201.8560000000002</v>
      </c>
      <c r="D1485" s="4">
        <v>2201.598</v>
      </c>
      <c r="E1485" s="4">
        <v>2202.114</v>
      </c>
      <c r="F1485" s="4"/>
      <c r="G1485" s="4"/>
      <c r="H1485" s="26" t="s">
        <v>3061</v>
      </c>
      <c r="I1485" s="4"/>
      <c r="J1485" s="6">
        <v>0</v>
      </c>
      <c r="K1485" s="29" t="s">
        <v>1767</v>
      </c>
      <c r="L1485" s="4"/>
      <c r="M1485" s="3"/>
    </row>
    <row r="1486" spans="1:13" x14ac:dyDescent="0.3">
      <c r="A1486" s="3">
        <v>103</v>
      </c>
      <c r="B1486" s="3">
        <v>103</v>
      </c>
      <c r="C1486" s="4">
        <v>2202.2800000000002</v>
      </c>
      <c r="D1486" s="4">
        <v>2202.114</v>
      </c>
      <c r="E1486" s="4">
        <v>2202.4459999999999</v>
      </c>
      <c r="F1486" s="4"/>
      <c r="G1486" s="4"/>
      <c r="H1486" s="25" t="s">
        <v>3062</v>
      </c>
      <c r="I1486" s="4"/>
      <c r="J1486" s="6">
        <v>0</v>
      </c>
      <c r="K1486" s="30" t="s">
        <v>1767</v>
      </c>
      <c r="L1486" s="4"/>
      <c r="M1486" s="3"/>
    </row>
    <row r="1487" spans="1:13" x14ac:dyDescent="0.3">
      <c r="A1487" s="3">
        <v>103</v>
      </c>
      <c r="B1487" s="3">
        <v>103</v>
      </c>
      <c r="C1487" s="4">
        <v>2202.7649999999999</v>
      </c>
      <c r="D1487" s="4">
        <v>2202.4459999999999</v>
      </c>
      <c r="E1487" s="4">
        <v>2203.0830000000001</v>
      </c>
      <c r="F1487" s="4"/>
      <c r="G1487" s="4"/>
      <c r="H1487" s="26" t="s">
        <v>3063</v>
      </c>
      <c r="I1487" s="4"/>
      <c r="J1487" s="6">
        <v>0</v>
      </c>
      <c r="K1487" s="29" t="s">
        <v>1767</v>
      </c>
      <c r="L1487" s="4"/>
      <c r="M1487" s="3"/>
    </row>
    <row r="1488" spans="1:13" x14ac:dyDescent="0.3">
      <c r="A1488" s="3">
        <v>103</v>
      </c>
      <c r="B1488" s="3">
        <v>103</v>
      </c>
      <c r="C1488" s="4">
        <v>2203.1750000000002</v>
      </c>
      <c r="D1488" s="4">
        <v>2203.0830000000001</v>
      </c>
      <c r="E1488" s="4">
        <v>2203.2660000000001</v>
      </c>
      <c r="F1488" s="4"/>
      <c r="G1488" s="4"/>
      <c r="H1488" s="25" t="s">
        <v>3064</v>
      </c>
      <c r="I1488" s="4"/>
      <c r="J1488" s="6">
        <v>0</v>
      </c>
      <c r="K1488" s="30" t="s">
        <v>1767</v>
      </c>
      <c r="L1488" s="4"/>
      <c r="M1488" s="3"/>
    </row>
    <row r="1489" spans="1:13" x14ac:dyDescent="0.3">
      <c r="A1489" s="3">
        <v>103</v>
      </c>
      <c r="B1489" s="3">
        <v>103</v>
      </c>
      <c r="C1489" s="4">
        <v>2203.4549999999999</v>
      </c>
      <c r="D1489" s="4">
        <v>2203.2660000000001</v>
      </c>
      <c r="E1489" s="4">
        <v>2203.643</v>
      </c>
      <c r="F1489" s="4"/>
      <c r="G1489" s="4"/>
      <c r="H1489" s="26" t="s">
        <v>3065</v>
      </c>
      <c r="I1489" s="4"/>
      <c r="J1489" s="6">
        <v>0</v>
      </c>
      <c r="K1489" s="29" t="s">
        <v>1767</v>
      </c>
      <c r="L1489" s="4"/>
      <c r="M1489" s="3"/>
    </row>
    <row r="1490" spans="1:13" x14ac:dyDescent="0.3">
      <c r="A1490" s="3">
        <v>102</v>
      </c>
      <c r="B1490" s="3">
        <v>102</v>
      </c>
      <c r="C1490" s="4">
        <v>0.30199999999999999</v>
      </c>
      <c r="D1490" s="4">
        <v>0.1</v>
      </c>
      <c r="E1490" s="4">
        <v>0.504</v>
      </c>
      <c r="F1490" s="4"/>
      <c r="G1490" s="4"/>
      <c r="H1490" s="27" t="s">
        <v>3066</v>
      </c>
      <c r="I1490" s="4"/>
      <c r="J1490" s="6">
        <v>0</v>
      </c>
      <c r="K1490" s="30" t="s">
        <v>3067</v>
      </c>
      <c r="L1490" s="4"/>
      <c r="M1490" s="3"/>
    </row>
    <row r="1491" spans="1:13" x14ac:dyDescent="0.3">
      <c r="A1491" s="3">
        <v>102</v>
      </c>
      <c r="B1491" s="3">
        <v>102</v>
      </c>
      <c r="C1491" s="4">
        <v>0.8175</v>
      </c>
      <c r="D1491" s="4">
        <v>0.504</v>
      </c>
      <c r="E1491" s="4">
        <v>1.131</v>
      </c>
      <c r="F1491" s="4"/>
      <c r="G1491" s="4"/>
      <c r="H1491" s="28" t="s">
        <v>3068</v>
      </c>
      <c r="I1491" s="4"/>
      <c r="J1491" s="6">
        <v>0</v>
      </c>
      <c r="K1491" s="29" t="s">
        <v>3067</v>
      </c>
      <c r="L1491" s="4"/>
      <c r="M1491" s="3"/>
    </row>
    <row r="1492" spans="1:13" x14ac:dyDescent="0.3">
      <c r="A1492" s="3">
        <v>102</v>
      </c>
      <c r="B1492" s="3">
        <v>102</v>
      </c>
      <c r="C1492" s="4">
        <v>1.3525</v>
      </c>
      <c r="D1492" s="4">
        <v>1.131</v>
      </c>
      <c r="E1492" s="4">
        <v>1.5740000000000001</v>
      </c>
      <c r="F1492" s="4"/>
      <c r="G1492" s="4"/>
      <c r="H1492" s="27" t="s">
        <v>3069</v>
      </c>
      <c r="I1492" s="4"/>
      <c r="J1492" s="6">
        <v>0</v>
      </c>
      <c r="K1492" s="30" t="s">
        <v>3067</v>
      </c>
      <c r="L1492" s="4"/>
      <c r="M1492" s="3"/>
    </row>
    <row r="1493" spans="1:13" x14ac:dyDescent="0.3">
      <c r="A1493" s="3">
        <v>102</v>
      </c>
      <c r="B1493" s="3">
        <v>102</v>
      </c>
      <c r="C1493" s="4">
        <v>1.5974999999999999</v>
      </c>
      <c r="D1493" s="4">
        <v>1.5740000000000001</v>
      </c>
      <c r="E1493" s="4">
        <v>1.621</v>
      </c>
      <c r="F1493" s="4"/>
      <c r="G1493" s="4"/>
      <c r="H1493" s="28" t="s">
        <v>3070</v>
      </c>
      <c r="I1493" s="4"/>
      <c r="J1493" s="6">
        <v>0</v>
      </c>
      <c r="K1493" s="29" t="s">
        <v>3067</v>
      </c>
      <c r="L1493" s="4"/>
      <c r="M1493" s="3"/>
    </row>
    <row r="1494" spans="1:13" x14ac:dyDescent="0.3">
      <c r="A1494" s="3">
        <v>102</v>
      </c>
      <c r="B1494" s="3">
        <v>102</v>
      </c>
      <c r="C1494" s="4">
        <v>1.8460000000000001</v>
      </c>
      <c r="D1494" s="4">
        <v>1.621</v>
      </c>
      <c r="E1494" s="4">
        <v>2.0710000000000002</v>
      </c>
      <c r="F1494" s="4"/>
      <c r="G1494" s="4"/>
      <c r="H1494" s="27" t="s">
        <v>3071</v>
      </c>
      <c r="I1494" s="4"/>
      <c r="J1494" s="6">
        <v>0</v>
      </c>
      <c r="K1494" s="30" t="s">
        <v>3067</v>
      </c>
      <c r="L1494" s="4"/>
      <c r="M1494" s="3"/>
    </row>
    <row r="1495" spans="1:13" x14ac:dyDescent="0.3">
      <c r="A1495" s="3">
        <v>102</v>
      </c>
      <c r="B1495" s="3">
        <v>102</v>
      </c>
      <c r="C1495" s="4">
        <v>2.3650000000000002</v>
      </c>
      <c r="D1495" s="4">
        <v>2.0710000000000002</v>
      </c>
      <c r="E1495" s="4">
        <v>2.6589999999999998</v>
      </c>
      <c r="F1495" s="4"/>
      <c r="G1495" s="4"/>
      <c r="H1495" s="28" t="s">
        <v>3072</v>
      </c>
      <c r="I1495" s="4"/>
      <c r="J1495" s="6">
        <v>0</v>
      </c>
      <c r="K1495" s="29" t="s">
        <v>3067</v>
      </c>
      <c r="L1495" s="4"/>
      <c r="M1495" s="3"/>
    </row>
    <row r="1496" spans="1:13" x14ac:dyDescent="0.3">
      <c r="A1496" s="3">
        <v>102</v>
      </c>
      <c r="B1496" s="3">
        <v>102</v>
      </c>
      <c r="C1496" s="4">
        <v>2.8504999999999998</v>
      </c>
      <c r="D1496" s="4">
        <v>2.6589999999999998</v>
      </c>
      <c r="E1496" s="4">
        <v>3.0419999999999998</v>
      </c>
      <c r="F1496" s="4"/>
      <c r="G1496" s="4"/>
      <c r="H1496" s="27" t="s">
        <v>3073</v>
      </c>
      <c r="I1496" s="4"/>
      <c r="J1496" s="6">
        <v>0</v>
      </c>
      <c r="K1496" s="30" t="s">
        <v>3067</v>
      </c>
      <c r="L1496" s="4"/>
      <c r="M1496" s="3"/>
    </row>
    <row r="1497" spans="1:13" x14ac:dyDescent="0.3">
      <c r="A1497" s="3">
        <v>102</v>
      </c>
      <c r="B1497" s="3">
        <v>102</v>
      </c>
      <c r="C1497" s="4">
        <v>3.0585</v>
      </c>
      <c r="D1497" s="4">
        <v>3.0419999999999998</v>
      </c>
      <c r="E1497" s="4">
        <v>3.0750000000000002</v>
      </c>
      <c r="F1497" s="4"/>
      <c r="G1497" s="4"/>
      <c r="H1497" s="28" t="s">
        <v>3074</v>
      </c>
      <c r="I1497" s="4"/>
      <c r="J1497" s="6">
        <v>0</v>
      </c>
      <c r="K1497" s="29" t="s">
        <v>3067</v>
      </c>
      <c r="L1497" s="4"/>
      <c r="M1497" s="3"/>
    </row>
    <row r="1498" spans="1:13" x14ac:dyDescent="0.3">
      <c r="A1498" s="3">
        <v>102</v>
      </c>
      <c r="B1498" s="3">
        <v>102</v>
      </c>
      <c r="C1498" s="4">
        <v>3.3679999999999999</v>
      </c>
      <c r="D1498" s="4">
        <v>3.0750000000000002</v>
      </c>
      <c r="E1498" s="4">
        <v>3.661</v>
      </c>
      <c r="F1498" s="4"/>
      <c r="G1498" s="4"/>
      <c r="H1498" s="27" t="s">
        <v>3075</v>
      </c>
      <c r="I1498" s="4"/>
      <c r="J1498" s="6">
        <v>0</v>
      </c>
      <c r="K1498" s="30" t="s">
        <v>3067</v>
      </c>
      <c r="L1498" s="4"/>
      <c r="M1498" s="3"/>
    </row>
    <row r="1499" spans="1:13" x14ac:dyDescent="0.3">
      <c r="A1499" s="3">
        <v>102</v>
      </c>
      <c r="B1499" s="3">
        <v>102</v>
      </c>
      <c r="C1499" s="4">
        <v>3.843</v>
      </c>
      <c r="D1499" s="4">
        <v>3.661</v>
      </c>
      <c r="E1499" s="4">
        <v>4.0250000000000004</v>
      </c>
      <c r="F1499" s="4"/>
      <c r="G1499" s="4"/>
      <c r="H1499" s="28" t="s">
        <v>3076</v>
      </c>
      <c r="I1499" s="4"/>
      <c r="J1499" s="6">
        <v>0</v>
      </c>
      <c r="K1499" s="29" t="s">
        <v>3067</v>
      </c>
      <c r="L1499" s="4"/>
      <c r="M1499" s="3"/>
    </row>
    <row r="1500" spans="1:13" x14ac:dyDescent="0.3">
      <c r="A1500" s="3">
        <v>102</v>
      </c>
      <c r="B1500" s="3">
        <v>102</v>
      </c>
      <c r="C1500" s="4">
        <v>4.3155000000000001</v>
      </c>
      <c r="D1500" s="4">
        <v>4.0250000000000004</v>
      </c>
      <c r="E1500" s="4">
        <v>4.6059999999999999</v>
      </c>
      <c r="F1500" s="4"/>
      <c r="G1500" s="4"/>
      <c r="H1500" s="27" t="s">
        <v>3077</v>
      </c>
      <c r="I1500" s="4"/>
      <c r="J1500" s="6">
        <v>0</v>
      </c>
      <c r="K1500" s="30" t="s">
        <v>3067</v>
      </c>
      <c r="L1500" s="4"/>
      <c r="M1500" s="3"/>
    </row>
    <row r="1501" spans="1:13" x14ac:dyDescent="0.3">
      <c r="A1501" s="3">
        <v>102</v>
      </c>
      <c r="B1501" s="3">
        <v>102</v>
      </c>
      <c r="C1501" s="4">
        <v>4.6924999999999999</v>
      </c>
      <c r="D1501" s="4">
        <v>4.6059999999999999</v>
      </c>
      <c r="E1501" s="4">
        <v>4.7789999999999999</v>
      </c>
      <c r="F1501" s="4"/>
      <c r="G1501" s="4"/>
      <c r="H1501" s="28" t="s">
        <v>3078</v>
      </c>
      <c r="I1501" s="4"/>
      <c r="J1501" s="6">
        <v>0</v>
      </c>
      <c r="K1501" s="29" t="s">
        <v>3067</v>
      </c>
      <c r="L1501" s="4"/>
      <c r="M1501" s="3"/>
    </row>
    <row r="1502" spans="1:13" x14ac:dyDescent="0.3">
      <c r="A1502" s="3">
        <v>102</v>
      </c>
      <c r="B1502" s="3">
        <v>102</v>
      </c>
      <c r="C1502" s="4">
        <v>5.1704999999999997</v>
      </c>
      <c r="D1502" s="4">
        <v>4.7789999999999999</v>
      </c>
      <c r="E1502" s="4">
        <v>5.5620000000000003</v>
      </c>
      <c r="F1502" s="4"/>
      <c r="G1502" s="4"/>
      <c r="H1502" s="27" t="s">
        <v>3079</v>
      </c>
      <c r="I1502" s="4"/>
      <c r="J1502" s="6">
        <v>0</v>
      </c>
      <c r="K1502" s="30" t="s">
        <v>3067</v>
      </c>
      <c r="L1502" s="4"/>
      <c r="M1502" s="3"/>
    </row>
    <row r="1503" spans="1:13" x14ac:dyDescent="0.3">
      <c r="A1503" s="3">
        <v>102</v>
      </c>
      <c r="B1503" s="3">
        <v>102</v>
      </c>
      <c r="C1503" s="4">
        <v>5.5934999999999997</v>
      </c>
      <c r="D1503" s="4">
        <v>5.5620000000000003</v>
      </c>
      <c r="E1503" s="4">
        <v>5.625</v>
      </c>
      <c r="F1503" s="4"/>
      <c r="G1503" s="4"/>
      <c r="H1503" s="28" t="s">
        <v>3080</v>
      </c>
      <c r="I1503" s="4"/>
      <c r="J1503" s="6">
        <v>0</v>
      </c>
      <c r="K1503" s="29" t="s">
        <v>3067</v>
      </c>
      <c r="L1503" s="4"/>
      <c r="M1503" s="3"/>
    </row>
    <row r="1504" spans="1:13" x14ac:dyDescent="0.3">
      <c r="A1504" s="3">
        <v>102</v>
      </c>
      <c r="B1504" s="3">
        <v>102</v>
      </c>
      <c r="C1504" s="4">
        <v>5.8535000000000004</v>
      </c>
      <c r="D1504" s="4">
        <v>5.625</v>
      </c>
      <c r="E1504" s="4">
        <v>6.0819999999999999</v>
      </c>
      <c r="F1504" s="4"/>
      <c r="G1504" s="4"/>
      <c r="H1504" s="27" t="s">
        <v>3081</v>
      </c>
      <c r="I1504" s="4"/>
      <c r="J1504" s="6">
        <v>0</v>
      </c>
      <c r="K1504" s="30" t="s">
        <v>3067</v>
      </c>
      <c r="L1504" s="4"/>
      <c r="M1504" s="3"/>
    </row>
    <row r="1505" spans="1:13" x14ac:dyDescent="0.3">
      <c r="A1505" s="3">
        <v>102</v>
      </c>
      <c r="B1505" s="3">
        <v>102</v>
      </c>
      <c r="C1505" s="4">
        <v>6.3730000000000002</v>
      </c>
      <c r="D1505" s="4">
        <v>6.0819999999999999</v>
      </c>
      <c r="E1505" s="4">
        <v>6.6639999999999997</v>
      </c>
      <c r="F1505" s="4"/>
      <c r="G1505" s="4"/>
      <c r="H1505" s="28" t="s">
        <v>3082</v>
      </c>
      <c r="I1505" s="4"/>
      <c r="J1505" s="6">
        <v>0</v>
      </c>
      <c r="K1505" s="29" t="s">
        <v>3067</v>
      </c>
      <c r="L1505" s="4"/>
      <c r="M1505" s="3"/>
    </row>
    <row r="1506" spans="1:13" x14ac:dyDescent="0.3">
      <c r="A1506" s="3">
        <v>102</v>
      </c>
      <c r="B1506" s="3">
        <v>102</v>
      </c>
      <c r="C1506" s="4">
        <v>6.8754999999999997</v>
      </c>
      <c r="D1506" s="4">
        <v>6.6639999999999997</v>
      </c>
      <c r="E1506" s="4">
        <v>7.0869999999999997</v>
      </c>
      <c r="F1506" s="4"/>
      <c r="G1506" s="4"/>
      <c r="H1506" s="27" t="s">
        <v>3083</v>
      </c>
      <c r="I1506" s="4"/>
      <c r="J1506" s="6">
        <v>0</v>
      </c>
      <c r="K1506" s="30" t="s">
        <v>3067</v>
      </c>
      <c r="L1506" s="4"/>
      <c r="M1506" s="3"/>
    </row>
    <row r="1507" spans="1:13" x14ac:dyDescent="0.3">
      <c r="A1507" s="3">
        <v>102</v>
      </c>
      <c r="B1507" s="3">
        <v>102</v>
      </c>
      <c r="C1507" s="4">
        <v>7.1035000000000004</v>
      </c>
      <c r="D1507" s="4">
        <v>7.0869999999999997</v>
      </c>
      <c r="E1507" s="4">
        <v>7.12</v>
      </c>
      <c r="F1507" s="4"/>
      <c r="G1507" s="4"/>
      <c r="H1507" s="28" t="s">
        <v>3084</v>
      </c>
      <c r="I1507" s="4"/>
      <c r="J1507" s="6">
        <v>0</v>
      </c>
      <c r="K1507" s="29" t="s">
        <v>3067</v>
      </c>
      <c r="L1507" s="4"/>
      <c r="M1507" s="3"/>
    </row>
    <row r="1508" spans="1:13" x14ac:dyDescent="0.3">
      <c r="A1508" s="3">
        <v>102</v>
      </c>
      <c r="B1508" s="3">
        <v>102</v>
      </c>
      <c r="C1508" s="4">
        <v>7.5350000000000001</v>
      </c>
      <c r="D1508" s="4">
        <v>7.12</v>
      </c>
      <c r="E1508" s="4">
        <v>7.95</v>
      </c>
      <c r="F1508" s="4"/>
      <c r="G1508" s="4"/>
      <c r="H1508" s="27" t="s">
        <v>3085</v>
      </c>
      <c r="I1508" s="4"/>
      <c r="J1508" s="6">
        <v>0</v>
      </c>
      <c r="K1508" s="30" t="s">
        <v>3067</v>
      </c>
      <c r="L1508" s="4"/>
      <c r="M1508" s="3"/>
    </row>
    <row r="1509" spans="1:13" x14ac:dyDescent="0.3">
      <c r="A1509" s="3">
        <v>102</v>
      </c>
      <c r="B1509" s="3">
        <v>102</v>
      </c>
      <c r="C1509" s="4">
        <v>8.0184999999999995</v>
      </c>
      <c r="D1509" s="4">
        <v>7.95</v>
      </c>
      <c r="E1509" s="4">
        <v>8.0869999999999997</v>
      </c>
      <c r="F1509" s="4"/>
      <c r="G1509" s="4"/>
      <c r="H1509" s="28" t="s">
        <v>3086</v>
      </c>
      <c r="I1509" s="4"/>
      <c r="J1509" s="6">
        <v>0</v>
      </c>
      <c r="K1509" s="29" t="s">
        <v>3067</v>
      </c>
      <c r="L1509" s="4"/>
      <c r="M1509" s="3"/>
    </row>
    <row r="1510" spans="1:13" x14ac:dyDescent="0.3">
      <c r="A1510" s="3">
        <v>102</v>
      </c>
      <c r="B1510" s="3">
        <v>102</v>
      </c>
      <c r="C1510" s="4">
        <v>8.3919999999999995</v>
      </c>
      <c r="D1510" s="4">
        <v>8.0869999999999997</v>
      </c>
      <c r="E1510" s="4">
        <v>8.6969999999999992</v>
      </c>
      <c r="F1510" s="4"/>
      <c r="G1510" s="4"/>
      <c r="H1510" s="27" t="s">
        <v>3087</v>
      </c>
      <c r="I1510" s="4"/>
      <c r="J1510" s="6">
        <v>0</v>
      </c>
      <c r="K1510" s="30" t="s">
        <v>3067</v>
      </c>
      <c r="L1510" s="4"/>
      <c r="M1510" s="3"/>
    </row>
    <row r="1511" spans="1:13" x14ac:dyDescent="0.3">
      <c r="A1511" s="3">
        <v>102</v>
      </c>
      <c r="B1511" s="3">
        <v>102</v>
      </c>
      <c r="C1511" s="4">
        <v>8.9655000000000005</v>
      </c>
      <c r="D1511" s="4">
        <v>8.6969999999999992</v>
      </c>
      <c r="E1511" s="4">
        <v>9.234</v>
      </c>
      <c r="F1511" s="4"/>
      <c r="G1511" s="4"/>
      <c r="H1511" s="28" t="s">
        <v>3088</v>
      </c>
      <c r="I1511" s="4"/>
      <c r="J1511" s="6">
        <v>0</v>
      </c>
      <c r="K1511" s="29" t="s">
        <v>3067</v>
      </c>
      <c r="L1511" s="4"/>
      <c r="M1511" s="3"/>
    </row>
    <row r="1512" spans="1:13" x14ac:dyDescent="0.3">
      <c r="A1512" s="3">
        <v>102</v>
      </c>
      <c r="B1512" s="3">
        <v>102</v>
      </c>
      <c r="C1512" s="4">
        <v>9.4924999999999997</v>
      </c>
      <c r="D1512" s="4">
        <v>9.234</v>
      </c>
      <c r="E1512" s="4">
        <v>9.7509999999999994</v>
      </c>
      <c r="F1512" s="4"/>
      <c r="G1512" s="4"/>
      <c r="H1512" s="27" t="s">
        <v>3089</v>
      </c>
      <c r="I1512" s="4"/>
      <c r="J1512" s="6">
        <v>0</v>
      </c>
      <c r="K1512" s="30" t="s">
        <v>3067</v>
      </c>
      <c r="L1512" s="4"/>
      <c r="M1512" s="3"/>
    </row>
    <row r="1513" spans="1:13" x14ac:dyDescent="0.3">
      <c r="A1513" s="3">
        <v>102</v>
      </c>
      <c r="B1513" s="3">
        <v>102</v>
      </c>
      <c r="C1513" s="4">
        <v>9.8785000000000007</v>
      </c>
      <c r="D1513" s="4">
        <v>9.7509999999999994</v>
      </c>
      <c r="E1513" s="4">
        <v>10.006</v>
      </c>
      <c r="F1513" s="4"/>
      <c r="G1513" s="4"/>
      <c r="H1513" s="28" t="s">
        <v>3090</v>
      </c>
      <c r="I1513" s="4"/>
      <c r="J1513" s="6">
        <v>0</v>
      </c>
      <c r="K1513" s="29" t="s">
        <v>3067</v>
      </c>
      <c r="L1513" s="4"/>
      <c r="M1513" s="3"/>
    </row>
    <row r="1514" spans="1:13" x14ac:dyDescent="0.3">
      <c r="A1514" s="3">
        <v>102</v>
      </c>
      <c r="B1514" s="3">
        <v>102</v>
      </c>
      <c r="C1514" s="4">
        <v>10.2195</v>
      </c>
      <c r="D1514" s="4">
        <v>10.006</v>
      </c>
      <c r="E1514" s="4">
        <v>10.433</v>
      </c>
      <c r="F1514" s="4"/>
      <c r="G1514" s="4"/>
      <c r="H1514" s="27" t="s">
        <v>3091</v>
      </c>
      <c r="I1514" s="4"/>
      <c r="J1514" s="6">
        <v>0</v>
      </c>
      <c r="K1514" s="30" t="s">
        <v>3067</v>
      </c>
      <c r="L1514" s="4"/>
      <c r="M1514" s="3"/>
    </row>
    <row r="1515" spans="1:13" x14ac:dyDescent="0.3">
      <c r="A1515" s="3">
        <v>102</v>
      </c>
      <c r="B1515" s="3">
        <v>102</v>
      </c>
      <c r="C1515" s="4">
        <v>10.515499999999999</v>
      </c>
      <c r="D1515" s="4">
        <v>10.433</v>
      </c>
      <c r="E1515" s="4">
        <v>10.598000000000001</v>
      </c>
      <c r="F1515" s="4"/>
      <c r="G1515" s="4"/>
      <c r="H1515" s="28" t="s">
        <v>3092</v>
      </c>
      <c r="I1515" s="4"/>
      <c r="J1515" s="6">
        <v>0</v>
      </c>
      <c r="K1515" s="29" t="s">
        <v>3067</v>
      </c>
      <c r="L1515" s="4"/>
      <c r="M1515" s="3"/>
    </row>
    <row r="1516" spans="1:13" x14ac:dyDescent="0.3">
      <c r="A1516" s="3">
        <v>102</v>
      </c>
      <c r="B1516" s="3">
        <v>102</v>
      </c>
      <c r="C1516" s="4">
        <v>10.89</v>
      </c>
      <c r="D1516" s="4">
        <v>10.598000000000001</v>
      </c>
      <c r="E1516" s="4">
        <v>11.182</v>
      </c>
      <c r="F1516" s="4"/>
      <c r="G1516" s="4"/>
      <c r="H1516" s="27" t="s">
        <v>3093</v>
      </c>
      <c r="I1516" s="4"/>
      <c r="J1516" s="6">
        <v>0</v>
      </c>
      <c r="K1516" s="30" t="s">
        <v>3067</v>
      </c>
      <c r="L1516" s="4"/>
      <c r="M1516" s="3"/>
    </row>
    <row r="1517" spans="1:13" x14ac:dyDescent="0.3">
      <c r="A1517" s="3">
        <v>102</v>
      </c>
      <c r="B1517" s="3">
        <v>102</v>
      </c>
      <c r="C1517" s="4">
        <v>11.407500000000001</v>
      </c>
      <c r="D1517" s="4">
        <v>11.182</v>
      </c>
      <c r="E1517" s="4">
        <v>11.632999999999999</v>
      </c>
      <c r="F1517" s="4"/>
      <c r="G1517" s="4"/>
      <c r="H1517" s="28" t="s">
        <v>3094</v>
      </c>
      <c r="I1517" s="4"/>
      <c r="J1517" s="6">
        <v>0</v>
      </c>
      <c r="K1517" s="29" t="s">
        <v>3067</v>
      </c>
      <c r="L1517" s="4"/>
      <c r="M1517" s="3"/>
    </row>
    <row r="1518" spans="1:13" x14ac:dyDescent="0.3">
      <c r="A1518" s="3">
        <v>102</v>
      </c>
      <c r="B1518" s="3">
        <v>102</v>
      </c>
      <c r="C1518" s="4">
        <v>11.772</v>
      </c>
      <c r="D1518" s="4">
        <v>11.632999999999999</v>
      </c>
      <c r="E1518" s="4">
        <v>11.911</v>
      </c>
      <c r="F1518" s="4"/>
      <c r="G1518" s="4"/>
      <c r="H1518" s="27" t="s">
        <v>3095</v>
      </c>
      <c r="I1518" s="4"/>
      <c r="J1518" s="6">
        <v>0</v>
      </c>
      <c r="K1518" s="30" t="s">
        <v>3067</v>
      </c>
      <c r="L1518" s="4"/>
      <c r="M1518" s="3"/>
    </row>
    <row r="1519" spans="1:13" x14ac:dyDescent="0.3">
      <c r="A1519" s="3">
        <v>102</v>
      </c>
      <c r="B1519" s="3">
        <v>102</v>
      </c>
      <c r="C1519" s="4">
        <v>12.0465</v>
      </c>
      <c r="D1519" s="4">
        <v>11.911</v>
      </c>
      <c r="E1519" s="4">
        <v>12.182</v>
      </c>
      <c r="F1519" s="4"/>
      <c r="G1519" s="4"/>
      <c r="H1519" s="28" t="s">
        <v>3096</v>
      </c>
      <c r="I1519" s="4"/>
      <c r="J1519" s="6">
        <v>0</v>
      </c>
      <c r="K1519" s="29" t="s">
        <v>3067</v>
      </c>
      <c r="L1519" s="4"/>
      <c r="M1519" s="3"/>
    </row>
    <row r="1520" spans="1:13" x14ac:dyDescent="0.3">
      <c r="A1520" s="3">
        <v>102</v>
      </c>
      <c r="B1520" s="3">
        <v>102</v>
      </c>
      <c r="C1520" s="4">
        <v>12.778499999999999</v>
      </c>
      <c r="D1520" s="4">
        <v>12.182</v>
      </c>
      <c r="E1520" s="4">
        <v>13.375</v>
      </c>
      <c r="F1520" s="4"/>
      <c r="G1520" s="4"/>
      <c r="H1520" s="27" t="s">
        <v>3097</v>
      </c>
      <c r="I1520" s="4"/>
      <c r="J1520" s="6">
        <v>0</v>
      </c>
      <c r="K1520" s="30" t="s">
        <v>3067</v>
      </c>
      <c r="L1520" s="4"/>
      <c r="M1520" s="3"/>
    </row>
    <row r="1521" spans="1:13" x14ac:dyDescent="0.3">
      <c r="A1521" s="3">
        <v>102</v>
      </c>
      <c r="B1521" s="3">
        <v>102</v>
      </c>
      <c r="C1521" s="4">
        <v>13.468999999999999</v>
      </c>
      <c r="D1521" s="4">
        <v>13.375</v>
      </c>
      <c r="E1521" s="4">
        <v>13.563000000000001</v>
      </c>
      <c r="F1521" s="4"/>
      <c r="G1521" s="4"/>
      <c r="H1521" s="28" t="s">
        <v>3098</v>
      </c>
      <c r="I1521" s="4"/>
      <c r="J1521" s="6">
        <v>0</v>
      </c>
      <c r="K1521" s="29" t="s">
        <v>3067</v>
      </c>
      <c r="L1521" s="4"/>
      <c r="M1521" s="3"/>
    </row>
    <row r="1522" spans="1:13" x14ac:dyDescent="0.3">
      <c r="A1522" s="3">
        <v>102</v>
      </c>
      <c r="B1522" s="3">
        <v>102</v>
      </c>
      <c r="C1522" s="4">
        <v>13.8065</v>
      </c>
      <c r="D1522" s="4">
        <v>13.563000000000001</v>
      </c>
      <c r="E1522" s="4">
        <v>14.05</v>
      </c>
      <c r="F1522" s="4"/>
      <c r="G1522" s="4"/>
      <c r="H1522" s="27" t="s">
        <v>3099</v>
      </c>
      <c r="I1522" s="4"/>
      <c r="J1522" s="6">
        <v>0</v>
      </c>
      <c r="K1522" s="30" t="s">
        <v>3067</v>
      </c>
      <c r="L1522" s="4"/>
      <c r="M1522" s="3"/>
    </row>
    <row r="1523" spans="1:13" x14ac:dyDescent="0.3">
      <c r="A1523" s="3">
        <v>102</v>
      </c>
      <c r="B1523" s="3">
        <v>102</v>
      </c>
      <c r="C1523" s="4">
        <v>14.121</v>
      </c>
      <c r="D1523" s="4">
        <v>14.05</v>
      </c>
      <c r="E1523" s="4">
        <v>14.192</v>
      </c>
      <c r="F1523" s="4"/>
      <c r="G1523" s="4"/>
      <c r="H1523" s="28" t="s">
        <v>3100</v>
      </c>
      <c r="I1523" s="4"/>
      <c r="J1523" s="6">
        <v>0</v>
      </c>
      <c r="K1523" s="29" t="s">
        <v>3067</v>
      </c>
      <c r="L1523" s="4"/>
      <c r="M1523" s="3"/>
    </row>
    <row r="1524" spans="1:13" x14ac:dyDescent="0.3">
      <c r="A1524" s="3">
        <v>102</v>
      </c>
      <c r="B1524" s="3">
        <v>102</v>
      </c>
      <c r="C1524" s="4">
        <v>14.324</v>
      </c>
      <c r="D1524" s="4">
        <v>14.192</v>
      </c>
      <c r="E1524" s="4">
        <v>14.456</v>
      </c>
      <c r="F1524" s="4"/>
      <c r="G1524" s="4"/>
      <c r="H1524" s="27" t="s">
        <v>3101</v>
      </c>
      <c r="I1524" s="4"/>
      <c r="J1524" s="6">
        <v>0</v>
      </c>
      <c r="K1524" s="30" t="s">
        <v>3067</v>
      </c>
      <c r="L1524" s="4"/>
      <c r="M1524" s="3"/>
    </row>
    <row r="1525" spans="1:13" x14ac:dyDescent="0.3">
      <c r="A1525" s="3">
        <v>102</v>
      </c>
      <c r="B1525" s="3">
        <v>102</v>
      </c>
      <c r="C1525" s="4">
        <v>14.661</v>
      </c>
      <c r="D1525" s="4">
        <v>14.456</v>
      </c>
      <c r="E1525" s="4">
        <v>14.866</v>
      </c>
      <c r="F1525" s="4"/>
      <c r="G1525" s="4"/>
      <c r="H1525" s="28" t="s">
        <v>3102</v>
      </c>
      <c r="I1525" s="4"/>
      <c r="J1525" s="6">
        <v>0</v>
      </c>
      <c r="K1525" s="29" t="s">
        <v>3067</v>
      </c>
      <c r="L1525" s="4"/>
      <c r="M1525" s="3"/>
    </row>
    <row r="1526" spans="1:13" x14ac:dyDescent="0.3">
      <c r="A1526" s="3">
        <v>102</v>
      </c>
      <c r="B1526" s="3">
        <v>102</v>
      </c>
      <c r="C1526" s="4">
        <v>15.012499999999999</v>
      </c>
      <c r="D1526" s="4">
        <v>14.866</v>
      </c>
      <c r="E1526" s="4">
        <v>15.159000000000001</v>
      </c>
      <c r="F1526" s="4"/>
      <c r="G1526" s="4"/>
      <c r="H1526" s="27" t="s">
        <v>3103</v>
      </c>
      <c r="I1526" s="4"/>
      <c r="J1526" s="6">
        <v>0</v>
      </c>
      <c r="K1526" s="30" t="s">
        <v>3067</v>
      </c>
      <c r="L1526" s="4"/>
      <c r="M1526" s="3"/>
    </row>
    <row r="1527" spans="1:13" x14ac:dyDescent="0.3">
      <c r="A1527" s="3">
        <v>102</v>
      </c>
      <c r="B1527" s="3">
        <v>102</v>
      </c>
      <c r="C1527" s="4">
        <v>15.247999999999999</v>
      </c>
      <c r="D1527" s="4">
        <v>15.159000000000001</v>
      </c>
      <c r="E1527" s="4">
        <v>15.337</v>
      </c>
      <c r="F1527" s="4"/>
      <c r="G1527" s="4"/>
      <c r="H1527" s="28" t="s">
        <v>3104</v>
      </c>
      <c r="I1527" s="4"/>
      <c r="J1527" s="6">
        <v>0</v>
      </c>
      <c r="K1527" s="29" t="s">
        <v>3067</v>
      </c>
      <c r="L1527" s="4"/>
      <c r="M1527" s="3"/>
    </row>
    <row r="1528" spans="1:13" x14ac:dyDescent="0.3">
      <c r="A1528" s="3">
        <v>102</v>
      </c>
      <c r="B1528" s="3">
        <v>102</v>
      </c>
      <c r="C1528" s="4">
        <v>15.46</v>
      </c>
      <c r="D1528" s="4">
        <v>15.337</v>
      </c>
      <c r="E1528" s="4">
        <v>15.583</v>
      </c>
      <c r="F1528" s="4"/>
      <c r="G1528" s="4"/>
      <c r="H1528" s="27" t="s">
        <v>3105</v>
      </c>
      <c r="I1528" s="4"/>
      <c r="J1528" s="6">
        <v>0</v>
      </c>
      <c r="K1528" s="30" t="s">
        <v>3067</v>
      </c>
      <c r="L1528" s="4"/>
      <c r="M1528" s="3"/>
    </row>
    <row r="1529" spans="1:13" x14ac:dyDescent="0.3">
      <c r="A1529" s="3">
        <v>102</v>
      </c>
      <c r="B1529" s="3">
        <v>102</v>
      </c>
      <c r="C1529" s="4">
        <v>15.8255</v>
      </c>
      <c r="D1529" s="4">
        <v>15.583</v>
      </c>
      <c r="E1529" s="4">
        <v>16.068000000000001</v>
      </c>
      <c r="F1529" s="4"/>
      <c r="G1529" s="4"/>
      <c r="H1529" s="28" t="s">
        <v>3106</v>
      </c>
      <c r="I1529" s="4"/>
      <c r="J1529" s="6">
        <v>0</v>
      </c>
      <c r="K1529" s="29" t="s">
        <v>3067</v>
      </c>
      <c r="L1529" s="4"/>
      <c r="M1529" s="3"/>
    </row>
    <row r="1530" spans="1:13" x14ac:dyDescent="0.3">
      <c r="A1530" s="3">
        <v>102</v>
      </c>
      <c r="B1530" s="3">
        <v>102</v>
      </c>
      <c r="C1530" s="4">
        <v>16.3125</v>
      </c>
      <c r="D1530" s="4">
        <v>16.068000000000001</v>
      </c>
      <c r="E1530" s="4">
        <v>16.556999999999999</v>
      </c>
      <c r="F1530" s="4"/>
      <c r="G1530" s="4"/>
      <c r="H1530" s="27" t="s">
        <v>3107</v>
      </c>
      <c r="I1530" s="4"/>
      <c r="J1530" s="6">
        <v>0</v>
      </c>
      <c r="K1530" s="30" t="s">
        <v>3067</v>
      </c>
      <c r="L1530" s="4"/>
      <c r="M1530" s="3"/>
    </row>
    <row r="1531" spans="1:13" x14ac:dyDescent="0.3">
      <c r="A1531" s="3">
        <v>102</v>
      </c>
      <c r="B1531" s="3">
        <v>102</v>
      </c>
      <c r="C1531" s="4">
        <v>16.579999999999998</v>
      </c>
      <c r="D1531" s="4">
        <v>16.556999999999999</v>
      </c>
      <c r="E1531" s="4">
        <v>16.603000000000002</v>
      </c>
      <c r="F1531" s="4"/>
      <c r="G1531" s="4"/>
      <c r="H1531" s="28" t="s">
        <v>3108</v>
      </c>
      <c r="I1531" s="4"/>
      <c r="J1531" s="6">
        <v>0</v>
      </c>
      <c r="K1531" s="29" t="s">
        <v>3067</v>
      </c>
      <c r="L1531" s="4"/>
      <c r="M1531" s="3"/>
    </row>
    <row r="1532" spans="1:13" x14ac:dyDescent="0.3">
      <c r="A1532" s="3">
        <v>102</v>
      </c>
      <c r="B1532" s="3">
        <v>102</v>
      </c>
      <c r="C1532" s="4">
        <v>16.819500000000001</v>
      </c>
      <c r="D1532" s="4">
        <v>16.603000000000002</v>
      </c>
      <c r="E1532" s="4">
        <v>17.036000000000001</v>
      </c>
      <c r="F1532" s="4"/>
      <c r="G1532" s="4"/>
      <c r="H1532" s="27" t="s">
        <v>3109</v>
      </c>
      <c r="I1532" s="4"/>
      <c r="J1532" s="6">
        <v>0</v>
      </c>
      <c r="K1532" s="30" t="s">
        <v>3067</v>
      </c>
      <c r="L1532" s="4"/>
      <c r="M1532" s="3"/>
    </row>
    <row r="1533" spans="1:13" x14ac:dyDescent="0.3">
      <c r="A1533" s="3">
        <v>102</v>
      </c>
      <c r="B1533" s="3">
        <v>102</v>
      </c>
      <c r="C1533" s="4">
        <v>17.0595</v>
      </c>
      <c r="D1533" s="4">
        <v>17.036000000000001</v>
      </c>
      <c r="E1533" s="4">
        <v>17.082999999999998</v>
      </c>
      <c r="F1533" s="4"/>
      <c r="G1533" s="4"/>
      <c r="H1533" s="28" t="s">
        <v>3110</v>
      </c>
      <c r="I1533" s="4"/>
      <c r="J1533" s="6">
        <v>0</v>
      </c>
      <c r="K1533" s="29" t="s">
        <v>3067</v>
      </c>
      <c r="L1533" s="4"/>
      <c r="M1533" s="3"/>
    </row>
    <row r="1534" spans="1:13" x14ac:dyDescent="0.3">
      <c r="A1534" s="3">
        <v>102</v>
      </c>
      <c r="B1534" s="3">
        <v>102</v>
      </c>
      <c r="C1534" s="4">
        <v>17.405000000000001</v>
      </c>
      <c r="D1534" s="4">
        <v>17.082999999999998</v>
      </c>
      <c r="E1534" s="4">
        <v>17.727</v>
      </c>
      <c r="F1534" s="4"/>
      <c r="G1534" s="4"/>
      <c r="H1534" s="27" t="s">
        <v>3111</v>
      </c>
      <c r="I1534" s="4"/>
      <c r="J1534" s="6">
        <v>0</v>
      </c>
      <c r="K1534" s="30" t="s">
        <v>3067</v>
      </c>
      <c r="L1534" s="4"/>
      <c r="M1534" s="3"/>
    </row>
    <row r="1535" spans="1:13" x14ac:dyDescent="0.3">
      <c r="A1535" s="3">
        <v>102</v>
      </c>
      <c r="B1535" s="3">
        <v>102</v>
      </c>
      <c r="C1535" s="4">
        <v>17.916</v>
      </c>
      <c r="D1535" s="4">
        <v>17.727</v>
      </c>
      <c r="E1535" s="4">
        <v>18.105</v>
      </c>
      <c r="F1535" s="4"/>
      <c r="G1535" s="4"/>
      <c r="H1535" s="28" t="s">
        <v>3112</v>
      </c>
      <c r="I1535" s="4"/>
      <c r="J1535" s="6">
        <v>0</v>
      </c>
      <c r="K1535" s="29" t="s">
        <v>3067</v>
      </c>
      <c r="L1535" s="4"/>
      <c r="M1535" s="3"/>
    </row>
    <row r="1536" spans="1:13" x14ac:dyDescent="0.3">
      <c r="A1536" s="3">
        <v>102</v>
      </c>
      <c r="B1536" s="3">
        <v>102</v>
      </c>
      <c r="C1536" s="4">
        <v>18.172499999999999</v>
      </c>
      <c r="D1536" s="4">
        <v>18.105</v>
      </c>
      <c r="E1536" s="4">
        <v>18.239999999999998</v>
      </c>
      <c r="F1536" s="4"/>
      <c r="G1536" s="4"/>
      <c r="H1536" s="27" t="s">
        <v>3113</v>
      </c>
      <c r="I1536" s="4"/>
      <c r="J1536" s="6">
        <v>0</v>
      </c>
      <c r="K1536" s="30" t="s">
        <v>3067</v>
      </c>
      <c r="L1536" s="4"/>
      <c r="M1536" s="3"/>
    </row>
    <row r="1537" spans="1:13" x14ac:dyDescent="0.3">
      <c r="A1537" s="3">
        <v>102</v>
      </c>
      <c r="B1537" s="3">
        <v>102</v>
      </c>
      <c r="C1537" s="4">
        <v>18.708500000000001</v>
      </c>
      <c r="D1537" s="4">
        <v>18.239999999999998</v>
      </c>
      <c r="E1537" s="4">
        <v>19.177</v>
      </c>
      <c r="F1537" s="4"/>
      <c r="G1537" s="4"/>
      <c r="H1537" s="28" t="s">
        <v>3114</v>
      </c>
      <c r="I1537" s="4"/>
      <c r="J1537" s="6">
        <v>0</v>
      </c>
      <c r="K1537" s="29" t="s">
        <v>3067</v>
      </c>
      <c r="L1537" s="4"/>
      <c r="M1537" s="3"/>
    </row>
    <row r="1538" spans="1:13" x14ac:dyDescent="0.3">
      <c r="A1538" s="3">
        <v>102</v>
      </c>
      <c r="B1538" s="3">
        <v>102</v>
      </c>
      <c r="C1538" s="4">
        <v>19.296500000000002</v>
      </c>
      <c r="D1538" s="4">
        <v>19.177</v>
      </c>
      <c r="E1538" s="4">
        <v>19.416</v>
      </c>
      <c r="F1538" s="4"/>
      <c r="G1538" s="4"/>
      <c r="H1538" s="27" t="s">
        <v>3115</v>
      </c>
      <c r="I1538" s="4"/>
      <c r="J1538" s="6">
        <v>0</v>
      </c>
      <c r="K1538" s="30" t="s">
        <v>3067</v>
      </c>
      <c r="L1538" s="4"/>
      <c r="M1538" s="3"/>
    </row>
    <row r="1539" spans="1:13" x14ac:dyDescent="0.3">
      <c r="A1539" s="3">
        <v>102</v>
      </c>
      <c r="B1539" s="3">
        <v>102</v>
      </c>
      <c r="C1539" s="4">
        <v>19.454000000000001</v>
      </c>
      <c r="D1539" s="4">
        <v>19.416</v>
      </c>
      <c r="E1539" s="4">
        <v>19.492000000000001</v>
      </c>
      <c r="F1539" s="4"/>
      <c r="G1539" s="4"/>
      <c r="H1539" s="28" t="s">
        <v>3116</v>
      </c>
      <c r="I1539" s="4"/>
      <c r="J1539" s="6">
        <v>0</v>
      </c>
      <c r="K1539" s="29" t="s">
        <v>3067</v>
      </c>
      <c r="L1539" s="4"/>
      <c r="M1539" s="3"/>
    </row>
    <row r="1540" spans="1:13" x14ac:dyDescent="0.3">
      <c r="A1540" s="3">
        <v>102</v>
      </c>
      <c r="B1540" s="3">
        <v>102</v>
      </c>
      <c r="C1540" s="4">
        <v>19.7775</v>
      </c>
      <c r="D1540" s="4">
        <v>19.492000000000001</v>
      </c>
      <c r="E1540" s="4">
        <v>20.062999999999999</v>
      </c>
      <c r="F1540" s="4"/>
      <c r="G1540" s="4"/>
      <c r="H1540" s="27" t="s">
        <v>3117</v>
      </c>
      <c r="I1540" s="4"/>
      <c r="J1540" s="6">
        <v>0</v>
      </c>
      <c r="K1540" s="30" t="s">
        <v>3067</v>
      </c>
      <c r="L1540" s="4"/>
      <c r="M1540" s="3"/>
    </row>
    <row r="1541" spans="1:13" x14ac:dyDescent="0.3">
      <c r="A1541" s="3">
        <v>102</v>
      </c>
      <c r="B1541" s="3">
        <v>102</v>
      </c>
      <c r="C1541" s="4">
        <v>20.071000000000002</v>
      </c>
      <c r="D1541" s="4">
        <v>20.062999999999999</v>
      </c>
      <c r="E1541" s="4">
        <v>20.079000000000001</v>
      </c>
      <c r="F1541" s="4"/>
      <c r="G1541" s="4"/>
      <c r="H1541" s="28" t="s">
        <v>3118</v>
      </c>
      <c r="I1541" s="4"/>
      <c r="J1541" s="6">
        <v>0</v>
      </c>
      <c r="K1541" s="29" t="s">
        <v>3067</v>
      </c>
      <c r="L1541" s="4"/>
      <c r="M1541" s="3"/>
    </row>
    <row r="1542" spans="1:13" x14ac:dyDescent="0.3">
      <c r="A1542" s="3">
        <v>102</v>
      </c>
      <c r="B1542" s="3">
        <v>102</v>
      </c>
      <c r="C1542" s="4">
        <v>20.492999999999999</v>
      </c>
      <c r="D1542" s="4">
        <v>20.079000000000001</v>
      </c>
      <c r="E1542" s="4">
        <v>20.907</v>
      </c>
      <c r="F1542" s="4"/>
      <c r="G1542" s="4"/>
      <c r="H1542" s="27" t="s">
        <v>3119</v>
      </c>
      <c r="I1542" s="4"/>
      <c r="J1542" s="6">
        <v>0</v>
      </c>
      <c r="K1542" s="30" t="s">
        <v>3067</v>
      </c>
      <c r="L1542" s="4"/>
      <c r="M1542" s="3"/>
    </row>
    <row r="1543" spans="1:13" x14ac:dyDescent="0.3">
      <c r="A1543" s="3">
        <v>102</v>
      </c>
      <c r="B1543" s="3">
        <v>102</v>
      </c>
      <c r="C1543" s="4">
        <v>21.026</v>
      </c>
      <c r="D1543" s="4">
        <v>20.907</v>
      </c>
      <c r="E1543" s="4">
        <v>21.145</v>
      </c>
      <c r="F1543" s="4"/>
      <c r="G1543" s="4"/>
      <c r="H1543" s="28" t="s">
        <v>3120</v>
      </c>
      <c r="I1543" s="4"/>
      <c r="J1543" s="6">
        <v>0</v>
      </c>
      <c r="K1543" s="29" t="s">
        <v>3067</v>
      </c>
      <c r="L1543" s="4"/>
      <c r="M1543" s="3"/>
    </row>
    <row r="1544" spans="1:13" x14ac:dyDescent="0.3">
      <c r="A1544" s="3">
        <v>102</v>
      </c>
      <c r="B1544" s="3">
        <v>102</v>
      </c>
      <c r="C1544" s="4">
        <v>21.369</v>
      </c>
      <c r="D1544" s="4">
        <v>21.145</v>
      </c>
      <c r="E1544" s="4">
        <v>21.593</v>
      </c>
      <c r="F1544" s="4"/>
      <c r="G1544" s="4"/>
      <c r="H1544" s="27" t="s">
        <v>3121</v>
      </c>
      <c r="I1544" s="4"/>
      <c r="J1544" s="6">
        <v>0</v>
      </c>
      <c r="K1544" s="30" t="s">
        <v>3067</v>
      </c>
      <c r="L1544" s="4"/>
      <c r="M1544" s="3"/>
    </row>
    <row r="1545" spans="1:13" x14ac:dyDescent="0.3">
      <c r="A1545" s="3">
        <v>102</v>
      </c>
      <c r="B1545" s="3">
        <v>102</v>
      </c>
      <c r="C1545" s="4">
        <v>21.927499999999998</v>
      </c>
      <c r="D1545" s="4">
        <v>21.593</v>
      </c>
      <c r="E1545" s="4">
        <v>22.262</v>
      </c>
      <c r="F1545" s="4"/>
      <c r="G1545" s="4"/>
      <c r="H1545" s="28" t="s">
        <v>3122</v>
      </c>
      <c r="I1545" s="4"/>
      <c r="J1545" s="6">
        <v>0</v>
      </c>
      <c r="K1545" s="29" t="s">
        <v>3067</v>
      </c>
      <c r="L1545" s="4"/>
      <c r="M1545" s="3"/>
    </row>
    <row r="1546" spans="1:13" x14ac:dyDescent="0.3">
      <c r="A1546" s="3">
        <v>102</v>
      </c>
      <c r="B1546" s="3">
        <v>102</v>
      </c>
      <c r="C1546" s="4">
        <v>22.59</v>
      </c>
      <c r="D1546" s="4">
        <v>22.262</v>
      </c>
      <c r="E1546" s="4">
        <v>22.917999999999999</v>
      </c>
      <c r="F1546" s="4"/>
      <c r="G1546" s="4"/>
      <c r="H1546" s="27" t="s">
        <v>3123</v>
      </c>
      <c r="I1546" s="4"/>
      <c r="J1546" s="6">
        <v>0</v>
      </c>
      <c r="K1546" s="30" t="s">
        <v>3067</v>
      </c>
      <c r="L1546" s="4"/>
      <c r="M1546" s="3"/>
    </row>
    <row r="1547" spans="1:13" x14ac:dyDescent="0.3">
      <c r="A1547" s="3">
        <v>102</v>
      </c>
      <c r="B1547" s="3">
        <v>102</v>
      </c>
      <c r="C1547" s="4">
        <v>22.925999999999998</v>
      </c>
      <c r="D1547" s="4">
        <v>22.917999999999999</v>
      </c>
      <c r="E1547" s="4">
        <v>22.934000000000001</v>
      </c>
      <c r="F1547" s="4"/>
      <c r="G1547" s="4"/>
      <c r="H1547" s="28" t="s">
        <v>3124</v>
      </c>
      <c r="I1547" s="4"/>
      <c r="J1547" s="6">
        <v>0</v>
      </c>
      <c r="K1547" s="29" t="s">
        <v>3067</v>
      </c>
      <c r="L1547" s="4"/>
      <c r="M1547" s="3"/>
    </row>
    <row r="1548" spans="1:13" x14ac:dyDescent="0.3">
      <c r="A1548" s="3">
        <v>102</v>
      </c>
      <c r="B1548" s="3">
        <v>102</v>
      </c>
      <c r="C1548" s="4">
        <v>23.2575</v>
      </c>
      <c r="D1548" s="4">
        <v>22.934000000000001</v>
      </c>
      <c r="E1548" s="4">
        <v>23.581</v>
      </c>
      <c r="F1548" s="4"/>
      <c r="G1548" s="4"/>
      <c r="H1548" s="27" t="s">
        <v>3125</v>
      </c>
      <c r="I1548" s="4"/>
      <c r="J1548" s="6">
        <v>0</v>
      </c>
      <c r="K1548" s="30" t="s">
        <v>3067</v>
      </c>
      <c r="L1548" s="4"/>
      <c r="M1548" s="3"/>
    </row>
    <row r="1549" spans="1:13" x14ac:dyDescent="0.3">
      <c r="A1549" s="3">
        <v>102</v>
      </c>
      <c r="B1549" s="3">
        <v>102</v>
      </c>
      <c r="C1549" s="4">
        <v>23.842500000000001</v>
      </c>
      <c r="D1549" s="4">
        <v>23.581</v>
      </c>
      <c r="E1549" s="4">
        <v>24.103999999999999</v>
      </c>
      <c r="F1549" s="4"/>
      <c r="G1549" s="4"/>
      <c r="H1549" s="28" t="s">
        <v>3126</v>
      </c>
      <c r="I1549" s="4"/>
      <c r="J1549" s="6">
        <v>0</v>
      </c>
      <c r="K1549" s="29" t="s">
        <v>3067</v>
      </c>
      <c r="L1549" s="4"/>
      <c r="M1549" s="3"/>
    </row>
    <row r="1550" spans="1:13" x14ac:dyDescent="0.3">
      <c r="A1550" s="3">
        <v>102</v>
      </c>
      <c r="B1550" s="3">
        <v>102</v>
      </c>
      <c r="C1550" s="4">
        <v>24.461500000000001</v>
      </c>
      <c r="D1550" s="4">
        <v>24.103999999999999</v>
      </c>
      <c r="E1550" s="4">
        <v>24.818999999999999</v>
      </c>
      <c r="F1550" s="4"/>
      <c r="G1550" s="4"/>
      <c r="H1550" s="27" t="s">
        <v>3127</v>
      </c>
      <c r="I1550" s="4"/>
      <c r="J1550" s="6">
        <v>0</v>
      </c>
      <c r="K1550" s="30" t="s">
        <v>3067</v>
      </c>
      <c r="L1550" s="4"/>
      <c r="M1550" s="3"/>
    </row>
    <row r="1551" spans="1:13" x14ac:dyDescent="0.3">
      <c r="A1551" s="3">
        <v>102</v>
      </c>
      <c r="B1551" s="3">
        <v>102</v>
      </c>
      <c r="C1551" s="4">
        <v>24.866499999999998</v>
      </c>
      <c r="D1551" s="4">
        <v>24.818999999999999</v>
      </c>
      <c r="E1551" s="4">
        <v>24.914000000000001</v>
      </c>
      <c r="F1551" s="4"/>
      <c r="G1551" s="4"/>
      <c r="H1551" s="28" t="s">
        <v>3128</v>
      </c>
      <c r="I1551" s="4"/>
      <c r="J1551" s="6">
        <v>0</v>
      </c>
      <c r="K1551" s="29" t="s">
        <v>3067</v>
      </c>
      <c r="L1551" s="4"/>
      <c r="M1551" s="3"/>
    </row>
    <row r="1552" spans="1:13" x14ac:dyDescent="0.3">
      <c r="A1552" s="3">
        <v>102</v>
      </c>
      <c r="B1552" s="3">
        <v>102</v>
      </c>
      <c r="C1552" s="4">
        <v>25.103999999999999</v>
      </c>
      <c r="D1552" s="4">
        <v>24.914000000000001</v>
      </c>
      <c r="E1552" s="4">
        <v>25.294</v>
      </c>
      <c r="F1552" s="4"/>
      <c r="G1552" s="4"/>
      <c r="H1552" s="27" t="s">
        <v>3129</v>
      </c>
      <c r="I1552" s="4"/>
      <c r="J1552" s="6">
        <v>0</v>
      </c>
      <c r="K1552" s="30" t="s">
        <v>3067</v>
      </c>
      <c r="L1552" s="4"/>
      <c r="M1552" s="3"/>
    </row>
    <row r="1553" spans="1:13" x14ac:dyDescent="0.3">
      <c r="A1553" s="3">
        <v>102</v>
      </c>
      <c r="B1553" s="3">
        <v>102</v>
      </c>
      <c r="C1553" s="4">
        <v>25.384499999999999</v>
      </c>
      <c r="D1553" s="4">
        <v>25.294</v>
      </c>
      <c r="E1553" s="4">
        <v>25.475000000000001</v>
      </c>
      <c r="F1553" s="4"/>
      <c r="G1553" s="4"/>
      <c r="H1553" s="28" t="s">
        <v>3130</v>
      </c>
      <c r="I1553" s="4"/>
      <c r="J1553" s="6">
        <v>0</v>
      </c>
      <c r="K1553" s="29" t="s">
        <v>3067</v>
      </c>
      <c r="L1553" s="4"/>
      <c r="M1553" s="3"/>
    </row>
    <row r="1554" spans="1:13" x14ac:dyDescent="0.3">
      <c r="A1554" s="3">
        <v>102</v>
      </c>
      <c r="B1554" s="3">
        <v>102</v>
      </c>
      <c r="C1554" s="4">
        <v>25.692499999999999</v>
      </c>
      <c r="D1554" s="4">
        <v>25.475000000000001</v>
      </c>
      <c r="E1554" s="4">
        <v>25.91</v>
      </c>
      <c r="F1554" s="4"/>
      <c r="G1554" s="4"/>
      <c r="H1554" s="27" t="s">
        <v>3131</v>
      </c>
      <c r="I1554" s="4"/>
      <c r="J1554" s="6">
        <v>0</v>
      </c>
      <c r="K1554" s="30" t="s">
        <v>3067</v>
      </c>
      <c r="L1554" s="4"/>
      <c r="M1554" s="3"/>
    </row>
    <row r="1555" spans="1:13" x14ac:dyDescent="0.3">
      <c r="A1555" s="3">
        <v>102</v>
      </c>
      <c r="B1555" s="3">
        <v>102</v>
      </c>
      <c r="C1555" s="4">
        <v>25.975000000000001</v>
      </c>
      <c r="D1555" s="4">
        <v>25.91</v>
      </c>
      <c r="E1555" s="4">
        <v>26.04</v>
      </c>
      <c r="F1555" s="4"/>
      <c r="G1555" s="4"/>
      <c r="H1555" s="28" t="s">
        <v>3132</v>
      </c>
      <c r="I1555" s="4"/>
      <c r="J1555" s="6">
        <v>0</v>
      </c>
      <c r="K1555" s="29" t="s">
        <v>3067</v>
      </c>
      <c r="L1555" s="4"/>
      <c r="M1555" s="3"/>
    </row>
    <row r="1556" spans="1:13" x14ac:dyDescent="0.3">
      <c r="A1556" s="3">
        <v>102</v>
      </c>
      <c r="B1556" s="3">
        <v>102</v>
      </c>
      <c r="C1556" s="4">
        <v>26.196000000000002</v>
      </c>
      <c r="D1556" s="4">
        <v>26.04</v>
      </c>
      <c r="E1556" s="4">
        <v>26.352</v>
      </c>
      <c r="F1556" s="4"/>
      <c r="G1556" s="4"/>
      <c r="H1556" s="27" t="s">
        <v>3133</v>
      </c>
      <c r="I1556" s="4"/>
      <c r="J1556" s="6">
        <v>0</v>
      </c>
      <c r="K1556" s="30" t="s">
        <v>3067</v>
      </c>
      <c r="L1556" s="4"/>
      <c r="M1556" s="3"/>
    </row>
    <row r="1557" spans="1:13" x14ac:dyDescent="0.3">
      <c r="A1557" s="3">
        <v>102</v>
      </c>
      <c r="B1557" s="3">
        <v>102</v>
      </c>
      <c r="C1557" s="4">
        <v>26.3475</v>
      </c>
      <c r="D1557" s="4">
        <v>26.045000000000002</v>
      </c>
      <c r="E1557" s="4">
        <v>26.65</v>
      </c>
      <c r="F1557" s="4"/>
      <c r="G1557" s="4"/>
      <c r="H1557" s="28" t="s">
        <v>3134</v>
      </c>
      <c r="I1557" s="4"/>
      <c r="J1557" s="6">
        <v>0</v>
      </c>
      <c r="K1557" s="29" t="s">
        <v>3067</v>
      </c>
      <c r="L1557" s="4"/>
      <c r="M1557" s="3"/>
    </row>
    <row r="1558" spans="1:13" x14ac:dyDescent="0.3">
      <c r="A1558" s="3">
        <v>102</v>
      </c>
      <c r="B1558" s="3">
        <v>102</v>
      </c>
      <c r="C1558" s="4">
        <v>26.198499999999999</v>
      </c>
      <c r="D1558" s="4">
        <v>26.352</v>
      </c>
      <c r="E1558" s="4">
        <v>26.045000000000002</v>
      </c>
      <c r="F1558" s="4"/>
      <c r="G1558" s="4"/>
      <c r="H1558" s="27" t="s">
        <v>3135</v>
      </c>
      <c r="I1558" s="4"/>
      <c r="J1558" s="6">
        <v>0</v>
      </c>
      <c r="K1558" s="30" t="s">
        <v>3067</v>
      </c>
      <c r="L1558" s="4"/>
      <c r="M1558" s="3"/>
    </row>
    <row r="1559" spans="1:13" x14ac:dyDescent="0.3">
      <c r="A1559" s="3">
        <v>102</v>
      </c>
      <c r="B1559" s="3">
        <v>102</v>
      </c>
      <c r="C1559" s="4">
        <v>26.6785</v>
      </c>
      <c r="D1559" s="4">
        <v>26.65</v>
      </c>
      <c r="E1559" s="4">
        <v>26.707000000000001</v>
      </c>
      <c r="F1559" s="4"/>
      <c r="G1559" s="4"/>
      <c r="H1559" s="28" t="s">
        <v>3136</v>
      </c>
      <c r="I1559" s="4"/>
      <c r="J1559" s="6">
        <v>0</v>
      </c>
      <c r="K1559" s="29" t="s">
        <v>3067</v>
      </c>
      <c r="L1559" s="4"/>
      <c r="M1559" s="3"/>
    </row>
    <row r="1560" spans="1:13" x14ac:dyDescent="0.3">
      <c r="A1560" s="3">
        <v>102</v>
      </c>
      <c r="B1560" s="3">
        <v>102</v>
      </c>
      <c r="C1560" s="4">
        <v>26.910499999999999</v>
      </c>
      <c r="D1560" s="4">
        <v>26.707000000000001</v>
      </c>
      <c r="E1560" s="4">
        <v>27.114000000000001</v>
      </c>
      <c r="F1560" s="4"/>
      <c r="G1560" s="4"/>
      <c r="H1560" s="27" t="s">
        <v>3137</v>
      </c>
      <c r="I1560" s="4"/>
      <c r="J1560" s="6">
        <v>0</v>
      </c>
      <c r="K1560" s="30" t="s">
        <v>3067</v>
      </c>
      <c r="L1560" s="4"/>
      <c r="M1560" s="3"/>
    </row>
    <row r="1561" spans="1:13" x14ac:dyDescent="0.3">
      <c r="A1561" s="3">
        <v>102</v>
      </c>
      <c r="B1561" s="3">
        <v>102</v>
      </c>
      <c r="C1561" s="4">
        <v>27.155999999999999</v>
      </c>
      <c r="D1561" s="4">
        <v>27.114000000000001</v>
      </c>
      <c r="E1561" s="4">
        <v>27.198</v>
      </c>
      <c r="F1561" s="4"/>
      <c r="G1561" s="4"/>
      <c r="H1561" s="28" t="s">
        <v>3138</v>
      </c>
      <c r="I1561" s="4"/>
      <c r="J1561" s="6">
        <v>0</v>
      </c>
      <c r="K1561" s="29" t="s">
        <v>3067</v>
      </c>
      <c r="L1561" s="4"/>
      <c r="M1561" s="3"/>
    </row>
    <row r="1562" spans="1:13" x14ac:dyDescent="0.3">
      <c r="A1562" s="3">
        <v>102</v>
      </c>
      <c r="B1562" s="3">
        <v>102</v>
      </c>
      <c r="C1562" s="4">
        <v>27.355</v>
      </c>
      <c r="D1562" s="4">
        <v>27.198</v>
      </c>
      <c r="E1562" s="4">
        <v>27.512</v>
      </c>
      <c r="F1562" s="4"/>
      <c r="G1562" s="4"/>
      <c r="H1562" s="27" t="s">
        <v>3139</v>
      </c>
      <c r="I1562" s="4"/>
      <c r="J1562" s="6">
        <v>0</v>
      </c>
      <c r="K1562" s="30" t="s">
        <v>3067</v>
      </c>
      <c r="L1562" s="4"/>
      <c r="M1562" s="3"/>
    </row>
    <row r="1563" spans="1:13" x14ac:dyDescent="0.3">
      <c r="A1563" s="3">
        <v>102</v>
      </c>
      <c r="B1563" s="3">
        <v>102</v>
      </c>
      <c r="C1563" s="4">
        <v>27.520499999999998</v>
      </c>
      <c r="D1563" s="4">
        <v>27.512</v>
      </c>
      <c r="E1563" s="4">
        <v>27.529</v>
      </c>
      <c r="F1563" s="4"/>
      <c r="G1563" s="4"/>
      <c r="H1563" s="28" t="s">
        <v>3140</v>
      </c>
      <c r="I1563" s="4"/>
      <c r="J1563" s="6">
        <v>0</v>
      </c>
      <c r="K1563" s="29" t="s">
        <v>3067</v>
      </c>
      <c r="L1563" s="4"/>
      <c r="M1563" s="3"/>
    </row>
    <row r="1564" spans="1:13" x14ac:dyDescent="0.3">
      <c r="A1564" s="3">
        <v>102</v>
      </c>
      <c r="B1564" s="3">
        <v>102</v>
      </c>
      <c r="C1564" s="4">
        <v>27.706499999999998</v>
      </c>
      <c r="D1564" s="4">
        <v>27.529</v>
      </c>
      <c r="E1564" s="4">
        <v>27.884</v>
      </c>
      <c r="F1564" s="4"/>
      <c r="G1564" s="4"/>
      <c r="H1564" s="27" t="s">
        <v>3141</v>
      </c>
      <c r="I1564" s="4"/>
      <c r="J1564" s="6">
        <v>0</v>
      </c>
      <c r="K1564" s="30" t="s">
        <v>3067</v>
      </c>
      <c r="L1564" s="4"/>
      <c r="M1564" s="3"/>
    </row>
    <row r="1565" spans="1:13" x14ac:dyDescent="0.3">
      <c r="A1565" s="3">
        <v>102</v>
      </c>
      <c r="B1565" s="3">
        <v>102</v>
      </c>
      <c r="C1565" s="4">
        <v>27.923500000000001</v>
      </c>
      <c r="D1565" s="4">
        <v>27.884</v>
      </c>
      <c r="E1565" s="4">
        <v>27.963000000000001</v>
      </c>
      <c r="F1565" s="4"/>
      <c r="G1565" s="4"/>
      <c r="H1565" s="28" t="s">
        <v>3142</v>
      </c>
      <c r="I1565" s="4"/>
      <c r="J1565" s="6">
        <v>0</v>
      </c>
      <c r="K1565" s="29" t="s">
        <v>3067</v>
      </c>
      <c r="L1565" s="4"/>
      <c r="M1565" s="3"/>
    </row>
    <row r="1566" spans="1:13" x14ac:dyDescent="0.3">
      <c r="A1566" s="3">
        <v>102</v>
      </c>
      <c r="B1566" s="3">
        <v>102</v>
      </c>
      <c r="C1566" s="4">
        <v>28.065999999999999</v>
      </c>
      <c r="D1566" s="4">
        <v>27.963000000000001</v>
      </c>
      <c r="E1566" s="4">
        <v>28.169</v>
      </c>
      <c r="F1566" s="4"/>
      <c r="G1566" s="4"/>
      <c r="H1566" s="27" t="s">
        <v>3143</v>
      </c>
      <c r="I1566" s="4"/>
      <c r="J1566" s="6">
        <v>0</v>
      </c>
      <c r="K1566" s="30" t="s">
        <v>3067</v>
      </c>
      <c r="L1566" s="4"/>
      <c r="M1566" s="3"/>
    </row>
    <row r="1567" spans="1:13" x14ac:dyDescent="0.3">
      <c r="A1567" s="3">
        <v>102</v>
      </c>
      <c r="B1567" s="3">
        <v>102</v>
      </c>
      <c r="C1567" s="4">
        <v>28.189499999999999</v>
      </c>
      <c r="D1567" s="4">
        <v>28.169</v>
      </c>
      <c r="E1567" s="4">
        <v>28.21</v>
      </c>
      <c r="F1567" s="4"/>
      <c r="G1567" s="4"/>
      <c r="H1567" s="28" t="s">
        <v>3144</v>
      </c>
      <c r="I1567" s="4"/>
      <c r="J1567" s="6">
        <v>0</v>
      </c>
      <c r="K1567" s="29" t="s">
        <v>3067</v>
      </c>
      <c r="L1567" s="4"/>
      <c r="M1567" s="3"/>
    </row>
    <row r="1568" spans="1:13" x14ac:dyDescent="0.3">
      <c r="A1568" s="3">
        <v>102</v>
      </c>
      <c r="B1568" s="3">
        <v>102</v>
      </c>
      <c r="C1568" s="4">
        <v>28.420500000000001</v>
      </c>
      <c r="D1568" s="4">
        <v>28.21</v>
      </c>
      <c r="E1568" s="4">
        <v>28.631</v>
      </c>
      <c r="F1568" s="4"/>
      <c r="G1568" s="4"/>
      <c r="H1568" s="27" t="s">
        <v>3145</v>
      </c>
      <c r="I1568" s="4"/>
      <c r="J1568" s="6">
        <v>0</v>
      </c>
      <c r="K1568" s="30" t="s">
        <v>3067</v>
      </c>
      <c r="L1568" s="4"/>
      <c r="M1568" s="3"/>
    </row>
    <row r="1569" spans="1:13" x14ac:dyDescent="0.3">
      <c r="A1569" s="3">
        <v>102</v>
      </c>
      <c r="B1569" s="3">
        <v>102</v>
      </c>
      <c r="C1569" s="4">
        <v>29.066500000000001</v>
      </c>
      <c r="D1569" s="4">
        <v>28.631</v>
      </c>
      <c r="E1569" s="4">
        <v>29.501999999999999</v>
      </c>
      <c r="F1569" s="4"/>
      <c r="G1569" s="4"/>
      <c r="H1569" s="28" t="s">
        <v>3146</v>
      </c>
      <c r="I1569" s="4"/>
      <c r="J1569" s="6">
        <v>0</v>
      </c>
      <c r="K1569" s="29" t="s">
        <v>3067</v>
      </c>
      <c r="L1569" s="4"/>
      <c r="M1569" s="3"/>
    </row>
    <row r="1570" spans="1:13" x14ac:dyDescent="0.3">
      <c r="A1570" s="3">
        <v>102</v>
      </c>
      <c r="B1570" s="3">
        <v>102</v>
      </c>
      <c r="C1570" s="4">
        <v>29.614000000000001</v>
      </c>
      <c r="D1570" s="4">
        <v>29.501999999999999</v>
      </c>
      <c r="E1570" s="4">
        <v>29.725999999999999</v>
      </c>
      <c r="F1570" s="4"/>
      <c r="G1570" s="4"/>
      <c r="H1570" s="27" t="s">
        <v>3147</v>
      </c>
      <c r="I1570" s="4"/>
      <c r="J1570" s="6">
        <v>0</v>
      </c>
      <c r="K1570" s="30" t="s">
        <v>3067</v>
      </c>
      <c r="L1570" s="4"/>
      <c r="M1570" s="3"/>
    </row>
    <row r="1571" spans="1:13" x14ac:dyDescent="0.3">
      <c r="A1571" s="3">
        <v>102</v>
      </c>
      <c r="B1571" s="3">
        <v>102</v>
      </c>
      <c r="C1571" s="4">
        <v>29.798999999999999</v>
      </c>
      <c r="D1571" s="4">
        <v>29.725999999999999</v>
      </c>
      <c r="E1571" s="4">
        <v>29.872</v>
      </c>
      <c r="F1571" s="4"/>
      <c r="G1571" s="4"/>
      <c r="H1571" s="28" t="s">
        <v>3148</v>
      </c>
      <c r="I1571" s="4"/>
      <c r="J1571" s="6">
        <v>0</v>
      </c>
      <c r="K1571" s="29" t="s">
        <v>3067</v>
      </c>
      <c r="L1571" s="4"/>
      <c r="M1571" s="3"/>
    </row>
    <row r="1572" spans="1:13" x14ac:dyDescent="0.3">
      <c r="A1572" s="3">
        <v>102</v>
      </c>
      <c r="B1572" s="3">
        <v>102</v>
      </c>
      <c r="C1572" s="4">
        <v>30.015499999999999</v>
      </c>
      <c r="D1572" s="4">
        <v>29.872</v>
      </c>
      <c r="E1572" s="4">
        <v>30.158999999999999</v>
      </c>
      <c r="F1572" s="4"/>
      <c r="G1572" s="4"/>
      <c r="H1572" s="27" t="s">
        <v>3149</v>
      </c>
      <c r="I1572" s="4"/>
      <c r="J1572" s="6">
        <v>0</v>
      </c>
      <c r="K1572" s="30" t="s">
        <v>3067</v>
      </c>
      <c r="L1572" s="4"/>
      <c r="M1572" s="3"/>
    </row>
    <row r="1573" spans="1:13" x14ac:dyDescent="0.3">
      <c r="A1573" s="3">
        <v>102</v>
      </c>
      <c r="B1573" s="3">
        <v>102</v>
      </c>
      <c r="C1573" s="4">
        <v>30.184999999999999</v>
      </c>
      <c r="D1573" s="4">
        <v>30.158999999999999</v>
      </c>
      <c r="E1573" s="4">
        <v>30.210999999999999</v>
      </c>
      <c r="F1573" s="4"/>
      <c r="G1573" s="4"/>
      <c r="H1573" s="28" t="s">
        <v>3150</v>
      </c>
      <c r="I1573" s="4"/>
      <c r="J1573" s="6">
        <v>0</v>
      </c>
      <c r="K1573" s="29" t="s">
        <v>3067</v>
      </c>
      <c r="L1573" s="4"/>
      <c r="M1573" s="3"/>
    </row>
    <row r="1574" spans="1:13" x14ac:dyDescent="0.3">
      <c r="A1574" s="3">
        <v>102</v>
      </c>
      <c r="B1574" s="3">
        <v>102</v>
      </c>
      <c r="C1574" s="4">
        <v>30.372499999999999</v>
      </c>
      <c r="D1574" s="4">
        <v>30.210999999999999</v>
      </c>
      <c r="E1574" s="4">
        <v>30.533999999999999</v>
      </c>
      <c r="F1574" s="4"/>
      <c r="G1574" s="4"/>
      <c r="H1574" s="27" t="s">
        <v>3151</v>
      </c>
      <c r="I1574" s="4"/>
      <c r="J1574" s="6">
        <v>0</v>
      </c>
      <c r="K1574" s="30" t="s">
        <v>3067</v>
      </c>
      <c r="L1574" s="4"/>
      <c r="M1574" s="3"/>
    </row>
    <row r="1575" spans="1:13" x14ac:dyDescent="0.3">
      <c r="A1575" s="3">
        <v>102</v>
      </c>
      <c r="B1575" s="3">
        <v>102</v>
      </c>
      <c r="C1575" s="4">
        <v>30.809000000000001</v>
      </c>
      <c r="D1575" s="4">
        <v>30.533999999999999</v>
      </c>
      <c r="E1575" s="4">
        <v>31.084</v>
      </c>
      <c r="F1575" s="4"/>
      <c r="G1575" s="4"/>
      <c r="H1575" s="28" t="s">
        <v>3152</v>
      </c>
      <c r="I1575" s="4"/>
      <c r="J1575" s="6">
        <v>0</v>
      </c>
      <c r="K1575" s="29" t="s">
        <v>3067</v>
      </c>
      <c r="L1575" s="4"/>
      <c r="M1575" s="3"/>
    </row>
    <row r="1576" spans="1:13" x14ac:dyDescent="0.3">
      <c r="A1576" s="3">
        <v>102</v>
      </c>
      <c r="B1576" s="3">
        <v>102</v>
      </c>
      <c r="C1576" s="4">
        <v>31.206</v>
      </c>
      <c r="D1576" s="4">
        <v>31.084</v>
      </c>
      <c r="E1576" s="4">
        <v>31.327999999999999</v>
      </c>
      <c r="F1576" s="4"/>
      <c r="G1576" s="4"/>
      <c r="H1576" s="27" t="s">
        <v>3153</v>
      </c>
      <c r="I1576" s="4"/>
      <c r="J1576" s="6">
        <v>0</v>
      </c>
      <c r="K1576" s="30" t="s">
        <v>3067</v>
      </c>
      <c r="L1576" s="4"/>
      <c r="M1576" s="3"/>
    </row>
    <row r="1577" spans="1:13" x14ac:dyDescent="0.3">
      <c r="A1577" s="3">
        <v>102</v>
      </c>
      <c r="B1577" s="3">
        <v>102</v>
      </c>
      <c r="C1577" s="4">
        <v>31.338999999999999</v>
      </c>
      <c r="D1577" s="4">
        <v>31.327999999999999</v>
      </c>
      <c r="E1577" s="4">
        <v>31.35</v>
      </c>
      <c r="F1577" s="4"/>
      <c r="G1577" s="4"/>
      <c r="H1577" s="28" t="s">
        <v>3154</v>
      </c>
      <c r="I1577" s="4"/>
      <c r="J1577" s="6">
        <v>0</v>
      </c>
      <c r="K1577" s="29" t="s">
        <v>3067</v>
      </c>
      <c r="L1577" s="4"/>
      <c r="M1577" s="3"/>
    </row>
    <row r="1578" spans="1:13" x14ac:dyDescent="0.3">
      <c r="A1578" s="3">
        <v>102</v>
      </c>
      <c r="B1578" s="3">
        <v>102</v>
      </c>
      <c r="C1578" s="4">
        <v>31.677499999999998</v>
      </c>
      <c r="D1578" s="4">
        <v>31.35</v>
      </c>
      <c r="E1578" s="4">
        <v>32.005000000000003</v>
      </c>
      <c r="F1578" s="4"/>
      <c r="G1578" s="4"/>
      <c r="H1578" s="27" t="s">
        <v>3155</v>
      </c>
      <c r="I1578" s="4"/>
      <c r="J1578" s="6">
        <v>0</v>
      </c>
      <c r="K1578" s="30" t="s">
        <v>3067</v>
      </c>
      <c r="L1578" s="4"/>
      <c r="M1578" s="3"/>
    </row>
    <row r="1579" spans="1:13" x14ac:dyDescent="0.3">
      <c r="A1579" s="3">
        <v>102</v>
      </c>
      <c r="B1579" s="3">
        <v>102</v>
      </c>
      <c r="C1579" s="4">
        <v>32.015000000000001</v>
      </c>
      <c r="D1579" s="4">
        <v>32.005000000000003</v>
      </c>
      <c r="E1579" s="4">
        <v>32.024999999999999</v>
      </c>
      <c r="F1579" s="4"/>
      <c r="G1579" s="4"/>
      <c r="H1579" s="28" t="s">
        <v>3156</v>
      </c>
      <c r="I1579" s="4"/>
      <c r="J1579" s="6">
        <v>0</v>
      </c>
      <c r="K1579" s="29" t="s">
        <v>3067</v>
      </c>
      <c r="L1579" s="4"/>
      <c r="M1579" s="3"/>
    </row>
    <row r="1580" spans="1:13" x14ac:dyDescent="0.3">
      <c r="A1580" s="3">
        <v>102</v>
      </c>
      <c r="B1580" s="3">
        <v>102</v>
      </c>
      <c r="C1580" s="4">
        <v>32.215000000000003</v>
      </c>
      <c r="D1580" s="4">
        <v>32.024999999999999</v>
      </c>
      <c r="E1580" s="4">
        <v>32.405000000000001</v>
      </c>
      <c r="F1580" s="4"/>
      <c r="G1580" s="4"/>
      <c r="H1580" s="27" t="s">
        <v>3157</v>
      </c>
      <c r="I1580" s="4"/>
      <c r="J1580" s="6">
        <v>0</v>
      </c>
      <c r="K1580" s="30" t="s">
        <v>3067</v>
      </c>
      <c r="L1580" s="4"/>
      <c r="M1580" s="3"/>
    </row>
    <row r="1581" spans="1:13" x14ac:dyDescent="0.3">
      <c r="A1581" s="3">
        <v>102</v>
      </c>
      <c r="B1581" s="3">
        <v>102</v>
      </c>
      <c r="C1581" s="4">
        <v>32.436999999999998</v>
      </c>
      <c r="D1581" s="4">
        <v>32.405000000000001</v>
      </c>
      <c r="E1581" s="4">
        <v>32.469000000000001</v>
      </c>
      <c r="F1581" s="4"/>
      <c r="G1581" s="4"/>
      <c r="H1581" s="28" t="s">
        <v>3158</v>
      </c>
      <c r="I1581" s="4"/>
      <c r="J1581" s="6">
        <v>0</v>
      </c>
      <c r="K1581" s="29" t="s">
        <v>3067</v>
      </c>
      <c r="L1581" s="4"/>
      <c r="M1581" s="3"/>
    </row>
    <row r="1582" spans="1:13" x14ac:dyDescent="0.3">
      <c r="A1582" s="3">
        <v>102</v>
      </c>
      <c r="B1582" s="3">
        <v>102</v>
      </c>
      <c r="C1582" s="4">
        <v>32.631</v>
      </c>
      <c r="D1582" s="4">
        <v>32.469000000000001</v>
      </c>
      <c r="E1582" s="4">
        <v>32.792999999999999</v>
      </c>
      <c r="F1582" s="4"/>
      <c r="G1582" s="4"/>
      <c r="H1582" s="27" t="s">
        <v>3159</v>
      </c>
      <c r="I1582" s="4"/>
      <c r="J1582" s="6">
        <v>0</v>
      </c>
      <c r="K1582" s="30" t="s">
        <v>3067</v>
      </c>
      <c r="L1582" s="4"/>
      <c r="M1582" s="3"/>
    </row>
    <row r="1583" spans="1:13" x14ac:dyDescent="0.3">
      <c r="A1583" s="3">
        <v>102</v>
      </c>
      <c r="B1583" s="3">
        <v>102</v>
      </c>
      <c r="C1583" s="4">
        <v>32.857500000000002</v>
      </c>
      <c r="D1583" s="4">
        <v>32.792999999999999</v>
      </c>
      <c r="E1583" s="4">
        <v>32.921999999999997</v>
      </c>
      <c r="F1583" s="4"/>
      <c r="G1583" s="4"/>
      <c r="H1583" s="28" t="s">
        <v>3160</v>
      </c>
      <c r="I1583" s="4"/>
      <c r="J1583" s="6">
        <v>0</v>
      </c>
      <c r="K1583" s="29" t="s">
        <v>3067</v>
      </c>
      <c r="L1583" s="4"/>
      <c r="M1583" s="3"/>
    </row>
    <row r="1584" spans="1:13" x14ac:dyDescent="0.3">
      <c r="A1584" s="3">
        <v>102</v>
      </c>
      <c r="B1584" s="3">
        <v>102</v>
      </c>
      <c r="C1584" s="4">
        <v>33.172499999999999</v>
      </c>
      <c r="D1584" s="4">
        <v>32.921999999999997</v>
      </c>
      <c r="E1584" s="4">
        <v>33.423000000000002</v>
      </c>
      <c r="F1584" s="4"/>
      <c r="G1584" s="4"/>
      <c r="H1584" s="27" t="s">
        <v>3161</v>
      </c>
      <c r="I1584" s="4"/>
      <c r="J1584" s="6">
        <v>0</v>
      </c>
      <c r="K1584" s="30" t="s">
        <v>3067</v>
      </c>
      <c r="L1584" s="4"/>
      <c r="M1584" s="3"/>
    </row>
    <row r="1585" spans="1:13" x14ac:dyDescent="0.3">
      <c r="A1585" s="3">
        <v>102</v>
      </c>
      <c r="B1585" s="3">
        <v>102</v>
      </c>
      <c r="C1585" s="4">
        <v>33.463999999999999</v>
      </c>
      <c r="D1585" s="4">
        <v>33.423000000000002</v>
      </c>
      <c r="E1585" s="4">
        <v>33.505000000000003</v>
      </c>
      <c r="F1585" s="4"/>
      <c r="G1585" s="4"/>
      <c r="H1585" s="28" t="s">
        <v>3162</v>
      </c>
      <c r="I1585" s="4"/>
      <c r="J1585" s="6">
        <v>0</v>
      </c>
      <c r="K1585" s="29" t="s">
        <v>3067</v>
      </c>
      <c r="L1585" s="4"/>
      <c r="M1585" s="3"/>
    </row>
    <row r="1586" spans="1:13" x14ac:dyDescent="0.3">
      <c r="A1586" s="3">
        <v>102</v>
      </c>
      <c r="B1586" s="3">
        <v>102</v>
      </c>
      <c r="C1586" s="4">
        <v>33.720999999999997</v>
      </c>
      <c r="D1586" s="4">
        <v>33.505000000000003</v>
      </c>
      <c r="E1586" s="4">
        <v>33.936999999999998</v>
      </c>
      <c r="F1586" s="4"/>
      <c r="G1586" s="4"/>
      <c r="H1586" s="27" t="s">
        <v>3163</v>
      </c>
      <c r="I1586" s="4"/>
      <c r="J1586" s="6">
        <v>0</v>
      </c>
      <c r="K1586" s="30" t="s">
        <v>3067</v>
      </c>
      <c r="L1586" s="4"/>
      <c r="M1586" s="3"/>
    </row>
    <row r="1587" spans="1:13" x14ac:dyDescent="0.3">
      <c r="A1587" s="3">
        <v>102</v>
      </c>
      <c r="B1587" s="3">
        <v>102</v>
      </c>
      <c r="C1587" s="4">
        <v>34.113999999999997</v>
      </c>
      <c r="D1587" s="4">
        <v>33.936999999999998</v>
      </c>
      <c r="E1587" s="4">
        <v>34.290999999999997</v>
      </c>
      <c r="F1587" s="4"/>
      <c r="G1587" s="4"/>
      <c r="H1587" s="28" t="s">
        <v>3164</v>
      </c>
      <c r="I1587" s="4"/>
      <c r="J1587" s="6">
        <v>0</v>
      </c>
      <c r="K1587" s="29" t="s">
        <v>3067</v>
      </c>
      <c r="L1587" s="4"/>
      <c r="M1587" s="3"/>
    </row>
    <row r="1588" spans="1:13" x14ac:dyDescent="0.3">
      <c r="A1588" s="3">
        <v>102</v>
      </c>
      <c r="B1588" s="3">
        <v>102</v>
      </c>
      <c r="C1588" s="4">
        <v>34.584000000000003</v>
      </c>
      <c r="D1588" s="4">
        <v>34.290999999999997</v>
      </c>
      <c r="E1588" s="4">
        <v>34.877000000000002</v>
      </c>
      <c r="F1588" s="4"/>
      <c r="G1588" s="4"/>
      <c r="H1588" s="27" t="s">
        <v>3165</v>
      </c>
      <c r="I1588" s="4"/>
      <c r="J1588" s="6">
        <v>0</v>
      </c>
      <c r="K1588" s="30" t="s">
        <v>3067</v>
      </c>
      <c r="L1588" s="4"/>
      <c r="M1588" s="3"/>
    </row>
    <row r="1589" spans="1:13" x14ac:dyDescent="0.3">
      <c r="A1589" s="3">
        <v>102</v>
      </c>
      <c r="B1589" s="3">
        <v>102</v>
      </c>
      <c r="C1589" s="4">
        <v>35.332000000000001</v>
      </c>
      <c r="D1589" s="4">
        <v>34.877000000000002</v>
      </c>
      <c r="E1589" s="4">
        <v>35.786999999999999</v>
      </c>
      <c r="F1589" s="4"/>
      <c r="G1589" s="4"/>
      <c r="H1589" s="28" t="s">
        <v>3166</v>
      </c>
      <c r="I1589" s="4"/>
      <c r="J1589" s="6">
        <v>0</v>
      </c>
      <c r="K1589" s="29" t="s">
        <v>3067</v>
      </c>
      <c r="L1589" s="4"/>
      <c r="M1589" s="3"/>
    </row>
    <row r="1590" spans="1:13" x14ac:dyDescent="0.3">
      <c r="A1590" s="3">
        <v>102</v>
      </c>
      <c r="B1590" s="3">
        <v>102</v>
      </c>
      <c r="C1590" s="4">
        <v>36.161000000000001</v>
      </c>
      <c r="D1590" s="4">
        <v>35.786999999999999</v>
      </c>
      <c r="E1590" s="4">
        <v>36.534999999999997</v>
      </c>
      <c r="F1590" s="4"/>
      <c r="G1590" s="4"/>
      <c r="H1590" s="27" t="s">
        <v>3167</v>
      </c>
      <c r="I1590" s="4"/>
      <c r="J1590" s="6">
        <v>0</v>
      </c>
      <c r="K1590" s="30" t="s">
        <v>3067</v>
      </c>
      <c r="L1590" s="4"/>
      <c r="M1590" s="3"/>
    </row>
    <row r="1591" spans="1:13" x14ac:dyDescent="0.3">
      <c r="A1591" s="3">
        <v>102</v>
      </c>
      <c r="B1591" s="3">
        <v>102</v>
      </c>
      <c r="C1591" s="4">
        <v>36.566000000000003</v>
      </c>
      <c r="D1591" s="4">
        <v>36.534999999999997</v>
      </c>
      <c r="E1591" s="4">
        <v>36.597000000000001</v>
      </c>
      <c r="F1591" s="4"/>
      <c r="G1591" s="4"/>
      <c r="H1591" s="28" t="s">
        <v>3168</v>
      </c>
      <c r="I1591" s="4"/>
      <c r="J1591" s="6">
        <v>0</v>
      </c>
      <c r="K1591" s="29" t="s">
        <v>3067</v>
      </c>
      <c r="L1591" s="4"/>
      <c r="M1591" s="3"/>
    </row>
    <row r="1592" spans="1:13" x14ac:dyDescent="0.3">
      <c r="A1592" s="3">
        <v>102</v>
      </c>
      <c r="B1592" s="3">
        <v>102</v>
      </c>
      <c r="C1592" s="4">
        <v>36.704999999999998</v>
      </c>
      <c r="D1592" s="4">
        <v>36.597000000000001</v>
      </c>
      <c r="E1592" s="4">
        <v>36.813000000000002</v>
      </c>
      <c r="F1592" s="4"/>
      <c r="G1592" s="4"/>
      <c r="H1592" s="27" t="s">
        <v>3169</v>
      </c>
      <c r="I1592" s="4"/>
      <c r="J1592" s="6">
        <v>0</v>
      </c>
      <c r="K1592" s="30" t="s">
        <v>3067</v>
      </c>
      <c r="L1592" s="4"/>
      <c r="M1592" s="3"/>
    </row>
    <row r="1593" spans="1:13" x14ac:dyDescent="0.3">
      <c r="A1593" s="3">
        <v>102</v>
      </c>
      <c r="B1593" s="3">
        <v>102</v>
      </c>
      <c r="C1593" s="4">
        <v>37.045499999999997</v>
      </c>
      <c r="D1593" s="4">
        <v>36.813000000000002</v>
      </c>
      <c r="E1593" s="4">
        <v>37.277999999999999</v>
      </c>
      <c r="F1593" s="4"/>
      <c r="G1593" s="4"/>
      <c r="H1593" s="28" t="s">
        <v>3170</v>
      </c>
      <c r="I1593" s="4"/>
      <c r="J1593" s="6">
        <v>0</v>
      </c>
      <c r="K1593" s="29" t="s">
        <v>3067</v>
      </c>
      <c r="L1593" s="4"/>
      <c r="M1593" s="3"/>
    </row>
    <row r="1594" spans="1:13" x14ac:dyDescent="0.3">
      <c r="A1594" s="3">
        <v>102</v>
      </c>
      <c r="B1594" s="3">
        <v>102</v>
      </c>
      <c r="C1594" s="4">
        <v>37.451999999999998</v>
      </c>
      <c r="D1594" s="4">
        <v>37.277999999999999</v>
      </c>
      <c r="E1594" s="4">
        <v>37.625999999999998</v>
      </c>
      <c r="F1594" s="4"/>
      <c r="G1594" s="4"/>
      <c r="H1594" s="27" t="s">
        <v>3171</v>
      </c>
      <c r="I1594" s="4"/>
      <c r="J1594" s="6">
        <v>0</v>
      </c>
      <c r="K1594" s="30" t="s">
        <v>3067</v>
      </c>
      <c r="L1594" s="4"/>
      <c r="M1594" s="3"/>
    </row>
    <row r="1595" spans="1:13" x14ac:dyDescent="0.3">
      <c r="A1595" s="3">
        <v>102</v>
      </c>
      <c r="B1595" s="3">
        <v>102</v>
      </c>
      <c r="C1595" s="4">
        <v>37.768999999999998</v>
      </c>
      <c r="D1595" s="4">
        <v>37.625999999999998</v>
      </c>
      <c r="E1595" s="4">
        <v>37.911999999999999</v>
      </c>
      <c r="F1595" s="4"/>
      <c r="G1595" s="4"/>
      <c r="H1595" s="28" t="s">
        <v>3172</v>
      </c>
      <c r="I1595" s="4"/>
      <c r="J1595" s="6">
        <v>0</v>
      </c>
      <c r="K1595" s="29" t="s">
        <v>3067</v>
      </c>
      <c r="L1595" s="4"/>
      <c r="M1595" s="3"/>
    </row>
    <row r="1596" spans="1:13" x14ac:dyDescent="0.3">
      <c r="A1596" s="3">
        <v>102</v>
      </c>
      <c r="B1596" s="3">
        <v>102</v>
      </c>
      <c r="C1596" s="4">
        <v>38.191499999999998</v>
      </c>
      <c r="D1596" s="4">
        <v>37.911999999999999</v>
      </c>
      <c r="E1596" s="4">
        <v>38.470999999999997</v>
      </c>
      <c r="F1596" s="4"/>
      <c r="G1596" s="4"/>
      <c r="H1596" s="27" t="s">
        <v>3173</v>
      </c>
      <c r="I1596" s="4"/>
      <c r="J1596" s="6">
        <v>0</v>
      </c>
      <c r="K1596" s="30" t="s">
        <v>3067</v>
      </c>
      <c r="L1596" s="4"/>
      <c r="M1596" s="3"/>
    </row>
    <row r="1597" spans="1:13" x14ac:dyDescent="0.3">
      <c r="A1597" s="3">
        <v>102</v>
      </c>
      <c r="B1597" s="3">
        <v>102</v>
      </c>
      <c r="C1597" s="4">
        <v>38.764000000000003</v>
      </c>
      <c r="D1597" s="4">
        <v>38.470999999999997</v>
      </c>
      <c r="E1597" s="4">
        <v>39.057000000000002</v>
      </c>
      <c r="F1597" s="4"/>
      <c r="G1597" s="4"/>
      <c r="H1597" s="28" t="s">
        <v>3174</v>
      </c>
      <c r="I1597" s="4"/>
      <c r="J1597" s="6">
        <v>0</v>
      </c>
      <c r="K1597" s="29" t="s">
        <v>3067</v>
      </c>
      <c r="L1597" s="4"/>
      <c r="M1597" s="3"/>
    </row>
    <row r="1598" spans="1:13" x14ac:dyDescent="0.3">
      <c r="A1598" s="3">
        <v>102</v>
      </c>
      <c r="B1598" s="3">
        <v>102</v>
      </c>
      <c r="C1598" s="4">
        <v>39.275500000000001</v>
      </c>
      <c r="D1598" s="4">
        <v>39.057000000000002</v>
      </c>
      <c r="E1598" s="4">
        <v>39.494</v>
      </c>
      <c r="F1598" s="4"/>
      <c r="G1598" s="4"/>
      <c r="H1598" s="27" t="s">
        <v>3175</v>
      </c>
      <c r="I1598" s="4"/>
      <c r="J1598" s="6">
        <v>0</v>
      </c>
      <c r="K1598" s="30" t="s">
        <v>3067</v>
      </c>
      <c r="L1598" s="4"/>
      <c r="M1598" s="3"/>
    </row>
    <row r="1599" spans="1:13" x14ac:dyDescent="0.3">
      <c r="A1599" s="3">
        <v>102</v>
      </c>
      <c r="B1599" s="3">
        <v>102</v>
      </c>
      <c r="C1599" s="4">
        <v>39.552500000000002</v>
      </c>
      <c r="D1599" s="4">
        <v>39.494</v>
      </c>
      <c r="E1599" s="4">
        <v>39.610999999999997</v>
      </c>
      <c r="F1599" s="4"/>
      <c r="G1599" s="4"/>
      <c r="H1599" s="28" t="s">
        <v>3176</v>
      </c>
      <c r="I1599" s="4"/>
      <c r="J1599" s="6">
        <v>0</v>
      </c>
      <c r="K1599" s="29" t="s">
        <v>3067</v>
      </c>
      <c r="L1599" s="4"/>
      <c r="M1599" s="3"/>
    </row>
    <row r="1600" spans="1:13" x14ac:dyDescent="0.3">
      <c r="A1600" s="3">
        <v>102</v>
      </c>
      <c r="B1600" s="3">
        <v>102</v>
      </c>
      <c r="C1600" s="4">
        <v>39.871499999999997</v>
      </c>
      <c r="D1600" s="4">
        <v>39.610999999999997</v>
      </c>
      <c r="E1600" s="4">
        <v>40.131999999999998</v>
      </c>
      <c r="F1600" s="4"/>
      <c r="G1600" s="4"/>
      <c r="H1600" s="27" t="s">
        <v>3177</v>
      </c>
      <c r="I1600" s="4"/>
      <c r="J1600" s="6">
        <v>0</v>
      </c>
      <c r="K1600" s="30" t="s">
        <v>3067</v>
      </c>
      <c r="L1600" s="4"/>
      <c r="M1600" s="3"/>
    </row>
    <row r="1601" spans="1:13" x14ac:dyDescent="0.3">
      <c r="A1601" s="3">
        <v>102</v>
      </c>
      <c r="B1601" s="3">
        <v>102</v>
      </c>
      <c r="C1601" s="4">
        <v>40.400500000000001</v>
      </c>
      <c r="D1601" s="4">
        <v>40.131999999999998</v>
      </c>
      <c r="E1601" s="4">
        <v>40.668999999999997</v>
      </c>
      <c r="F1601" s="4"/>
      <c r="G1601" s="4"/>
      <c r="H1601" s="28" t="s">
        <v>3178</v>
      </c>
      <c r="I1601" s="4"/>
      <c r="J1601" s="6">
        <v>0</v>
      </c>
      <c r="K1601" s="29" t="s">
        <v>3067</v>
      </c>
      <c r="L1601" s="4"/>
      <c r="M1601" s="3"/>
    </row>
    <row r="1602" spans="1:13" x14ac:dyDescent="0.3">
      <c r="A1602" s="3">
        <v>102</v>
      </c>
      <c r="B1602" s="3">
        <v>102</v>
      </c>
      <c r="C1602" s="4">
        <v>40.899000000000001</v>
      </c>
      <c r="D1602" s="4">
        <v>40.668999999999997</v>
      </c>
      <c r="E1602" s="4">
        <v>41.128999999999998</v>
      </c>
      <c r="F1602" s="4"/>
      <c r="G1602" s="4"/>
      <c r="H1602" s="27" t="s">
        <v>3179</v>
      </c>
      <c r="I1602" s="4"/>
      <c r="J1602" s="6">
        <v>0</v>
      </c>
      <c r="K1602" s="30" t="s">
        <v>3067</v>
      </c>
      <c r="L1602" s="4"/>
      <c r="M1602" s="3"/>
    </row>
    <row r="1603" spans="1:13" x14ac:dyDescent="0.3">
      <c r="A1603" s="3">
        <v>102</v>
      </c>
      <c r="B1603" s="3">
        <v>102</v>
      </c>
      <c r="C1603" s="4">
        <v>41.4345</v>
      </c>
      <c r="D1603" s="4">
        <v>41.128999999999998</v>
      </c>
      <c r="E1603" s="4">
        <v>41.74</v>
      </c>
      <c r="F1603" s="4"/>
      <c r="G1603" s="4"/>
      <c r="H1603" s="28" t="s">
        <v>3180</v>
      </c>
      <c r="I1603" s="4"/>
      <c r="J1603" s="6">
        <v>0</v>
      </c>
      <c r="K1603" s="29" t="s">
        <v>3067</v>
      </c>
      <c r="L1603" s="4"/>
      <c r="M1603" s="3"/>
    </row>
    <row r="1604" spans="1:13" x14ac:dyDescent="0.3">
      <c r="A1604" s="3">
        <v>102</v>
      </c>
      <c r="B1604" s="3">
        <v>102</v>
      </c>
      <c r="C1604" s="4">
        <v>42.075499999999998</v>
      </c>
      <c r="D1604" s="4">
        <v>41.74</v>
      </c>
      <c r="E1604" s="4">
        <v>42.411000000000001</v>
      </c>
      <c r="F1604" s="4"/>
      <c r="G1604" s="4"/>
      <c r="H1604" s="27" t="s">
        <v>3181</v>
      </c>
      <c r="I1604" s="4"/>
      <c r="J1604" s="6">
        <v>0</v>
      </c>
      <c r="K1604" s="30" t="s">
        <v>3067</v>
      </c>
      <c r="L1604" s="4"/>
      <c r="M1604" s="3"/>
    </row>
    <row r="1605" spans="1:13" x14ac:dyDescent="0.3">
      <c r="A1605" s="3">
        <v>102</v>
      </c>
      <c r="B1605" s="3">
        <v>102</v>
      </c>
      <c r="C1605" s="4">
        <v>42.456000000000003</v>
      </c>
      <c r="D1605" s="4">
        <v>42.411000000000001</v>
      </c>
      <c r="E1605" s="4">
        <v>42.500999999999998</v>
      </c>
      <c r="F1605" s="4"/>
      <c r="G1605" s="4"/>
      <c r="H1605" s="28" t="s">
        <v>3182</v>
      </c>
      <c r="I1605" s="4"/>
      <c r="J1605" s="6">
        <v>0</v>
      </c>
      <c r="K1605" s="29" t="s">
        <v>3067</v>
      </c>
      <c r="L1605" s="4"/>
      <c r="M1605" s="3"/>
    </row>
    <row r="1606" spans="1:13" x14ac:dyDescent="0.3">
      <c r="A1606" s="3">
        <v>102</v>
      </c>
      <c r="B1606" s="3">
        <v>102</v>
      </c>
      <c r="C1606" s="4">
        <v>42.612000000000002</v>
      </c>
      <c r="D1606" s="4">
        <v>42.500999999999998</v>
      </c>
      <c r="E1606" s="4">
        <v>42.722999999999999</v>
      </c>
      <c r="F1606" s="4"/>
      <c r="G1606" s="4"/>
      <c r="H1606" s="27" t="s">
        <v>3183</v>
      </c>
      <c r="I1606" s="4"/>
      <c r="J1606" s="6">
        <v>0</v>
      </c>
      <c r="K1606" s="30" t="s">
        <v>3067</v>
      </c>
      <c r="L1606" s="4"/>
      <c r="M1606" s="3"/>
    </row>
    <row r="1607" spans="1:13" x14ac:dyDescent="0.3">
      <c r="A1607" s="3">
        <v>102</v>
      </c>
      <c r="B1607" s="3">
        <v>102</v>
      </c>
      <c r="C1607" s="4">
        <v>42.978499999999997</v>
      </c>
      <c r="D1607" s="4">
        <v>42.722999999999999</v>
      </c>
      <c r="E1607" s="4">
        <v>43.234000000000002</v>
      </c>
      <c r="F1607" s="4"/>
      <c r="G1607" s="4"/>
      <c r="H1607" s="28" t="s">
        <v>3184</v>
      </c>
      <c r="I1607" s="4"/>
      <c r="J1607" s="6">
        <v>0</v>
      </c>
      <c r="K1607" s="29" t="s">
        <v>3067</v>
      </c>
      <c r="L1607" s="4"/>
      <c r="M1607" s="3"/>
    </row>
    <row r="1608" spans="1:13" x14ac:dyDescent="0.3">
      <c r="A1608" s="3">
        <v>102</v>
      </c>
      <c r="B1608" s="3">
        <v>102</v>
      </c>
      <c r="C1608" s="4">
        <v>43.439</v>
      </c>
      <c r="D1608" s="4">
        <v>43.234000000000002</v>
      </c>
      <c r="E1608" s="4">
        <v>43.643999999999998</v>
      </c>
      <c r="F1608" s="4"/>
      <c r="G1608" s="4"/>
      <c r="H1608" s="27" t="s">
        <v>3185</v>
      </c>
      <c r="I1608" s="4"/>
      <c r="J1608" s="6">
        <v>0</v>
      </c>
      <c r="K1608" s="30" t="s">
        <v>3067</v>
      </c>
      <c r="L1608" s="4"/>
      <c r="M1608" s="3"/>
    </row>
    <row r="1609" spans="1:13" x14ac:dyDescent="0.3">
      <c r="A1609" s="3">
        <v>102</v>
      </c>
      <c r="B1609" s="3">
        <v>102</v>
      </c>
      <c r="C1609" s="4">
        <v>43.917000000000002</v>
      </c>
      <c r="D1609" s="4">
        <v>43.643999999999998</v>
      </c>
      <c r="E1609" s="4">
        <v>44.19</v>
      </c>
      <c r="F1609" s="4"/>
      <c r="G1609" s="4"/>
      <c r="H1609" s="28" t="s">
        <v>3186</v>
      </c>
      <c r="I1609" s="4"/>
      <c r="J1609" s="6">
        <v>0</v>
      </c>
      <c r="K1609" s="29" t="s">
        <v>3067</v>
      </c>
      <c r="L1609" s="4"/>
      <c r="M1609" s="3"/>
    </row>
    <row r="1610" spans="1:13" x14ac:dyDescent="0.3">
      <c r="A1610" s="3">
        <v>102</v>
      </c>
      <c r="B1610" s="3">
        <v>102</v>
      </c>
      <c r="C1610" s="4">
        <v>44.302999999999997</v>
      </c>
      <c r="D1610" s="4">
        <v>44.19</v>
      </c>
      <c r="E1610" s="4">
        <v>44.415999999999997</v>
      </c>
      <c r="F1610" s="4"/>
      <c r="G1610" s="4"/>
      <c r="H1610" s="27" t="s">
        <v>3187</v>
      </c>
      <c r="I1610" s="4"/>
      <c r="J1610" s="6">
        <v>0</v>
      </c>
      <c r="K1610" s="30" t="s">
        <v>3067</v>
      </c>
      <c r="L1610" s="4"/>
      <c r="M1610" s="3"/>
    </row>
    <row r="1611" spans="1:13" x14ac:dyDescent="0.3">
      <c r="A1611" s="3">
        <v>102</v>
      </c>
      <c r="B1611" s="3">
        <v>102</v>
      </c>
      <c r="C1611" s="4">
        <v>44.499000000000002</v>
      </c>
      <c r="D1611" s="4">
        <v>44.415999999999997</v>
      </c>
      <c r="E1611" s="4">
        <v>44.582000000000001</v>
      </c>
      <c r="F1611" s="4"/>
      <c r="G1611" s="4"/>
      <c r="H1611" s="28" t="s">
        <v>3188</v>
      </c>
      <c r="I1611" s="4"/>
      <c r="J1611" s="6">
        <v>0</v>
      </c>
      <c r="K1611" s="29" t="s">
        <v>3067</v>
      </c>
      <c r="L1611" s="4"/>
      <c r="M1611" s="3"/>
    </row>
    <row r="1612" spans="1:13" x14ac:dyDescent="0.3">
      <c r="A1612" s="3">
        <v>102</v>
      </c>
      <c r="B1612" s="3">
        <v>102</v>
      </c>
      <c r="C1612" s="4">
        <v>44.683500000000002</v>
      </c>
      <c r="D1612" s="4">
        <v>44.582000000000001</v>
      </c>
      <c r="E1612" s="4">
        <v>44.784999999999997</v>
      </c>
      <c r="F1612" s="4"/>
      <c r="G1612" s="4"/>
      <c r="H1612" s="27" t="s">
        <v>3189</v>
      </c>
      <c r="I1612" s="4"/>
      <c r="J1612" s="6">
        <v>0</v>
      </c>
      <c r="K1612" s="30" t="s">
        <v>3067</v>
      </c>
      <c r="L1612" s="4"/>
      <c r="M1612" s="3"/>
    </row>
    <row r="1613" spans="1:13" x14ac:dyDescent="0.3">
      <c r="A1613" s="3">
        <v>102</v>
      </c>
      <c r="B1613" s="3">
        <v>102</v>
      </c>
      <c r="C1613" s="4">
        <v>44.929499999999997</v>
      </c>
      <c r="D1613" s="4">
        <v>44.784999999999997</v>
      </c>
      <c r="E1613" s="4">
        <v>45.073999999999998</v>
      </c>
      <c r="F1613" s="4"/>
      <c r="G1613" s="4"/>
      <c r="H1613" s="28" t="s">
        <v>3190</v>
      </c>
      <c r="I1613" s="4"/>
      <c r="J1613" s="6">
        <v>0</v>
      </c>
      <c r="K1613" s="29" t="s">
        <v>3067</v>
      </c>
      <c r="L1613" s="4"/>
      <c r="M1613" s="3"/>
    </row>
    <row r="1614" spans="1:13" x14ac:dyDescent="0.3">
      <c r="A1614" s="3">
        <v>102</v>
      </c>
      <c r="B1614" s="3">
        <v>102</v>
      </c>
      <c r="C1614" s="4">
        <v>45.469000000000001</v>
      </c>
      <c r="D1614" s="4">
        <v>45.073999999999998</v>
      </c>
      <c r="E1614" s="4">
        <v>45.863999999999997</v>
      </c>
      <c r="F1614" s="4"/>
      <c r="G1614" s="4"/>
      <c r="H1614" s="27" t="s">
        <v>3191</v>
      </c>
      <c r="I1614" s="4"/>
      <c r="J1614" s="6">
        <v>0</v>
      </c>
      <c r="K1614" s="30" t="s">
        <v>3067</v>
      </c>
      <c r="L1614" s="4"/>
      <c r="M1614" s="3"/>
    </row>
    <row r="1615" spans="1:13" x14ac:dyDescent="0.3">
      <c r="A1615" s="3">
        <v>102</v>
      </c>
      <c r="B1615" s="3">
        <v>102</v>
      </c>
      <c r="C1615" s="4">
        <v>45.883000000000003</v>
      </c>
      <c r="D1615" s="4">
        <v>45.863999999999997</v>
      </c>
      <c r="E1615" s="4">
        <v>45.902000000000001</v>
      </c>
      <c r="F1615" s="4"/>
      <c r="G1615" s="4"/>
      <c r="H1615" s="28" t="s">
        <v>3192</v>
      </c>
      <c r="I1615" s="4"/>
      <c r="J1615" s="6">
        <v>0</v>
      </c>
      <c r="K1615" s="29" t="s">
        <v>3067</v>
      </c>
      <c r="L1615" s="4"/>
      <c r="M1615" s="3"/>
    </row>
    <row r="1616" spans="1:13" x14ac:dyDescent="0.3">
      <c r="A1616" s="3">
        <v>102</v>
      </c>
      <c r="B1616" s="3">
        <v>102</v>
      </c>
      <c r="C1616" s="4">
        <v>46.024999999999999</v>
      </c>
      <c r="D1616" s="4">
        <v>45.902000000000001</v>
      </c>
      <c r="E1616" s="4">
        <v>46.148000000000003</v>
      </c>
      <c r="F1616" s="4"/>
      <c r="G1616" s="4"/>
      <c r="H1616" s="27" t="s">
        <v>3193</v>
      </c>
      <c r="I1616" s="4"/>
      <c r="J1616" s="6">
        <v>0</v>
      </c>
      <c r="K1616" s="30" t="s">
        <v>3067</v>
      </c>
      <c r="L1616" s="4"/>
      <c r="M1616" s="3"/>
    </row>
    <row r="1617" spans="1:13" x14ac:dyDescent="0.3">
      <c r="A1617" s="3">
        <v>102</v>
      </c>
      <c r="B1617" s="3">
        <v>102</v>
      </c>
      <c r="C1617" s="4">
        <v>46.456000000000003</v>
      </c>
      <c r="D1617" s="4">
        <v>46.148000000000003</v>
      </c>
      <c r="E1617" s="4">
        <v>46.764000000000003</v>
      </c>
      <c r="F1617" s="4"/>
      <c r="G1617" s="4"/>
      <c r="H1617" s="28" t="s">
        <v>3194</v>
      </c>
      <c r="I1617" s="4"/>
      <c r="J1617" s="6">
        <v>0</v>
      </c>
      <c r="K1617" s="29" t="s">
        <v>3067</v>
      </c>
      <c r="L1617" s="4"/>
      <c r="M1617" s="3"/>
    </row>
    <row r="1618" spans="1:13" x14ac:dyDescent="0.3">
      <c r="A1618" s="3">
        <v>102</v>
      </c>
      <c r="B1618" s="3">
        <v>102</v>
      </c>
      <c r="C1618" s="4">
        <v>46.872500000000002</v>
      </c>
      <c r="D1618" s="4">
        <v>46.764000000000003</v>
      </c>
      <c r="E1618" s="4">
        <v>46.981000000000002</v>
      </c>
      <c r="F1618" s="4"/>
      <c r="G1618" s="4"/>
      <c r="H1618" s="27" t="s">
        <v>3195</v>
      </c>
      <c r="I1618" s="4"/>
      <c r="J1618" s="6">
        <v>0</v>
      </c>
      <c r="K1618" s="30" t="s">
        <v>3067</v>
      </c>
      <c r="L1618" s="4"/>
      <c r="M1618" s="3"/>
    </row>
    <row r="1619" spans="1:13" x14ac:dyDescent="0.3">
      <c r="A1619" s="3">
        <v>102</v>
      </c>
      <c r="B1619" s="3">
        <v>102</v>
      </c>
      <c r="C1619" s="4">
        <v>47.3125</v>
      </c>
      <c r="D1619" s="4">
        <v>46.981000000000002</v>
      </c>
      <c r="E1619" s="4">
        <v>47.643999999999998</v>
      </c>
      <c r="F1619" s="4"/>
      <c r="G1619" s="4"/>
      <c r="H1619" s="28" t="s">
        <v>3196</v>
      </c>
      <c r="I1619" s="4"/>
      <c r="J1619" s="6">
        <v>0</v>
      </c>
      <c r="K1619" s="29" t="s">
        <v>3067</v>
      </c>
      <c r="L1619" s="4"/>
      <c r="M1619" s="3"/>
    </row>
    <row r="1620" spans="1:13" x14ac:dyDescent="0.3">
      <c r="A1620" s="3">
        <v>102</v>
      </c>
      <c r="B1620" s="3">
        <v>102</v>
      </c>
      <c r="C1620" s="4">
        <v>48.054499999999997</v>
      </c>
      <c r="D1620" s="4">
        <v>47.643999999999998</v>
      </c>
      <c r="E1620" s="4">
        <v>48.465000000000003</v>
      </c>
      <c r="F1620" s="4"/>
      <c r="G1620" s="4"/>
      <c r="H1620" s="27" t="s">
        <v>3197</v>
      </c>
      <c r="I1620" s="4"/>
      <c r="J1620" s="6">
        <v>0</v>
      </c>
      <c r="K1620" s="30" t="s">
        <v>3067</v>
      </c>
      <c r="L1620" s="4"/>
      <c r="M1620" s="3"/>
    </row>
    <row r="1621" spans="1:13" x14ac:dyDescent="0.3">
      <c r="A1621" s="3">
        <v>102</v>
      </c>
      <c r="B1621" s="3">
        <v>102</v>
      </c>
      <c r="C1621" s="4">
        <v>48.619</v>
      </c>
      <c r="D1621" s="4">
        <v>48.465000000000003</v>
      </c>
      <c r="E1621" s="4">
        <v>48.773000000000003</v>
      </c>
      <c r="F1621" s="4"/>
      <c r="G1621" s="4"/>
      <c r="H1621" s="28" t="s">
        <v>3198</v>
      </c>
      <c r="I1621" s="4"/>
      <c r="J1621" s="6">
        <v>0</v>
      </c>
      <c r="K1621" s="29" t="s">
        <v>3067</v>
      </c>
      <c r="L1621" s="4"/>
      <c r="M1621" s="3"/>
    </row>
    <row r="1622" spans="1:13" x14ac:dyDescent="0.3">
      <c r="A1622" s="3">
        <v>102</v>
      </c>
      <c r="B1622" s="3">
        <v>102</v>
      </c>
      <c r="C1622" s="4">
        <v>48.975999999999999</v>
      </c>
      <c r="D1622" s="4">
        <v>48.773000000000003</v>
      </c>
      <c r="E1622" s="4">
        <v>49.179000000000002</v>
      </c>
      <c r="F1622" s="4"/>
      <c r="G1622" s="4"/>
      <c r="H1622" s="27" t="s">
        <v>3199</v>
      </c>
      <c r="I1622" s="4"/>
      <c r="J1622" s="6">
        <v>0</v>
      </c>
      <c r="K1622" s="30" t="s">
        <v>3067</v>
      </c>
      <c r="L1622" s="4"/>
      <c r="M1622" s="3"/>
    </row>
    <row r="1623" spans="1:13" x14ac:dyDescent="0.3">
      <c r="A1623" s="3">
        <v>102</v>
      </c>
      <c r="B1623" s="3">
        <v>102</v>
      </c>
      <c r="C1623" s="4">
        <v>49.212000000000003</v>
      </c>
      <c r="D1623" s="4">
        <v>49.179000000000002</v>
      </c>
      <c r="E1623" s="4">
        <v>49.244999999999997</v>
      </c>
      <c r="F1623" s="4"/>
      <c r="G1623" s="4"/>
      <c r="H1623" s="28" t="s">
        <v>3200</v>
      </c>
      <c r="I1623" s="4"/>
      <c r="J1623" s="6">
        <v>0</v>
      </c>
      <c r="K1623" s="29" t="s">
        <v>3067</v>
      </c>
      <c r="L1623" s="4"/>
      <c r="M1623" s="3"/>
    </row>
    <row r="1624" spans="1:13" x14ac:dyDescent="0.3">
      <c r="A1624" s="3">
        <v>102</v>
      </c>
      <c r="B1624" s="3">
        <v>102</v>
      </c>
      <c r="C1624" s="4">
        <v>49.607999999999997</v>
      </c>
      <c r="D1624" s="4">
        <v>49.244999999999997</v>
      </c>
      <c r="E1624" s="4">
        <v>49.970999999999997</v>
      </c>
      <c r="F1624" s="4"/>
      <c r="G1624" s="4"/>
      <c r="H1624" s="27" t="s">
        <v>3201</v>
      </c>
      <c r="I1624" s="4"/>
      <c r="J1624" s="6">
        <v>0</v>
      </c>
      <c r="K1624" s="30" t="s">
        <v>3067</v>
      </c>
      <c r="L1624" s="4"/>
      <c r="M1624" s="3"/>
    </row>
    <row r="1625" spans="1:13" x14ac:dyDescent="0.3">
      <c r="A1625" s="3">
        <v>102</v>
      </c>
      <c r="B1625" s="3">
        <v>102</v>
      </c>
      <c r="C1625" s="4">
        <v>50.030500000000004</v>
      </c>
      <c r="D1625" s="4">
        <v>49.970999999999997</v>
      </c>
      <c r="E1625" s="4">
        <v>50.09</v>
      </c>
      <c r="F1625" s="4"/>
      <c r="G1625" s="4"/>
      <c r="H1625" s="28" t="s">
        <v>3202</v>
      </c>
      <c r="I1625" s="4"/>
      <c r="J1625" s="6">
        <v>0</v>
      </c>
      <c r="K1625" s="29" t="s">
        <v>3067</v>
      </c>
      <c r="L1625" s="4"/>
      <c r="M1625" s="3"/>
    </row>
    <row r="1626" spans="1:13" x14ac:dyDescent="0.3">
      <c r="A1626" s="3">
        <v>102</v>
      </c>
      <c r="B1626" s="3">
        <v>102</v>
      </c>
      <c r="C1626" s="4">
        <v>50.296500000000002</v>
      </c>
      <c r="D1626" s="4">
        <v>50.09</v>
      </c>
      <c r="E1626" s="4">
        <v>50.503</v>
      </c>
      <c r="F1626" s="4"/>
      <c r="G1626" s="4"/>
      <c r="H1626" s="27" t="s">
        <v>3203</v>
      </c>
      <c r="I1626" s="4"/>
      <c r="J1626" s="6">
        <v>0</v>
      </c>
      <c r="K1626" s="30" t="s">
        <v>3067</v>
      </c>
      <c r="L1626" s="4"/>
      <c r="M1626" s="3"/>
    </row>
    <row r="1627" spans="1:13" x14ac:dyDescent="0.3">
      <c r="A1627" s="3">
        <v>102</v>
      </c>
      <c r="B1627" s="3">
        <v>102</v>
      </c>
      <c r="C1627" s="4">
        <v>50.691499999999998</v>
      </c>
      <c r="D1627" s="4">
        <v>50.503</v>
      </c>
      <c r="E1627" s="4">
        <v>50.88</v>
      </c>
      <c r="F1627" s="4"/>
      <c r="G1627" s="4"/>
      <c r="H1627" s="28" t="s">
        <v>3204</v>
      </c>
      <c r="I1627" s="4"/>
      <c r="J1627" s="6">
        <v>0</v>
      </c>
      <c r="K1627" s="29" t="s">
        <v>3067</v>
      </c>
      <c r="L1627" s="4"/>
      <c r="M1627" s="3"/>
    </row>
    <row r="1628" spans="1:13" x14ac:dyDescent="0.3">
      <c r="A1628" s="3">
        <v>102</v>
      </c>
      <c r="B1628" s="3">
        <v>102</v>
      </c>
      <c r="C1628" s="4">
        <v>51.036499999999997</v>
      </c>
      <c r="D1628" s="4">
        <v>50.88</v>
      </c>
      <c r="E1628" s="4">
        <v>51.192999999999998</v>
      </c>
      <c r="F1628" s="4"/>
      <c r="G1628" s="4"/>
      <c r="H1628" s="27" t="s">
        <v>3205</v>
      </c>
      <c r="I1628" s="4"/>
      <c r="J1628" s="6">
        <v>0</v>
      </c>
      <c r="K1628" s="30" t="s">
        <v>3067</v>
      </c>
      <c r="L1628" s="4"/>
      <c r="M1628" s="3"/>
    </row>
    <row r="1629" spans="1:13" x14ac:dyDescent="0.3">
      <c r="A1629" s="3">
        <v>101</v>
      </c>
      <c r="B1629" s="3">
        <v>101</v>
      </c>
      <c r="C1629" s="4">
        <v>718.54150000000004</v>
      </c>
      <c r="D1629" s="4">
        <v>717.9</v>
      </c>
      <c r="E1629" s="4">
        <v>719.18299999999999</v>
      </c>
      <c r="F1629" s="4"/>
      <c r="G1629" s="4"/>
      <c r="H1629" s="28" t="s">
        <v>3206</v>
      </c>
      <c r="I1629" s="4"/>
      <c r="J1629" s="6">
        <v>0</v>
      </c>
      <c r="K1629" s="29" t="s">
        <v>3207</v>
      </c>
      <c r="L1629" s="4"/>
      <c r="M1629" s="3"/>
    </row>
    <row r="1630" spans="1:13" x14ac:dyDescent="0.3">
      <c r="A1630" s="3">
        <v>101</v>
      </c>
      <c r="B1630" s="3">
        <v>101</v>
      </c>
      <c r="C1630" s="4">
        <v>719.53449999999998</v>
      </c>
      <c r="D1630" s="4">
        <v>719.18299999999999</v>
      </c>
      <c r="E1630" s="4">
        <v>719.88599999999997</v>
      </c>
      <c r="F1630" s="4"/>
      <c r="G1630" s="4"/>
      <c r="H1630" s="27" t="s">
        <v>3208</v>
      </c>
      <c r="I1630" s="4"/>
      <c r="J1630" s="6">
        <v>0</v>
      </c>
      <c r="K1630" s="30" t="s">
        <v>3207</v>
      </c>
      <c r="L1630" s="4"/>
      <c r="M1630" s="3"/>
    </row>
    <row r="1631" spans="1:13" x14ac:dyDescent="0.3">
      <c r="A1631" s="3">
        <v>101</v>
      </c>
      <c r="B1631" s="3">
        <v>101</v>
      </c>
      <c r="C1631" s="4">
        <v>720.24950000000001</v>
      </c>
      <c r="D1631" s="4">
        <v>719.88599999999997</v>
      </c>
      <c r="E1631" s="4">
        <v>720.61300000000006</v>
      </c>
      <c r="F1631" s="4"/>
      <c r="G1631" s="4"/>
      <c r="H1631" s="28" t="s">
        <v>3209</v>
      </c>
      <c r="I1631" s="4"/>
      <c r="J1631" s="6">
        <v>0</v>
      </c>
      <c r="K1631" s="29" t="s">
        <v>3207</v>
      </c>
      <c r="L1631" s="4"/>
      <c r="M1631" s="3"/>
    </row>
    <row r="1632" spans="1:13" x14ac:dyDescent="0.3">
      <c r="A1632" s="3">
        <v>101</v>
      </c>
      <c r="B1632" s="3">
        <v>101</v>
      </c>
      <c r="C1632" s="4">
        <v>720.71900000000005</v>
      </c>
      <c r="D1632" s="4">
        <v>720.61300000000006</v>
      </c>
      <c r="E1632" s="4">
        <v>720.82500000000005</v>
      </c>
      <c r="F1632" s="4"/>
      <c r="G1632" s="4"/>
      <c r="H1632" s="27" t="s">
        <v>3210</v>
      </c>
      <c r="I1632" s="4"/>
      <c r="J1632" s="6">
        <v>0</v>
      </c>
      <c r="K1632" s="30" t="s">
        <v>3207</v>
      </c>
      <c r="L1632" s="4"/>
      <c r="M1632" s="3"/>
    </row>
    <row r="1633" spans="1:13" x14ac:dyDescent="0.3">
      <c r="A1633" s="3">
        <v>101</v>
      </c>
      <c r="B1633" s="3">
        <v>101</v>
      </c>
      <c r="C1633" s="4">
        <v>721.54549999999995</v>
      </c>
      <c r="D1633" s="4">
        <v>720.82500000000005</v>
      </c>
      <c r="E1633" s="4">
        <v>722.26599999999996</v>
      </c>
      <c r="F1633" s="4"/>
      <c r="G1633" s="4"/>
      <c r="H1633" s="28" t="s">
        <v>3211</v>
      </c>
      <c r="I1633" s="4"/>
      <c r="J1633" s="6">
        <v>0</v>
      </c>
      <c r="K1633" s="29" t="s">
        <v>3207</v>
      </c>
      <c r="L1633" s="4"/>
      <c r="M1633" s="3"/>
    </row>
    <row r="1634" spans="1:13" x14ac:dyDescent="0.3">
      <c r="A1634" s="3">
        <v>101</v>
      </c>
      <c r="B1634" s="3">
        <v>101</v>
      </c>
      <c r="C1634" s="4">
        <v>722.59199999999998</v>
      </c>
      <c r="D1634" s="4">
        <v>722.26599999999996</v>
      </c>
      <c r="E1634" s="4">
        <v>722.91800000000001</v>
      </c>
      <c r="F1634" s="4"/>
      <c r="G1634" s="4"/>
      <c r="H1634" s="27" t="s">
        <v>3212</v>
      </c>
      <c r="I1634" s="4"/>
      <c r="J1634" s="6">
        <v>0</v>
      </c>
      <c r="K1634" s="30" t="s">
        <v>3207</v>
      </c>
      <c r="L1634" s="4"/>
      <c r="M1634" s="3"/>
    </row>
    <row r="1635" spans="1:13" x14ac:dyDescent="0.3">
      <c r="A1635" s="3">
        <v>101</v>
      </c>
      <c r="B1635" s="3">
        <v>101</v>
      </c>
      <c r="C1635" s="4">
        <v>724.00250000000005</v>
      </c>
      <c r="D1635" s="4">
        <v>722.91800000000001</v>
      </c>
      <c r="E1635" s="4">
        <v>725.08699999999999</v>
      </c>
      <c r="F1635" s="4"/>
      <c r="G1635" s="4"/>
      <c r="H1635" s="28" t="s">
        <v>3213</v>
      </c>
      <c r="I1635" s="4"/>
      <c r="J1635" s="6">
        <v>0</v>
      </c>
      <c r="K1635" s="29" t="s">
        <v>3207</v>
      </c>
      <c r="L1635" s="4"/>
      <c r="M1635" s="3"/>
    </row>
    <row r="1636" spans="1:13" x14ac:dyDescent="0.3">
      <c r="A1636" s="3">
        <v>101</v>
      </c>
      <c r="B1636" s="3">
        <v>101</v>
      </c>
      <c r="C1636" s="4">
        <v>725.31899999999996</v>
      </c>
      <c r="D1636" s="4">
        <v>725.08699999999999</v>
      </c>
      <c r="E1636" s="4">
        <v>725.55100000000004</v>
      </c>
      <c r="F1636" s="4"/>
      <c r="G1636" s="4"/>
      <c r="H1636" s="27" t="s">
        <v>3214</v>
      </c>
      <c r="I1636" s="4"/>
      <c r="J1636" s="6">
        <v>0</v>
      </c>
      <c r="K1636" s="30" t="s">
        <v>3207</v>
      </c>
      <c r="L1636" s="4"/>
      <c r="M1636" s="3"/>
    </row>
    <row r="1637" spans="1:13" x14ac:dyDescent="0.3">
      <c r="A1637" s="3">
        <v>101</v>
      </c>
      <c r="B1637" s="3">
        <v>101</v>
      </c>
      <c r="C1637" s="4">
        <v>725.64099999999996</v>
      </c>
      <c r="D1637" s="4">
        <v>725.55100000000004</v>
      </c>
      <c r="E1637" s="4">
        <v>725.73099999999999</v>
      </c>
      <c r="F1637" s="4"/>
      <c r="G1637" s="4"/>
      <c r="H1637" s="28" t="s">
        <v>3215</v>
      </c>
      <c r="I1637" s="4"/>
      <c r="J1637" s="6">
        <v>0</v>
      </c>
      <c r="K1637" s="29" t="s">
        <v>3207</v>
      </c>
      <c r="L1637" s="4"/>
      <c r="M1637" s="3"/>
    </row>
    <row r="1638" spans="1:13" x14ac:dyDescent="0.3">
      <c r="A1638" s="3">
        <v>101</v>
      </c>
      <c r="B1638" s="3">
        <v>101</v>
      </c>
      <c r="C1638" s="4">
        <v>725.92550000000006</v>
      </c>
      <c r="D1638" s="4">
        <v>725.73099999999999</v>
      </c>
      <c r="E1638" s="4">
        <v>726.12</v>
      </c>
      <c r="F1638" s="4"/>
      <c r="G1638" s="4"/>
      <c r="H1638" s="27" t="s">
        <v>3216</v>
      </c>
      <c r="I1638" s="4"/>
      <c r="J1638" s="6">
        <v>0</v>
      </c>
      <c r="K1638" s="30" t="s">
        <v>3207</v>
      </c>
      <c r="L1638" s="4"/>
      <c r="M1638" s="3"/>
    </row>
    <row r="1639" spans="1:13" x14ac:dyDescent="0.3">
      <c r="A1639" s="3">
        <v>101</v>
      </c>
      <c r="B1639" s="3">
        <v>101</v>
      </c>
      <c r="C1639" s="4">
        <v>726.15499999999997</v>
      </c>
      <c r="D1639" s="4">
        <v>726.12</v>
      </c>
      <c r="E1639" s="4">
        <v>726.19</v>
      </c>
      <c r="F1639" s="4"/>
      <c r="G1639" s="4"/>
      <c r="H1639" s="28" t="s">
        <v>3217</v>
      </c>
      <c r="I1639" s="4"/>
      <c r="J1639" s="6">
        <v>0</v>
      </c>
      <c r="K1639" s="29" t="s">
        <v>3207</v>
      </c>
      <c r="L1639" s="4"/>
      <c r="M1639" s="3"/>
    </row>
    <row r="1640" spans="1:13" x14ac:dyDescent="0.3">
      <c r="A1640" s="3">
        <v>101</v>
      </c>
      <c r="B1640" s="3">
        <v>101</v>
      </c>
      <c r="C1640" s="4">
        <v>726.33</v>
      </c>
      <c r="D1640" s="4">
        <v>726.19</v>
      </c>
      <c r="E1640" s="4">
        <v>726.47</v>
      </c>
      <c r="F1640" s="4"/>
      <c r="G1640" s="4"/>
      <c r="H1640" s="27" t="s">
        <v>3218</v>
      </c>
      <c r="I1640" s="4"/>
      <c r="J1640" s="6">
        <v>0</v>
      </c>
      <c r="K1640" s="30" t="s">
        <v>3207</v>
      </c>
      <c r="L1640" s="4"/>
      <c r="M1640" s="3"/>
    </row>
    <row r="1641" spans="1:13" x14ac:dyDescent="0.3">
      <c r="A1641" s="3">
        <v>101</v>
      </c>
      <c r="B1641" s="3">
        <v>101</v>
      </c>
      <c r="C1641" s="4">
        <v>726.48850000000004</v>
      </c>
      <c r="D1641" s="4">
        <v>726.47</v>
      </c>
      <c r="E1641" s="4">
        <v>726.50699999999995</v>
      </c>
      <c r="F1641" s="4"/>
      <c r="G1641" s="4"/>
      <c r="H1641" s="28" t="s">
        <v>3219</v>
      </c>
      <c r="I1641" s="4"/>
      <c r="J1641" s="6">
        <v>0</v>
      </c>
      <c r="K1641" s="29" t="s">
        <v>3207</v>
      </c>
      <c r="L1641" s="4"/>
      <c r="M1641" s="3"/>
    </row>
    <row r="1642" spans="1:13" x14ac:dyDescent="0.3">
      <c r="A1642" s="3">
        <v>101</v>
      </c>
      <c r="B1642" s="3">
        <v>101</v>
      </c>
      <c r="C1642" s="4">
        <v>726.81899999999996</v>
      </c>
      <c r="D1642" s="4">
        <v>726.50699999999995</v>
      </c>
      <c r="E1642" s="4">
        <v>727.13099999999997</v>
      </c>
      <c r="F1642" s="4"/>
      <c r="G1642" s="4"/>
      <c r="H1642" s="27" t="s">
        <v>3220</v>
      </c>
      <c r="I1642" s="4"/>
      <c r="J1642" s="6">
        <v>0</v>
      </c>
      <c r="K1642" s="30" t="s">
        <v>3207</v>
      </c>
      <c r="L1642" s="4"/>
      <c r="M1642" s="3"/>
    </row>
    <row r="1643" spans="1:13" x14ac:dyDescent="0.3">
      <c r="A1643" s="3">
        <v>101</v>
      </c>
      <c r="B1643" s="3">
        <v>101</v>
      </c>
      <c r="C1643" s="4">
        <v>727.13199999999995</v>
      </c>
      <c r="D1643" s="4">
        <v>727.13099999999997</v>
      </c>
      <c r="E1643" s="4">
        <v>727.13300000000004</v>
      </c>
      <c r="F1643" s="4"/>
      <c r="G1643" s="4"/>
      <c r="H1643" s="28" t="s">
        <v>3221</v>
      </c>
      <c r="I1643" s="4"/>
      <c r="J1643" s="6">
        <v>0</v>
      </c>
      <c r="K1643" s="29" t="s">
        <v>3207</v>
      </c>
      <c r="L1643" s="4"/>
      <c r="M1643" s="3"/>
    </row>
    <row r="1644" spans="1:13" x14ac:dyDescent="0.3">
      <c r="A1644" s="3">
        <v>101</v>
      </c>
      <c r="B1644" s="3">
        <v>101</v>
      </c>
      <c r="C1644" s="4">
        <v>727.45699999999999</v>
      </c>
      <c r="D1644" s="4">
        <v>727.13300000000004</v>
      </c>
      <c r="E1644" s="4">
        <v>727.78099999999995</v>
      </c>
      <c r="F1644" s="4"/>
      <c r="G1644" s="4"/>
      <c r="H1644" s="27" t="s">
        <v>3222</v>
      </c>
      <c r="I1644" s="4"/>
      <c r="J1644" s="6">
        <v>0</v>
      </c>
      <c r="K1644" s="30" t="s">
        <v>3207</v>
      </c>
      <c r="L1644" s="4"/>
      <c r="M1644" s="3"/>
    </row>
    <row r="1645" spans="1:13" x14ac:dyDescent="0.3">
      <c r="A1645" s="3">
        <v>101</v>
      </c>
      <c r="B1645" s="3">
        <v>101</v>
      </c>
      <c r="C1645" s="4">
        <v>727.88900000000001</v>
      </c>
      <c r="D1645" s="4">
        <v>727.78099999999995</v>
      </c>
      <c r="E1645" s="4">
        <v>727.99699999999996</v>
      </c>
      <c r="F1645" s="4"/>
      <c r="G1645" s="4"/>
      <c r="H1645" s="28" t="s">
        <v>3223</v>
      </c>
      <c r="I1645" s="4"/>
      <c r="J1645" s="6">
        <v>0</v>
      </c>
      <c r="K1645" s="29" t="s">
        <v>3207</v>
      </c>
      <c r="L1645" s="4"/>
      <c r="M1645" s="3"/>
    </row>
    <row r="1646" spans="1:13" x14ac:dyDescent="0.3">
      <c r="A1646" s="3">
        <v>101</v>
      </c>
      <c r="B1646" s="3">
        <v>101</v>
      </c>
      <c r="C1646" s="4">
        <v>728.17399999999998</v>
      </c>
      <c r="D1646" s="4">
        <v>727.99699999999996</v>
      </c>
      <c r="E1646" s="4">
        <v>728.351</v>
      </c>
      <c r="F1646" s="4"/>
      <c r="G1646" s="4"/>
      <c r="H1646" s="27" t="s">
        <v>3224</v>
      </c>
      <c r="I1646" s="4"/>
      <c r="J1646" s="6">
        <v>0</v>
      </c>
      <c r="K1646" s="30" t="s">
        <v>3207</v>
      </c>
      <c r="L1646" s="4"/>
      <c r="M1646" s="3"/>
    </row>
    <row r="1647" spans="1:13" x14ac:dyDescent="0.3">
      <c r="A1647" s="3">
        <v>101</v>
      </c>
      <c r="B1647" s="3">
        <v>101</v>
      </c>
      <c r="C1647" s="4">
        <v>728.73500000000001</v>
      </c>
      <c r="D1647" s="4">
        <v>728.351</v>
      </c>
      <c r="E1647" s="4">
        <v>729.11900000000003</v>
      </c>
      <c r="F1647" s="4"/>
      <c r="G1647" s="4"/>
      <c r="H1647" s="28" t="s">
        <v>3225</v>
      </c>
      <c r="I1647" s="4"/>
      <c r="J1647" s="6">
        <v>0</v>
      </c>
      <c r="K1647" s="29" t="s">
        <v>3207</v>
      </c>
      <c r="L1647" s="4"/>
      <c r="M1647" s="3"/>
    </row>
    <row r="1648" spans="1:13" x14ac:dyDescent="0.3">
      <c r="A1648" s="3">
        <v>101</v>
      </c>
      <c r="B1648" s="3">
        <v>101</v>
      </c>
      <c r="C1648" s="4">
        <v>729.35649999999998</v>
      </c>
      <c r="D1648" s="4">
        <v>729.11900000000003</v>
      </c>
      <c r="E1648" s="4">
        <v>729.59400000000005</v>
      </c>
      <c r="F1648" s="4"/>
      <c r="G1648" s="4"/>
      <c r="H1648" s="27" t="s">
        <v>3226</v>
      </c>
      <c r="I1648" s="4"/>
      <c r="J1648" s="6">
        <v>0</v>
      </c>
      <c r="K1648" s="30" t="s">
        <v>3207</v>
      </c>
      <c r="L1648" s="4"/>
      <c r="M1648" s="3"/>
    </row>
    <row r="1649" spans="1:13" x14ac:dyDescent="0.3">
      <c r="A1649" s="3">
        <v>101</v>
      </c>
      <c r="B1649" s="3">
        <v>101</v>
      </c>
      <c r="C1649" s="4">
        <v>729.61699999999996</v>
      </c>
      <c r="D1649" s="4">
        <v>729.59400000000005</v>
      </c>
      <c r="E1649" s="4">
        <v>729.64</v>
      </c>
      <c r="F1649" s="4"/>
      <c r="G1649" s="4"/>
      <c r="H1649" s="28" t="s">
        <v>3227</v>
      </c>
      <c r="I1649" s="4"/>
      <c r="J1649" s="6">
        <v>0</v>
      </c>
      <c r="K1649" s="29" t="s">
        <v>3207</v>
      </c>
      <c r="L1649" s="4"/>
      <c r="M1649" s="3"/>
    </row>
    <row r="1650" spans="1:13" x14ac:dyDescent="0.3">
      <c r="A1650" s="3">
        <v>101</v>
      </c>
      <c r="B1650" s="3">
        <v>101</v>
      </c>
      <c r="C1650" s="4">
        <v>729.85</v>
      </c>
      <c r="D1650" s="4">
        <v>729.64</v>
      </c>
      <c r="E1650" s="4">
        <v>730.06</v>
      </c>
      <c r="F1650" s="4"/>
      <c r="G1650" s="4"/>
      <c r="H1650" s="27" t="s">
        <v>3228</v>
      </c>
      <c r="I1650" s="4"/>
      <c r="J1650" s="6">
        <v>0</v>
      </c>
      <c r="K1650" s="30" t="s">
        <v>3207</v>
      </c>
      <c r="L1650" s="4"/>
      <c r="M1650" s="3"/>
    </row>
    <row r="1651" spans="1:13" x14ac:dyDescent="0.3">
      <c r="A1651" s="3">
        <v>101</v>
      </c>
      <c r="B1651" s="3">
        <v>101</v>
      </c>
      <c r="C1651" s="4">
        <v>730.08900000000006</v>
      </c>
      <c r="D1651" s="4">
        <v>730.06</v>
      </c>
      <c r="E1651" s="4">
        <v>730.11800000000005</v>
      </c>
      <c r="F1651" s="4"/>
      <c r="G1651" s="4"/>
      <c r="H1651" s="28" t="s">
        <v>3229</v>
      </c>
      <c r="I1651" s="4"/>
      <c r="J1651" s="6">
        <v>0</v>
      </c>
      <c r="K1651" s="29" t="s">
        <v>3207</v>
      </c>
      <c r="L1651" s="4"/>
      <c r="M1651" s="3"/>
    </row>
    <row r="1652" spans="1:13" x14ac:dyDescent="0.3">
      <c r="A1652" s="3">
        <v>101</v>
      </c>
      <c r="B1652" s="3">
        <v>101</v>
      </c>
      <c r="C1652" s="4">
        <v>730.35199999999998</v>
      </c>
      <c r="D1652" s="4">
        <v>730.11800000000005</v>
      </c>
      <c r="E1652" s="4">
        <v>730.58600000000001</v>
      </c>
      <c r="F1652" s="4"/>
      <c r="G1652" s="4"/>
      <c r="H1652" s="27" t="s">
        <v>3230</v>
      </c>
      <c r="I1652" s="4"/>
      <c r="J1652" s="6">
        <v>0</v>
      </c>
      <c r="K1652" s="30" t="s">
        <v>3207</v>
      </c>
      <c r="L1652" s="4"/>
      <c r="M1652" s="3"/>
    </row>
    <row r="1653" spans="1:13" x14ac:dyDescent="0.3">
      <c r="A1653" s="3">
        <v>101</v>
      </c>
      <c r="B1653" s="3">
        <v>101</v>
      </c>
      <c r="C1653" s="4">
        <v>730.61099999999999</v>
      </c>
      <c r="D1653" s="4">
        <v>730.58600000000001</v>
      </c>
      <c r="E1653" s="4">
        <v>730.63599999999997</v>
      </c>
      <c r="F1653" s="4"/>
      <c r="G1653" s="4"/>
      <c r="H1653" s="28" t="s">
        <v>3231</v>
      </c>
      <c r="I1653" s="4"/>
      <c r="J1653" s="6">
        <v>0</v>
      </c>
      <c r="K1653" s="29" t="s">
        <v>3207</v>
      </c>
      <c r="L1653" s="4"/>
      <c r="M1653" s="3"/>
    </row>
    <row r="1654" spans="1:13" x14ac:dyDescent="0.3">
      <c r="A1654" s="3">
        <v>101</v>
      </c>
      <c r="B1654" s="3">
        <v>101</v>
      </c>
      <c r="C1654" s="4">
        <v>730.79</v>
      </c>
      <c r="D1654" s="4">
        <v>730.63599999999997</v>
      </c>
      <c r="E1654" s="4">
        <v>730.94399999999996</v>
      </c>
      <c r="F1654" s="4"/>
      <c r="G1654" s="4"/>
      <c r="H1654" s="27" t="s">
        <v>3232</v>
      </c>
      <c r="I1654" s="4"/>
      <c r="J1654" s="6">
        <v>0</v>
      </c>
      <c r="K1654" s="30" t="s">
        <v>3207</v>
      </c>
      <c r="L1654" s="4"/>
      <c r="M1654" s="3"/>
    </row>
    <row r="1655" spans="1:13" x14ac:dyDescent="0.3">
      <c r="A1655" s="3">
        <v>101</v>
      </c>
      <c r="B1655" s="3">
        <v>101</v>
      </c>
      <c r="C1655" s="4">
        <v>730.947</v>
      </c>
      <c r="D1655" s="4">
        <v>730.94399999999996</v>
      </c>
      <c r="E1655" s="4">
        <v>730.95</v>
      </c>
      <c r="F1655" s="4"/>
      <c r="G1655" s="4"/>
      <c r="H1655" s="28" t="s">
        <v>3233</v>
      </c>
      <c r="I1655" s="4"/>
      <c r="J1655" s="6">
        <v>0</v>
      </c>
      <c r="K1655" s="29" t="s">
        <v>3207</v>
      </c>
      <c r="L1655" s="4"/>
      <c r="M1655" s="3"/>
    </row>
    <row r="1656" spans="1:13" x14ac:dyDescent="0.3">
      <c r="A1656" s="3">
        <v>101</v>
      </c>
      <c r="B1656" s="3">
        <v>101</v>
      </c>
      <c r="C1656" s="4">
        <v>731.17700000000002</v>
      </c>
      <c r="D1656" s="4">
        <v>730.95</v>
      </c>
      <c r="E1656" s="4">
        <v>731.404</v>
      </c>
      <c r="F1656" s="4"/>
      <c r="G1656" s="4"/>
      <c r="H1656" s="27" t="s">
        <v>3234</v>
      </c>
      <c r="I1656" s="4"/>
      <c r="J1656" s="6">
        <v>0</v>
      </c>
      <c r="K1656" s="30" t="s">
        <v>3207</v>
      </c>
      <c r="L1656" s="4"/>
      <c r="M1656" s="3"/>
    </row>
    <row r="1657" spans="1:13" x14ac:dyDescent="0.3">
      <c r="A1657" s="3">
        <v>101</v>
      </c>
      <c r="B1657" s="3">
        <v>101</v>
      </c>
      <c r="C1657" s="4">
        <v>731.52599999999995</v>
      </c>
      <c r="D1657" s="4">
        <v>731.404</v>
      </c>
      <c r="E1657" s="4">
        <v>731.64800000000002</v>
      </c>
      <c r="F1657" s="4"/>
      <c r="G1657" s="4"/>
      <c r="H1657" s="28" t="s">
        <v>3235</v>
      </c>
      <c r="I1657" s="4"/>
      <c r="J1657" s="6">
        <v>0</v>
      </c>
      <c r="K1657" s="29" t="s">
        <v>3207</v>
      </c>
      <c r="L1657" s="4"/>
      <c r="M1657" s="3"/>
    </row>
    <row r="1658" spans="1:13" x14ac:dyDescent="0.3">
      <c r="A1658" s="3">
        <v>101</v>
      </c>
      <c r="B1658" s="3">
        <v>101</v>
      </c>
      <c r="C1658" s="4">
        <v>731.98599999999999</v>
      </c>
      <c r="D1658" s="4">
        <v>731.64800000000002</v>
      </c>
      <c r="E1658" s="4">
        <v>732.32399999999996</v>
      </c>
      <c r="F1658" s="4"/>
      <c r="G1658" s="4"/>
      <c r="H1658" s="27" t="s">
        <v>3236</v>
      </c>
      <c r="I1658" s="4"/>
      <c r="J1658" s="6">
        <v>0</v>
      </c>
      <c r="K1658" s="30" t="s">
        <v>3207</v>
      </c>
      <c r="L1658" s="4"/>
      <c r="M1658" s="3"/>
    </row>
    <row r="1659" spans="1:13" x14ac:dyDescent="0.3">
      <c r="A1659" s="3">
        <v>101</v>
      </c>
      <c r="B1659" s="3">
        <v>101</v>
      </c>
      <c r="C1659" s="4">
        <v>732.35699999999997</v>
      </c>
      <c r="D1659" s="4">
        <v>732.32399999999996</v>
      </c>
      <c r="E1659" s="4">
        <v>732.39</v>
      </c>
      <c r="F1659" s="4"/>
      <c r="G1659" s="4"/>
      <c r="H1659" s="28" t="s">
        <v>3237</v>
      </c>
      <c r="I1659" s="4"/>
      <c r="J1659" s="6">
        <v>0</v>
      </c>
      <c r="K1659" s="29" t="s">
        <v>3207</v>
      </c>
      <c r="L1659" s="4"/>
      <c r="M1659" s="3"/>
    </row>
    <row r="1660" spans="1:13" x14ac:dyDescent="0.3">
      <c r="A1660" s="3">
        <v>101</v>
      </c>
      <c r="B1660" s="3">
        <v>101</v>
      </c>
      <c r="C1660" s="4">
        <v>732.47950000000003</v>
      </c>
      <c r="D1660" s="4">
        <v>732.39</v>
      </c>
      <c r="E1660" s="4">
        <v>732.56899999999996</v>
      </c>
      <c r="F1660" s="4"/>
      <c r="G1660" s="4"/>
      <c r="H1660" s="27" t="s">
        <v>3238</v>
      </c>
      <c r="I1660" s="4"/>
      <c r="J1660" s="6">
        <v>0</v>
      </c>
      <c r="K1660" s="30" t="s">
        <v>3207</v>
      </c>
      <c r="L1660" s="4"/>
      <c r="M1660" s="3"/>
    </row>
    <row r="1661" spans="1:13" x14ac:dyDescent="0.3">
      <c r="A1661" s="3">
        <v>101</v>
      </c>
      <c r="B1661" s="3">
        <v>101</v>
      </c>
      <c r="C1661" s="4">
        <v>732.59450000000004</v>
      </c>
      <c r="D1661" s="4">
        <v>732.56899999999996</v>
      </c>
      <c r="E1661" s="4">
        <v>732.62</v>
      </c>
      <c r="F1661" s="4"/>
      <c r="G1661" s="4"/>
      <c r="H1661" s="28" t="s">
        <v>3239</v>
      </c>
      <c r="I1661" s="4"/>
      <c r="J1661" s="6">
        <v>0</v>
      </c>
      <c r="K1661" s="29" t="s">
        <v>3207</v>
      </c>
      <c r="L1661" s="4"/>
      <c r="M1661" s="3"/>
    </row>
    <row r="1662" spans="1:13" x14ac:dyDescent="0.3">
      <c r="A1662" s="3">
        <v>101</v>
      </c>
      <c r="B1662" s="3">
        <v>101</v>
      </c>
      <c r="C1662" s="4">
        <v>732.75699999999995</v>
      </c>
      <c r="D1662" s="4">
        <v>732.62</v>
      </c>
      <c r="E1662" s="4">
        <v>732.89400000000001</v>
      </c>
      <c r="F1662" s="4"/>
      <c r="G1662" s="4"/>
      <c r="H1662" s="27" t="s">
        <v>3240</v>
      </c>
      <c r="I1662" s="4"/>
      <c r="J1662" s="6">
        <v>0</v>
      </c>
      <c r="K1662" s="30" t="s">
        <v>3207</v>
      </c>
      <c r="L1662" s="4"/>
      <c r="M1662" s="3"/>
    </row>
    <row r="1663" spans="1:13" x14ac:dyDescent="0.3">
      <c r="A1663" s="3">
        <v>101</v>
      </c>
      <c r="B1663" s="3">
        <v>101</v>
      </c>
      <c r="C1663" s="4">
        <v>732.91849999999999</v>
      </c>
      <c r="D1663" s="4">
        <v>732.89400000000001</v>
      </c>
      <c r="E1663" s="4">
        <v>732.94299999999998</v>
      </c>
      <c r="F1663" s="4"/>
      <c r="G1663" s="4"/>
      <c r="H1663" s="28" t="s">
        <v>3241</v>
      </c>
      <c r="I1663" s="4"/>
      <c r="J1663" s="6">
        <v>0</v>
      </c>
      <c r="K1663" s="29" t="s">
        <v>3207</v>
      </c>
      <c r="L1663" s="4"/>
      <c r="M1663" s="3"/>
    </row>
    <row r="1664" spans="1:13" x14ac:dyDescent="0.3">
      <c r="A1664" s="3">
        <v>101</v>
      </c>
      <c r="B1664" s="3">
        <v>101</v>
      </c>
      <c r="C1664" s="4">
        <v>733.05100000000004</v>
      </c>
      <c r="D1664" s="4">
        <v>732.94299999999998</v>
      </c>
      <c r="E1664" s="4">
        <v>733.15899999999999</v>
      </c>
      <c r="F1664" s="4"/>
      <c r="G1664" s="4"/>
      <c r="H1664" s="27" t="s">
        <v>3242</v>
      </c>
      <c r="I1664" s="4"/>
      <c r="J1664" s="6">
        <v>0</v>
      </c>
      <c r="K1664" s="30" t="s">
        <v>3207</v>
      </c>
      <c r="L1664" s="4"/>
      <c r="M1664" s="3"/>
    </row>
    <row r="1665" spans="1:13" x14ac:dyDescent="0.3">
      <c r="A1665" s="3">
        <v>101</v>
      </c>
      <c r="B1665" s="3">
        <v>101</v>
      </c>
      <c r="C1665" s="4">
        <v>733.20799999999997</v>
      </c>
      <c r="D1665" s="4">
        <v>733.15899999999999</v>
      </c>
      <c r="E1665" s="4">
        <v>733.25699999999995</v>
      </c>
      <c r="F1665" s="4"/>
      <c r="G1665" s="4"/>
      <c r="H1665" s="28" t="s">
        <v>3243</v>
      </c>
      <c r="I1665" s="4"/>
      <c r="J1665" s="6">
        <v>0</v>
      </c>
      <c r="K1665" s="29" t="s">
        <v>3207</v>
      </c>
      <c r="L1665" s="4"/>
      <c r="M1665" s="3"/>
    </row>
    <row r="1666" spans="1:13" x14ac:dyDescent="0.3">
      <c r="A1666" s="3">
        <v>101</v>
      </c>
      <c r="B1666" s="3">
        <v>101</v>
      </c>
      <c r="C1666" s="4">
        <v>733.36300000000006</v>
      </c>
      <c r="D1666" s="4">
        <v>733.25699999999995</v>
      </c>
      <c r="E1666" s="4">
        <v>733.46900000000005</v>
      </c>
      <c r="F1666" s="4"/>
      <c r="G1666" s="4"/>
      <c r="H1666" s="27" t="s">
        <v>3244</v>
      </c>
      <c r="I1666" s="4"/>
      <c r="J1666" s="6">
        <v>0</v>
      </c>
      <c r="K1666" s="30" t="s">
        <v>3207</v>
      </c>
      <c r="L1666" s="4"/>
      <c r="M1666" s="3"/>
    </row>
    <row r="1667" spans="1:13" x14ac:dyDescent="0.3">
      <c r="A1667" s="3">
        <v>101</v>
      </c>
      <c r="B1667" s="3">
        <v>101</v>
      </c>
      <c r="C1667" s="4">
        <v>733.51700000000005</v>
      </c>
      <c r="D1667" s="4">
        <v>733.46900000000005</v>
      </c>
      <c r="E1667" s="4">
        <v>733.56500000000005</v>
      </c>
      <c r="F1667" s="4"/>
      <c r="G1667" s="4"/>
      <c r="H1667" s="28" t="s">
        <v>3245</v>
      </c>
      <c r="I1667" s="4"/>
      <c r="J1667" s="6">
        <v>0</v>
      </c>
      <c r="K1667" s="29" t="s">
        <v>3207</v>
      </c>
      <c r="L1667" s="4"/>
      <c r="M1667" s="3"/>
    </row>
    <row r="1668" spans="1:13" x14ac:dyDescent="0.3">
      <c r="A1668" s="3">
        <v>101</v>
      </c>
      <c r="B1668" s="3">
        <v>101</v>
      </c>
      <c r="C1668" s="4">
        <v>733.66200000000003</v>
      </c>
      <c r="D1668" s="4">
        <v>733.56500000000005</v>
      </c>
      <c r="E1668" s="4">
        <v>733.75900000000001</v>
      </c>
      <c r="F1668" s="4"/>
      <c r="G1668" s="4"/>
      <c r="H1668" s="27" t="s">
        <v>3246</v>
      </c>
      <c r="I1668" s="4"/>
      <c r="J1668" s="6">
        <v>0</v>
      </c>
      <c r="K1668" s="30" t="s">
        <v>3207</v>
      </c>
      <c r="L1668" s="4"/>
      <c r="M1668" s="3"/>
    </row>
    <row r="1669" spans="1:13" x14ac:dyDescent="0.3">
      <c r="A1669" s="3">
        <v>101</v>
      </c>
      <c r="B1669" s="3">
        <v>101</v>
      </c>
      <c r="C1669" s="4">
        <v>733.78250000000003</v>
      </c>
      <c r="D1669" s="4">
        <v>733.75900000000001</v>
      </c>
      <c r="E1669" s="4">
        <v>733.80600000000004</v>
      </c>
      <c r="F1669" s="4"/>
      <c r="G1669" s="4"/>
      <c r="H1669" s="28" t="s">
        <v>3247</v>
      </c>
      <c r="I1669" s="4"/>
      <c r="J1669" s="6">
        <v>0</v>
      </c>
      <c r="K1669" s="29" t="s">
        <v>3207</v>
      </c>
      <c r="L1669" s="4"/>
      <c r="M1669" s="3"/>
    </row>
    <row r="1670" spans="1:13" x14ac:dyDescent="0.3">
      <c r="A1670" s="3">
        <v>101</v>
      </c>
      <c r="B1670" s="3">
        <v>101</v>
      </c>
      <c r="C1670" s="4">
        <v>734.08749999999998</v>
      </c>
      <c r="D1670" s="4">
        <v>733.80600000000004</v>
      </c>
      <c r="E1670" s="4">
        <v>734.36900000000003</v>
      </c>
      <c r="F1670" s="4"/>
      <c r="G1670" s="4"/>
      <c r="H1670" s="27" t="s">
        <v>3248</v>
      </c>
      <c r="I1670" s="4"/>
      <c r="J1670" s="6">
        <v>0</v>
      </c>
      <c r="K1670" s="30" t="s">
        <v>3207</v>
      </c>
      <c r="L1670" s="4"/>
      <c r="M1670" s="3"/>
    </row>
    <row r="1671" spans="1:13" x14ac:dyDescent="0.3">
      <c r="A1671" s="3">
        <v>101</v>
      </c>
      <c r="B1671" s="3">
        <v>101</v>
      </c>
      <c r="C1671" s="4">
        <v>734.41750000000002</v>
      </c>
      <c r="D1671" s="4">
        <v>734.30799999999999</v>
      </c>
      <c r="E1671" s="4">
        <v>734.52700000000004</v>
      </c>
      <c r="F1671" s="4"/>
      <c r="G1671" s="4"/>
      <c r="H1671" s="28" t="s">
        <v>3249</v>
      </c>
      <c r="I1671" s="4"/>
      <c r="J1671" s="6">
        <v>0</v>
      </c>
      <c r="K1671" s="29" t="s">
        <v>3207</v>
      </c>
      <c r="L1671" s="4"/>
      <c r="M1671" s="3"/>
    </row>
    <row r="1672" spans="1:13" x14ac:dyDescent="0.3">
      <c r="A1672" s="3">
        <v>101</v>
      </c>
      <c r="B1672" s="3">
        <v>101</v>
      </c>
      <c r="C1672" s="4">
        <v>734.33849999999995</v>
      </c>
      <c r="D1672" s="4">
        <v>734.36900000000003</v>
      </c>
      <c r="E1672" s="4">
        <v>734.30799999999999</v>
      </c>
      <c r="F1672" s="4"/>
      <c r="G1672" s="4"/>
      <c r="H1672" s="27" t="s">
        <v>3250</v>
      </c>
      <c r="I1672" s="4"/>
      <c r="J1672" s="6">
        <v>0</v>
      </c>
      <c r="K1672" s="30" t="s">
        <v>3207</v>
      </c>
      <c r="L1672" s="4"/>
      <c r="M1672" s="3"/>
    </row>
    <row r="1673" spans="1:13" x14ac:dyDescent="0.3">
      <c r="A1673" s="3">
        <v>101</v>
      </c>
      <c r="B1673" s="3">
        <v>101</v>
      </c>
      <c r="C1673" s="4">
        <v>734.59799999999996</v>
      </c>
      <c r="D1673" s="4">
        <v>734.52700000000004</v>
      </c>
      <c r="E1673" s="4">
        <v>734.66899999999998</v>
      </c>
      <c r="F1673" s="4"/>
      <c r="G1673" s="4"/>
      <c r="H1673" s="28" t="s">
        <v>3251</v>
      </c>
      <c r="I1673" s="4"/>
      <c r="J1673" s="6">
        <v>0</v>
      </c>
      <c r="K1673" s="29" t="s">
        <v>3207</v>
      </c>
      <c r="L1673" s="4"/>
      <c r="M1673" s="3"/>
    </row>
    <row r="1674" spans="1:13" x14ac:dyDescent="0.3">
      <c r="A1674" s="3">
        <v>101</v>
      </c>
      <c r="B1674" s="3">
        <v>101</v>
      </c>
      <c r="C1674" s="4">
        <v>734.81600000000003</v>
      </c>
      <c r="D1674" s="4">
        <v>734.66899999999998</v>
      </c>
      <c r="E1674" s="4">
        <v>734.96299999999997</v>
      </c>
      <c r="F1674" s="4"/>
      <c r="G1674" s="4"/>
      <c r="H1674" s="27" t="s">
        <v>3252</v>
      </c>
      <c r="I1674" s="4"/>
      <c r="J1674" s="6">
        <v>0</v>
      </c>
      <c r="K1674" s="30" t="s">
        <v>3207</v>
      </c>
      <c r="L1674" s="4"/>
      <c r="M1674" s="3"/>
    </row>
    <row r="1675" spans="1:13" x14ac:dyDescent="0.3">
      <c r="A1675" s="3">
        <v>101</v>
      </c>
      <c r="B1675" s="3">
        <v>101</v>
      </c>
      <c r="C1675" s="4">
        <v>735.02149999999995</v>
      </c>
      <c r="D1675" s="4">
        <v>734.96299999999997</v>
      </c>
      <c r="E1675" s="4">
        <v>735.08</v>
      </c>
      <c r="F1675" s="4"/>
      <c r="G1675" s="4"/>
      <c r="H1675" s="28" t="s">
        <v>3253</v>
      </c>
      <c r="I1675" s="4"/>
      <c r="J1675" s="6">
        <v>0</v>
      </c>
      <c r="K1675" s="29" t="s">
        <v>3207</v>
      </c>
      <c r="L1675" s="4"/>
      <c r="M1675" s="3"/>
    </row>
    <row r="1676" spans="1:13" x14ac:dyDescent="0.3">
      <c r="A1676" s="3">
        <v>101</v>
      </c>
      <c r="B1676" s="3">
        <v>101</v>
      </c>
      <c r="C1676" s="4">
        <v>735.31200000000001</v>
      </c>
      <c r="D1676" s="4">
        <v>735.08</v>
      </c>
      <c r="E1676" s="4">
        <v>735.54399999999998</v>
      </c>
      <c r="F1676" s="4"/>
      <c r="G1676" s="4"/>
      <c r="H1676" s="27" t="s">
        <v>3254</v>
      </c>
      <c r="I1676" s="4"/>
      <c r="J1676" s="6">
        <v>0</v>
      </c>
      <c r="K1676" s="30" t="s">
        <v>3207</v>
      </c>
      <c r="L1676" s="4"/>
      <c r="M1676" s="3"/>
    </row>
    <row r="1677" spans="1:13" x14ac:dyDescent="0.3">
      <c r="A1677" s="3">
        <v>101</v>
      </c>
      <c r="B1677" s="3">
        <v>101</v>
      </c>
      <c r="C1677" s="4">
        <v>735.59749999999997</v>
      </c>
      <c r="D1677" s="4">
        <v>735.54399999999998</v>
      </c>
      <c r="E1677" s="4">
        <v>735.65099999999995</v>
      </c>
      <c r="F1677" s="4"/>
      <c r="G1677" s="4"/>
      <c r="H1677" s="28" t="s">
        <v>3255</v>
      </c>
      <c r="I1677" s="4"/>
      <c r="J1677" s="6">
        <v>0</v>
      </c>
      <c r="K1677" s="29" t="s">
        <v>3207</v>
      </c>
      <c r="L1677" s="4"/>
      <c r="M1677" s="3"/>
    </row>
    <row r="1678" spans="1:13" x14ac:dyDescent="0.3">
      <c r="A1678" s="3">
        <v>101</v>
      </c>
      <c r="B1678" s="3">
        <v>101</v>
      </c>
      <c r="C1678" s="4">
        <v>735.91</v>
      </c>
      <c r="D1678" s="4">
        <v>735.65099999999995</v>
      </c>
      <c r="E1678" s="4">
        <v>736.16899999999998</v>
      </c>
      <c r="F1678" s="4"/>
      <c r="G1678" s="4"/>
      <c r="H1678" s="27" t="s">
        <v>3256</v>
      </c>
      <c r="I1678" s="4"/>
      <c r="J1678" s="6">
        <v>0</v>
      </c>
      <c r="K1678" s="30" t="s">
        <v>3207</v>
      </c>
      <c r="L1678" s="4"/>
      <c r="M1678" s="3"/>
    </row>
    <row r="1679" spans="1:13" x14ac:dyDescent="0.3">
      <c r="A1679" s="3">
        <v>101</v>
      </c>
      <c r="B1679" s="3">
        <v>101</v>
      </c>
      <c r="C1679" s="4">
        <v>736.40700000000004</v>
      </c>
      <c r="D1679" s="4">
        <v>736.16899999999998</v>
      </c>
      <c r="E1679" s="4">
        <v>736.64499999999998</v>
      </c>
      <c r="F1679" s="4"/>
      <c r="G1679" s="4"/>
      <c r="H1679" s="28" t="s">
        <v>3257</v>
      </c>
      <c r="I1679" s="4"/>
      <c r="J1679" s="6">
        <v>0</v>
      </c>
      <c r="K1679" s="29" t="s">
        <v>3207</v>
      </c>
      <c r="L1679" s="4"/>
      <c r="M1679" s="3"/>
    </row>
    <row r="1680" spans="1:13" x14ac:dyDescent="0.3">
      <c r="A1680" s="3">
        <v>101</v>
      </c>
      <c r="B1680" s="3">
        <v>101</v>
      </c>
      <c r="C1680" s="4">
        <v>736.8175</v>
      </c>
      <c r="D1680" s="4">
        <v>736.64499999999998</v>
      </c>
      <c r="E1680" s="4">
        <v>736.99</v>
      </c>
      <c r="F1680" s="4"/>
      <c r="G1680" s="4"/>
      <c r="H1680" s="27" t="s">
        <v>3258</v>
      </c>
      <c r="I1680" s="4"/>
      <c r="J1680" s="6">
        <v>0</v>
      </c>
      <c r="K1680" s="30" t="s">
        <v>3207</v>
      </c>
      <c r="L1680" s="4"/>
      <c r="M1680" s="3"/>
    </row>
    <row r="1681" spans="1:13" x14ac:dyDescent="0.3">
      <c r="A1681" s="3">
        <v>101</v>
      </c>
      <c r="B1681" s="3">
        <v>101</v>
      </c>
      <c r="C1681" s="4">
        <v>737.12699999999995</v>
      </c>
      <c r="D1681" s="4">
        <v>736.99</v>
      </c>
      <c r="E1681" s="4">
        <v>737.26400000000001</v>
      </c>
      <c r="F1681" s="4"/>
      <c r="G1681" s="4"/>
      <c r="H1681" s="28" t="s">
        <v>3259</v>
      </c>
      <c r="I1681" s="4"/>
      <c r="J1681" s="6">
        <v>0</v>
      </c>
      <c r="K1681" s="29" t="s">
        <v>3207</v>
      </c>
      <c r="L1681" s="4"/>
      <c r="M1681" s="3"/>
    </row>
    <row r="1682" spans="1:13" x14ac:dyDescent="0.3">
      <c r="A1682" s="3">
        <v>101</v>
      </c>
      <c r="B1682" s="3">
        <v>101</v>
      </c>
      <c r="C1682" s="4">
        <v>737.45799999999997</v>
      </c>
      <c r="D1682" s="4">
        <v>737.26400000000001</v>
      </c>
      <c r="E1682" s="4">
        <v>737.65200000000004</v>
      </c>
      <c r="F1682" s="4"/>
      <c r="G1682" s="4"/>
      <c r="H1682" s="27" t="s">
        <v>3260</v>
      </c>
      <c r="I1682" s="4"/>
      <c r="J1682" s="6">
        <v>0</v>
      </c>
      <c r="K1682" s="30" t="s">
        <v>3207</v>
      </c>
      <c r="L1682" s="4"/>
      <c r="M1682" s="3"/>
    </row>
    <row r="1683" spans="1:13" x14ac:dyDescent="0.3">
      <c r="A1683" s="3">
        <v>101</v>
      </c>
      <c r="B1683" s="3">
        <v>101</v>
      </c>
      <c r="C1683" s="4">
        <v>737.71299999999997</v>
      </c>
      <c r="D1683" s="4">
        <v>737.65200000000004</v>
      </c>
      <c r="E1683" s="4">
        <v>737.774</v>
      </c>
      <c r="F1683" s="4"/>
      <c r="G1683" s="4"/>
      <c r="H1683" s="28" t="s">
        <v>3261</v>
      </c>
      <c r="I1683" s="4"/>
      <c r="J1683" s="6">
        <v>0</v>
      </c>
      <c r="K1683" s="29" t="s">
        <v>3207</v>
      </c>
      <c r="L1683" s="4"/>
      <c r="M1683" s="3"/>
    </row>
    <row r="1684" spans="1:13" x14ac:dyDescent="0.3">
      <c r="A1684" s="3">
        <v>101</v>
      </c>
      <c r="B1684" s="3">
        <v>101</v>
      </c>
      <c r="C1684" s="4">
        <v>738.01549999999997</v>
      </c>
      <c r="D1684" s="4">
        <v>737.774</v>
      </c>
      <c r="E1684" s="4">
        <v>738.25699999999995</v>
      </c>
      <c r="F1684" s="4"/>
      <c r="G1684" s="4"/>
      <c r="H1684" s="27" t="s">
        <v>3262</v>
      </c>
      <c r="I1684" s="4"/>
      <c r="J1684" s="6">
        <v>0</v>
      </c>
      <c r="K1684" s="30" t="s">
        <v>3207</v>
      </c>
      <c r="L1684" s="4"/>
      <c r="M1684" s="3"/>
    </row>
    <row r="1685" spans="1:13" x14ac:dyDescent="0.3">
      <c r="A1685" s="3">
        <v>101</v>
      </c>
      <c r="B1685" s="3">
        <v>101</v>
      </c>
      <c r="C1685" s="4">
        <v>738.28700000000003</v>
      </c>
      <c r="D1685" s="4">
        <v>738.25699999999995</v>
      </c>
      <c r="E1685" s="4">
        <v>738.31700000000001</v>
      </c>
      <c r="F1685" s="4"/>
      <c r="G1685" s="4"/>
      <c r="H1685" s="28" t="s">
        <v>3263</v>
      </c>
      <c r="I1685" s="4"/>
      <c r="J1685" s="6">
        <v>0</v>
      </c>
      <c r="K1685" s="29" t="s">
        <v>3207</v>
      </c>
      <c r="L1685" s="4"/>
      <c r="M1685" s="3"/>
    </row>
    <row r="1686" spans="1:13" x14ac:dyDescent="0.3">
      <c r="A1686" s="3">
        <v>101</v>
      </c>
      <c r="B1686" s="3">
        <v>101</v>
      </c>
      <c r="C1686" s="4">
        <v>738.51149999999996</v>
      </c>
      <c r="D1686" s="4">
        <v>738.31700000000001</v>
      </c>
      <c r="E1686" s="4">
        <v>738.70600000000002</v>
      </c>
      <c r="F1686" s="4"/>
      <c r="G1686" s="4"/>
      <c r="H1686" s="27" t="s">
        <v>3264</v>
      </c>
      <c r="I1686" s="4"/>
      <c r="J1686" s="6">
        <v>0</v>
      </c>
      <c r="K1686" s="30" t="s">
        <v>3207</v>
      </c>
      <c r="L1686" s="4"/>
      <c r="M1686" s="3"/>
    </row>
    <row r="1687" spans="1:13" x14ac:dyDescent="0.3">
      <c r="A1687" s="3">
        <v>101</v>
      </c>
      <c r="B1687" s="3">
        <v>101</v>
      </c>
      <c r="C1687" s="4">
        <v>738.721</v>
      </c>
      <c r="D1687" s="4">
        <v>738.70600000000002</v>
      </c>
      <c r="E1687" s="4">
        <v>738.73599999999999</v>
      </c>
      <c r="F1687" s="4"/>
      <c r="G1687" s="4"/>
      <c r="H1687" s="28" t="s">
        <v>3265</v>
      </c>
      <c r="I1687" s="4"/>
      <c r="J1687" s="6">
        <v>0</v>
      </c>
      <c r="K1687" s="29" t="s">
        <v>3207</v>
      </c>
      <c r="L1687" s="4"/>
      <c r="M1687" s="3"/>
    </row>
    <row r="1688" spans="1:13" x14ac:dyDescent="0.3">
      <c r="A1688" s="3">
        <v>101</v>
      </c>
      <c r="B1688" s="3">
        <v>101</v>
      </c>
      <c r="C1688" s="4">
        <v>739.09199999999998</v>
      </c>
      <c r="D1688" s="4">
        <v>738.73599999999999</v>
      </c>
      <c r="E1688" s="4">
        <v>739.44799999999998</v>
      </c>
      <c r="F1688" s="4"/>
      <c r="G1688" s="4"/>
      <c r="H1688" s="27" t="s">
        <v>3266</v>
      </c>
      <c r="I1688" s="4"/>
      <c r="J1688" s="6">
        <v>0</v>
      </c>
      <c r="K1688" s="30" t="s">
        <v>3207</v>
      </c>
      <c r="L1688" s="4"/>
      <c r="M1688" s="3"/>
    </row>
    <row r="1689" spans="1:13" x14ac:dyDescent="0.3">
      <c r="A1689" s="3">
        <v>101</v>
      </c>
      <c r="B1689" s="3">
        <v>101</v>
      </c>
      <c r="C1689" s="4">
        <v>739.50400000000002</v>
      </c>
      <c r="D1689" s="4">
        <v>739.44799999999998</v>
      </c>
      <c r="E1689" s="4">
        <v>739.56</v>
      </c>
      <c r="F1689" s="4"/>
      <c r="G1689" s="4"/>
      <c r="H1689" s="28" t="s">
        <v>3267</v>
      </c>
      <c r="I1689" s="4"/>
      <c r="J1689" s="6">
        <v>0</v>
      </c>
      <c r="K1689" s="29" t="s">
        <v>3207</v>
      </c>
      <c r="L1689" s="4"/>
      <c r="M1689" s="3"/>
    </row>
    <row r="1690" spans="1:13" x14ac:dyDescent="0.3">
      <c r="A1690" s="3">
        <v>101</v>
      </c>
      <c r="B1690" s="3">
        <v>101</v>
      </c>
      <c r="C1690" s="4">
        <v>739.98950000000002</v>
      </c>
      <c r="D1690" s="4">
        <v>739.56</v>
      </c>
      <c r="E1690" s="4">
        <v>740.41899999999998</v>
      </c>
      <c r="F1690" s="4"/>
      <c r="G1690" s="4"/>
      <c r="H1690" s="27" t="s">
        <v>3268</v>
      </c>
      <c r="I1690" s="4"/>
      <c r="J1690" s="6">
        <v>0</v>
      </c>
      <c r="K1690" s="30" t="s">
        <v>3207</v>
      </c>
      <c r="L1690" s="4"/>
      <c r="M1690" s="3"/>
    </row>
    <row r="1691" spans="1:13" x14ac:dyDescent="0.3">
      <c r="A1691" s="3">
        <v>101</v>
      </c>
      <c r="B1691" s="3">
        <v>101</v>
      </c>
      <c r="C1691" s="4">
        <v>740.46450000000004</v>
      </c>
      <c r="D1691" s="4">
        <v>740.41899999999998</v>
      </c>
      <c r="E1691" s="4">
        <v>740.51</v>
      </c>
      <c r="F1691" s="4"/>
      <c r="G1691" s="4"/>
      <c r="H1691" s="28" t="s">
        <v>3269</v>
      </c>
      <c r="I1691" s="4"/>
      <c r="J1691" s="6">
        <v>0</v>
      </c>
      <c r="K1691" s="29" t="s">
        <v>3207</v>
      </c>
      <c r="L1691" s="4"/>
      <c r="M1691" s="3"/>
    </row>
    <row r="1692" spans="1:13" x14ac:dyDescent="0.3">
      <c r="A1692" s="3">
        <v>101</v>
      </c>
      <c r="B1692" s="3">
        <v>101</v>
      </c>
      <c r="C1692" s="4">
        <v>740.76250000000005</v>
      </c>
      <c r="D1692" s="4">
        <v>740.51</v>
      </c>
      <c r="E1692" s="4">
        <v>741.01499999999999</v>
      </c>
      <c r="F1692" s="4"/>
      <c r="G1692" s="4"/>
      <c r="H1692" s="27" t="s">
        <v>3270</v>
      </c>
      <c r="I1692" s="4"/>
      <c r="J1692" s="6">
        <v>0</v>
      </c>
      <c r="K1692" s="30" t="s">
        <v>3207</v>
      </c>
      <c r="L1692" s="4"/>
      <c r="M1692" s="3"/>
    </row>
    <row r="1693" spans="1:13" x14ac:dyDescent="0.3">
      <c r="A1693" s="3">
        <v>101</v>
      </c>
      <c r="B1693" s="3">
        <v>101</v>
      </c>
      <c r="C1693" s="4">
        <v>741.04700000000003</v>
      </c>
      <c r="D1693" s="4">
        <v>741.01499999999999</v>
      </c>
      <c r="E1693" s="4">
        <v>741.07899999999995</v>
      </c>
      <c r="F1693" s="4"/>
      <c r="G1693" s="4"/>
      <c r="H1693" s="28" t="s">
        <v>3271</v>
      </c>
      <c r="I1693" s="4"/>
      <c r="J1693" s="6">
        <v>0</v>
      </c>
      <c r="K1693" s="29" t="s">
        <v>3207</v>
      </c>
      <c r="L1693" s="4"/>
      <c r="M1693" s="3"/>
    </row>
    <row r="1694" spans="1:13" x14ac:dyDescent="0.3">
      <c r="A1694" s="3">
        <v>101</v>
      </c>
      <c r="B1694" s="3">
        <v>101</v>
      </c>
      <c r="C1694" s="4">
        <v>741.56899999999996</v>
      </c>
      <c r="D1694" s="4">
        <v>741.07899999999995</v>
      </c>
      <c r="E1694" s="4">
        <v>742.05899999999997</v>
      </c>
      <c r="F1694" s="4"/>
      <c r="G1694" s="4"/>
      <c r="H1694" s="27" t="s">
        <v>3272</v>
      </c>
      <c r="I1694" s="4"/>
      <c r="J1694" s="6">
        <v>0</v>
      </c>
      <c r="K1694" s="30" t="s">
        <v>3207</v>
      </c>
      <c r="L1694" s="4"/>
      <c r="M1694" s="3"/>
    </row>
    <row r="1695" spans="1:13" x14ac:dyDescent="0.3">
      <c r="A1695" s="3">
        <v>101</v>
      </c>
      <c r="B1695" s="3">
        <v>101</v>
      </c>
      <c r="C1695" s="4">
        <v>742.29200000000003</v>
      </c>
      <c r="D1695" s="4">
        <v>742.05899999999997</v>
      </c>
      <c r="E1695" s="4">
        <v>742.52499999999998</v>
      </c>
      <c r="F1695" s="4"/>
      <c r="G1695" s="4"/>
      <c r="H1695" s="28" t="s">
        <v>3273</v>
      </c>
      <c r="I1695" s="4"/>
      <c r="J1695" s="6">
        <v>0</v>
      </c>
      <c r="K1695" s="29" t="s">
        <v>3207</v>
      </c>
      <c r="L1695" s="4"/>
      <c r="M1695" s="3"/>
    </row>
    <row r="1696" spans="1:13" x14ac:dyDescent="0.3">
      <c r="A1696" s="3">
        <v>101</v>
      </c>
      <c r="B1696" s="3">
        <v>101</v>
      </c>
      <c r="C1696" s="4">
        <v>743.06399999999996</v>
      </c>
      <c r="D1696" s="4">
        <v>742.52499999999998</v>
      </c>
      <c r="E1696" s="4">
        <v>743.60299999999995</v>
      </c>
      <c r="F1696" s="4"/>
      <c r="G1696" s="4"/>
      <c r="H1696" s="27" t="s">
        <v>3274</v>
      </c>
      <c r="I1696" s="4"/>
      <c r="J1696" s="6">
        <v>0</v>
      </c>
      <c r="K1696" s="30" t="s">
        <v>3207</v>
      </c>
      <c r="L1696" s="4"/>
      <c r="M1696" s="3"/>
    </row>
    <row r="1697" spans="1:13" x14ac:dyDescent="0.3">
      <c r="A1697" s="3">
        <v>101</v>
      </c>
      <c r="B1697" s="3">
        <v>101</v>
      </c>
      <c r="C1697" s="4">
        <v>744.05449999999996</v>
      </c>
      <c r="D1697" s="4">
        <v>743.60299999999995</v>
      </c>
      <c r="E1697" s="4">
        <v>744.50599999999997</v>
      </c>
      <c r="F1697" s="4"/>
      <c r="G1697" s="4"/>
      <c r="H1697" s="28" t="s">
        <v>3275</v>
      </c>
      <c r="I1697" s="4"/>
      <c r="J1697" s="6">
        <v>0</v>
      </c>
      <c r="K1697" s="29" t="s">
        <v>3207</v>
      </c>
      <c r="L1697" s="4"/>
      <c r="M1697" s="3"/>
    </row>
    <row r="1698" spans="1:13" x14ac:dyDescent="0.3">
      <c r="A1698" s="3">
        <v>101</v>
      </c>
      <c r="B1698" s="3">
        <v>101</v>
      </c>
      <c r="C1698" s="4">
        <v>744.68100000000004</v>
      </c>
      <c r="D1698" s="4">
        <v>744.50599999999997</v>
      </c>
      <c r="E1698" s="4">
        <v>744.85599999999999</v>
      </c>
      <c r="F1698" s="4"/>
      <c r="G1698" s="4"/>
      <c r="H1698" s="27" t="s">
        <v>3276</v>
      </c>
      <c r="I1698" s="4"/>
      <c r="J1698" s="6">
        <v>0</v>
      </c>
      <c r="K1698" s="30" t="s">
        <v>3207</v>
      </c>
      <c r="L1698" s="4"/>
      <c r="M1698" s="3"/>
    </row>
    <row r="1699" spans="1:13" x14ac:dyDescent="0.3">
      <c r="A1699" s="3">
        <v>101</v>
      </c>
      <c r="B1699" s="3">
        <v>101</v>
      </c>
      <c r="C1699" s="4">
        <v>745.07749999999999</v>
      </c>
      <c r="D1699" s="4">
        <v>744.85599999999999</v>
      </c>
      <c r="E1699" s="4">
        <v>745.29899999999998</v>
      </c>
      <c r="F1699" s="4"/>
      <c r="G1699" s="4"/>
      <c r="H1699" s="28" t="s">
        <v>3277</v>
      </c>
      <c r="I1699" s="4"/>
      <c r="J1699" s="6">
        <v>0</v>
      </c>
      <c r="K1699" s="29" t="s">
        <v>3207</v>
      </c>
      <c r="L1699" s="4"/>
      <c r="M1699" s="3"/>
    </row>
    <row r="1700" spans="1:13" x14ac:dyDescent="0.3">
      <c r="A1700" s="3">
        <v>101</v>
      </c>
      <c r="B1700" s="3">
        <v>101</v>
      </c>
      <c r="C1700" s="4">
        <v>745.50450000000001</v>
      </c>
      <c r="D1700" s="4">
        <v>745.29899999999998</v>
      </c>
      <c r="E1700" s="4">
        <v>745.71</v>
      </c>
      <c r="F1700" s="4"/>
      <c r="G1700" s="4"/>
      <c r="H1700" s="27" t="s">
        <v>3278</v>
      </c>
      <c r="I1700" s="4"/>
      <c r="J1700" s="6">
        <v>0</v>
      </c>
      <c r="K1700" s="30" t="s">
        <v>3207</v>
      </c>
      <c r="L1700" s="4"/>
      <c r="M1700" s="3"/>
    </row>
    <row r="1701" spans="1:13" x14ac:dyDescent="0.3">
      <c r="A1701" s="3">
        <v>101</v>
      </c>
      <c r="B1701" s="3">
        <v>101</v>
      </c>
      <c r="C1701" s="4">
        <v>745.80499999999995</v>
      </c>
      <c r="D1701" s="4">
        <v>745.71</v>
      </c>
      <c r="E1701" s="4">
        <v>745.9</v>
      </c>
      <c r="F1701" s="4"/>
      <c r="G1701" s="4"/>
      <c r="H1701" s="28" t="s">
        <v>3279</v>
      </c>
      <c r="I1701" s="4"/>
      <c r="J1701" s="6">
        <v>0</v>
      </c>
      <c r="K1701" s="29" t="s">
        <v>3207</v>
      </c>
      <c r="L1701" s="4"/>
      <c r="M1701" s="3"/>
    </row>
    <row r="1702" spans="1:13" x14ac:dyDescent="0.3">
      <c r="A1702" s="3">
        <v>101</v>
      </c>
      <c r="B1702" s="3">
        <v>101</v>
      </c>
      <c r="C1702" s="4">
        <v>746.43150000000003</v>
      </c>
      <c r="D1702" s="4">
        <v>745.9</v>
      </c>
      <c r="E1702" s="4">
        <v>746.96299999999997</v>
      </c>
      <c r="F1702" s="4"/>
      <c r="G1702" s="4"/>
      <c r="H1702" s="27" t="s">
        <v>3280</v>
      </c>
      <c r="I1702" s="4"/>
      <c r="J1702" s="6">
        <v>0</v>
      </c>
      <c r="K1702" s="30" t="s">
        <v>3207</v>
      </c>
      <c r="L1702" s="4"/>
      <c r="M1702" s="3"/>
    </row>
    <row r="1703" spans="1:13" x14ac:dyDescent="0.3">
      <c r="A1703" s="3">
        <v>101</v>
      </c>
      <c r="B1703" s="3">
        <v>101</v>
      </c>
      <c r="C1703" s="4">
        <v>747.14400000000001</v>
      </c>
      <c r="D1703" s="4">
        <v>746.96299999999997</v>
      </c>
      <c r="E1703" s="4">
        <v>747.32500000000005</v>
      </c>
      <c r="F1703" s="4"/>
      <c r="G1703" s="4"/>
      <c r="H1703" s="28" t="s">
        <v>3281</v>
      </c>
      <c r="I1703" s="4"/>
      <c r="J1703" s="6">
        <v>0</v>
      </c>
      <c r="K1703" s="29" t="s">
        <v>3207</v>
      </c>
      <c r="L1703" s="4"/>
      <c r="M1703" s="3"/>
    </row>
    <row r="1704" spans="1:13" x14ac:dyDescent="0.3">
      <c r="A1704" s="3">
        <v>101</v>
      </c>
      <c r="B1704" s="3">
        <v>101</v>
      </c>
      <c r="C1704" s="4">
        <v>747.80449999999996</v>
      </c>
      <c r="D1704" s="4">
        <v>747.32500000000005</v>
      </c>
      <c r="E1704" s="4">
        <v>748.28399999999999</v>
      </c>
      <c r="F1704" s="4"/>
      <c r="G1704" s="4"/>
      <c r="H1704" s="27" t="s">
        <v>3282</v>
      </c>
      <c r="I1704" s="4"/>
      <c r="J1704" s="6">
        <v>0</v>
      </c>
      <c r="K1704" s="30" t="s">
        <v>3207</v>
      </c>
      <c r="L1704" s="4"/>
      <c r="M1704" s="3"/>
    </row>
    <row r="1705" spans="1:13" x14ac:dyDescent="0.3">
      <c r="A1705" s="3">
        <v>101</v>
      </c>
      <c r="B1705" s="3">
        <v>101</v>
      </c>
      <c r="C1705" s="4">
        <v>748.40949999999998</v>
      </c>
      <c r="D1705" s="4">
        <v>748.28399999999999</v>
      </c>
      <c r="E1705" s="4">
        <v>748.53499999999997</v>
      </c>
      <c r="F1705" s="4"/>
      <c r="G1705" s="4"/>
      <c r="H1705" s="28" t="s">
        <v>3283</v>
      </c>
      <c r="I1705" s="4"/>
      <c r="J1705" s="6">
        <v>0</v>
      </c>
      <c r="K1705" s="29" t="s">
        <v>3207</v>
      </c>
      <c r="L1705" s="4"/>
      <c r="M1705" s="3"/>
    </row>
    <row r="1706" spans="1:13" x14ac:dyDescent="0.3">
      <c r="A1706" s="3">
        <v>101</v>
      </c>
      <c r="B1706" s="3">
        <v>101</v>
      </c>
      <c r="C1706" s="4">
        <v>748.697</v>
      </c>
      <c r="D1706" s="4">
        <v>748.53499999999997</v>
      </c>
      <c r="E1706" s="4">
        <v>748.85900000000004</v>
      </c>
      <c r="F1706" s="4"/>
      <c r="G1706" s="4"/>
      <c r="H1706" s="27" t="s">
        <v>3284</v>
      </c>
      <c r="I1706" s="4"/>
      <c r="J1706" s="6">
        <v>0</v>
      </c>
      <c r="K1706" s="30" t="s">
        <v>3207</v>
      </c>
      <c r="L1706" s="4"/>
      <c r="M1706" s="3"/>
    </row>
    <row r="1707" spans="1:13" x14ac:dyDescent="0.3">
      <c r="A1707" s="3">
        <v>101</v>
      </c>
      <c r="B1707" s="3">
        <v>101</v>
      </c>
      <c r="C1707" s="4">
        <v>749.09900000000005</v>
      </c>
      <c r="D1707" s="4">
        <v>748.85900000000004</v>
      </c>
      <c r="E1707" s="4">
        <v>749.33900000000006</v>
      </c>
      <c r="F1707" s="4"/>
      <c r="G1707" s="4"/>
      <c r="H1707" s="28" t="s">
        <v>3285</v>
      </c>
      <c r="I1707" s="4"/>
      <c r="J1707" s="6">
        <v>0</v>
      </c>
      <c r="K1707" s="29" t="s">
        <v>3207</v>
      </c>
      <c r="L1707" s="4"/>
      <c r="M1707" s="3"/>
    </row>
    <row r="1708" spans="1:13" x14ac:dyDescent="0.3">
      <c r="A1708" s="3">
        <v>101</v>
      </c>
      <c r="B1708" s="3">
        <v>101</v>
      </c>
      <c r="C1708" s="4">
        <v>749.39850000000001</v>
      </c>
      <c r="D1708" s="4">
        <v>749.33900000000006</v>
      </c>
      <c r="E1708" s="4">
        <v>749.45799999999997</v>
      </c>
      <c r="F1708" s="4"/>
      <c r="G1708" s="4"/>
      <c r="H1708" s="27" t="s">
        <v>3286</v>
      </c>
      <c r="I1708" s="4"/>
      <c r="J1708" s="6">
        <v>0</v>
      </c>
      <c r="K1708" s="30" t="s">
        <v>3207</v>
      </c>
      <c r="L1708" s="4"/>
      <c r="M1708" s="3"/>
    </row>
    <row r="1709" spans="1:13" x14ac:dyDescent="0.3">
      <c r="A1709" s="3">
        <v>101</v>
      </c>
      <c r="B1709" s="3">
        <v>101</v>
      </c>
      <c r="C1709" s="4">
        <v>750.04049999999995</v>
      </c>
      <c r="D1709" s="4">
        <v>749.45799999999997</v>
      </c>
      <c r="E1709" s="4">
        <v>750.62300000000005</v>
      </c>
      <c r="F1709" s="4"/>
      <c r="G1709" s="4"/>
      <c r="H1709" s="28" t="s">
        <v>3287</v>
      </c>
      <c r="I1709" s="4"/>
      <c r="J1709" s="6">
        <v>0</v>
      </c>
      <c r="K1709" s="29" t="s">
        <v>3207</v>
      </c>
      <c r="L1709" s="4"/>
      <c r="M1709" s="3"/>
    </row>
    <row r="1710" spans="1:13" x14ac:dyDescent="0.3">
      <c r="A1710" s="3">
        <v>101</v>
      </c>
      <c r="B1710" s="3">
        <v>101</v>
      </c>
      <c r="C1710" s="4">
        <v>750.81050000000005</v>
      </c>
      <c r="D1710" s="4">
        <v>750.62300000000005</v>
      </c>
      <c r="E1710" s="4">
        <v>750.99800000000005</v>
      </c>
      <c r="F1710" s="4"/>
      <c r="G1710" s="4"/>
      <c r="H1710" s="27" t="s">
        <v>3288</v>
      </c>
      <c r="I1710" s="4"/>
      <c r="J1710" s="6">
        <v>0</v>
      </c>
      <c r="K1710" s="30" t="s">
        <v>3207</v>
      </c>
      <c r="L1710" s="4"/>
      <c r="M1710" s="3"/>
    </row>
    <row r="1711" spans="1:13" x14ac:dyDescent="0.3">
      <c r="A1711" s="3">
        <v>101</v>
      </c>
      <c r="B1711" s="3">
        <v>101</v>
      </c>
      <c r="C1711" s="4">
        <v>751.43550000000005</v>
      </c>
      <c r="D1711" s="4">
        <v>750.99800000000005</v>
      </c>
      <c r="E1711" s="4">
        <v>751.87300000000005</v>
      </c>
      <c r="F1711" s="4"/>
      <c r="G1711" s="4"/>
      <c r="H1711" s="28" t="s">
        <v>3289</v>
      </c>
      <c r="I1711" s="4"/>
      <c r="J1711" s="6">
        <v>0</v>
      </c>
      <c r="K1711" s="29" t="s">
        <v>3207</v>
      </c>
      <c r="L1711" s="4"/>
      <c r="M1711" s="3"/>
    </row>
    <row r="1712" spans="1:13" x14ac:dyDescent="0.3">
      <c r="A1712" s="3">
        <v>101</v>
      </c>
      <c r="B1712" s="3">
        <v>101</v>
      </c>
      <c r="C1712" s="4">
        <v>752.02700000000004</v>
      </c>
      <c r="D1712" s="4">
        <v>751.87300000000005</v>
      </c>
      <c r="E1712" s="4">
        <v>752.18100000000004</v>
      </c>
      <c r="F1712" s="4"/>
      <c r="G1712" s="4"/>
      <c r="H1712" s="27" t="s">
        <v>3290</v>
      </c>
      <c r="I1712" s="4"/>
      <c r="J1712" s="6">
        <v>0</v>
      </c>
      <c r="K1712" s="30" t="s">
        <v>3207</v>
      </c>
      <c r="L1712" s="4"/>
      <c r="M1712" s="3"/>
    </row>
    <row r="1713" spans="1:13" x14ac:dyDescent="0.3">
      <c r="A1713" s="3">
        <v>101</v>
      </c>
      <c r="B1713" s="3">
        <v>101</v>
      </c>
      <c r="C1713" s="4">
        <v>752.447</v>
      </c>
      <c r="D1713" s="4">
        <v>752.18100000000004</v>
      </c>
      <c r="E1713" s="4">
        <v>752.71299999999997</v>
      </c>
      <c r="F1713" s="4"/>
      <c r="G1713" s="4"/>
      <c r="H1713" s="28" t="s">
        <v>3291</v>
      </c>
      <c r="I1713" s="4"/>
      <c r="J1713" s="6">
        <v>0</v>
      </c>
      <c r="K1713" s="29" t="s">
        <v>3207</v>
      </c>
      <c r="L1713" s="4"/>
      <c r="M1713" s="3"/>
    </row>
    <row r="1714" spans="1:13" x14ac:dyDescent="0.3">
      <c r="A1714" s="3">
        <v>101</v>
      </c>
      <c r="B1714" s="3">
        <v>101</v>
      </c>
      <c r="C1714" s="4">
        <v>752.71900000000005</v>
      </c>
      <c r="D1714" s="4">
        <v>752.71299999999997</v>
      </c>
      <c r="E1714" s="4">
        <v>752.72500000000002</v>
      </c>
      <c r="F1714" s="4"/>
      <c r="G1714" s="4"/>
      <c r="H1714" s="27" t="s">
        <v>3292</v>
      </c>
      <c r="I1714" s="4"/>
      <c r="J1714" s="6">
        <v>0</v>
      </c>
      <c r="K1714" s="30" t="s">
        <v>3207</v>
      </c>
      <c r="L1714" s="4"/>
      <c r="M1714" s="3"/>
    </row>
    <row r="1715" spans="1:13" x14ac:dyDescent="0.3">
      <c r="A1715" s="3">
        <v>101</v>
      </c>
      <c r="B1715" s="3">
        <v>101</v>
      </c>
      <c r="C1715" s="4">
        <v>753.02750000000003</v>
      </c>
      <c r="D1715" s="4">
        <v>752.72500000000002</v>
      </c>
      <c r="E1715" s="4">
        <v>753.33</v>
      </c>
      <c r="F1715" s="4"/>
      <c r="G1715" s="4"/>
      <c r="H1715" s="28" t="s">
        <v>3293</v>
      </c>
      <c r="I1715" s="4"/>
      <c r="J1715" s="6">
        <v>0</v>
      </c>
      <c r="K1715" s="29" t="s">
        <v>3207</v>
      </c>
      <c r="L1715" s="4"/>
      <c r="M1715" s="3"/>
    </row>
    <row r="1716" spans="1:13" x14ac:dyDescent="0.3">
      <c r="A1716" s="3">
        <v>101</v>
      </c>
      <c r="B1716" s="3">
        <v>101</v>
      </c>
      <c r="C1716" s="4">
        <v>753.56650000000002</v>
      </c>
      <c r="D1716" s="4">
        <v>753.33</v>
      </c>
      <c r="E1716" s="4">
        <v>753.803</v>
      </c>
      <c r="F1716" s="4"/>
      <c r="G1716" s="4"/>
      <c r="H1716" s="27" t="s">
        <v>3294</v>
      </c>
      <c r="I1716" s="4"/>
      <c r="J1716" s="6">
        <v>0</v>
      </c>
      <c r="K1716" s="30" t="s">
        <v>3207</v>
      </c>
      <c r="L1716" s="4"/>
      <c r="M1716" s="3"/>
    </row>
    <row r="1717" spans="1:13" x14ac:dyDescent="0.3">
      <c r="A1717" s="3">
        <v>101</v>
      </c>
      <c r="B1717" s="3">
        <v>101</v>
      </c>
      <c r="C1717" s="4">
        <v>754.20849999999996</v>
      </c>
      <c r="D1717" s="4">
        <v>753.803</v>
      </c>
      <c r="E1717" s="4">
        <v>754.61400000000003</v>
      </c>
      <c r="F1717" s="4"/>
      <c r="G1717" s="4"/>
      <c r="H1717" s="28" t="s">
        <v>3295</v>
      </c>
      <c r="I1717" s="4"/>
      <c r="J1717" s="6">
        <v>0</v>
      </c>
      <c r="K1717" s="29" t="s">
        <v>3207</v>
      </c>
      <c r="L1717" s="4"/>
      <c r="M1717" s="3"/>
    </row>
    <row r="1718" spans="1:13" x14ac:dyDescent="0.3">
      <c r="A1718" s="3">
        <v>101</v>
      </c>
      <c r="B1718" s="3">
        <v>101</v>
      </c>
      <c r="C1718" s="4">
        <v>754.8</v>
      </c>
      <c r="D1718" s="4">
        <v>754.61400000000003</v>
      </c>
      <c r="E1718" s="4">
        <v>754.98599999999999</v>
      </c>
      <c r="F1718" s="4"/>
      <c r="G1718" s="4"/>
      <c r="H1718" s="27" t="s">
        <v>3296</v>
      </c>
      <c r="I1718" s="4"/>
      <c r="J1718" s="6">
        <v>0</v>
      </c>
      <c r="K1718" s="30" t="s">
        <v>3207</v>
      </c>
      <c r="L1718" s="4"/>
      <c r="M1718" s="3"/>
    </row>
    <row r="1719" spans="1:13" x14ac:dyDescent="0.3">
      <c r="A1719" s="3">
        <v>101</v>
      </c>
      <c r="B1719" s="3">
        <v>101</v>
      </c>
      <c r="C1719" s="4">
        <v>755.17049999999995</v>
      </c>
      <c r="D1719" s="4">
        <v>754.98599999999999</v>
      </c>
      <c r="E1719" s="4">
        <v>755.35500000000002</v>
      </c>
      <c r="F1719" s="4"/>
      <c r="G1719" s="4"/>
      <c r="H1719" s="28" t="s">
        <v>3297</v>
      </c>
      <c r="I1719" s="4"/>
      <c r="J1719" s="6">
        <v>0</v>
      </c>
      <c r="K1719" s="29" t="s">
        <v>3207</v>
      </c>
      <c r="L1719" s="4"/>
      <c r="M1719" s="3"/>
    </row>
    <row r="1720" spans="1:13" x14ac:dyDescent="0.3">
      <c r="A1720" s="3">
        <v>101</v>
      </c>
      <c r="B1720" s="3">
        <v>101</v>
      </c>
      <c r="C1720" s="4">
        <v>755.47</v>
      </c>
      <c r="D1720" s="4">
        <v>755.35500000000002</v>
      </c>
      <c r="E1720" s="4">
        <v>755.58500000000004</v>
      </c>
      <c r="F1720" s="4"/>
      <c r="G1720" s="4"/>
      <c r="H1720" s="27" t="s">
        <v>3298</v>
      </c>
      <c r="I1720" s="4"/>
      <c r="J1720" s="6">
        <v>0</v>
      </c>
      <c r="K1720" s="30" t="s">
        <v>3207</v>
      </c>
      <c r="L1720" s="4"/>
      <c r="M1720" s="3"/>
    </row>
    <row r="1721" spans="1:13" x14ac:dyDescent="0.3">
      <c r="A1721" s="3">
        <v>101</v>
      </c>
      <c r="B1721" s="3">
        <v>101</v>
      </c>
      <c r="C1721" s="4">
        <v>755.88</v>
      </c>
      <c r="D1721" s="4">
        <v>755.58500000000004</v>
      </c>
      <c r="E1721" s="4">
        <v>756.17499999999995</v>
      </c>
      <c r="F1721" s="4"/>
      <c r="G1721" s="4"/>
      <c r="H1721" s="28" t="s">
        <v>3299</v>
      </c>
      <c r="I1721" s="4"/>
      <c r="J1721" s="6">
        <v>0</v>
      </c>
      <c r="K1721" s="29" t="s">
        <v>3207</v>
      </c>
      <c r="L1721" s="4"/>
      <c r="M1721" s="3"/>
    </row>
    <row r="1722" spans="1:13" x14ac:dyDescent="0.3">
      <c r="A1722" s="3">
        <v>101</v>
      </c>
      <c r="B1722" s="3">
        <v>101</v>
      </c>
      <c r="C1722" s="4">
        <v>756.58900000000006</v>
      </c>
      <c r="D1722" s="4">
        <v>756.17499999999995</v>
      </c>
      <c r="E1722" s="4">
        <v>757.00300000000004</v>
      </c>
      <c r="F1722" s="4"/>
      <c r="G1722" s="4"/>
      <c r="H1722" s="27" t="s">
        <v>3300</v>
      </c>
      <c r="I1722" s="4"/>
      <c r="J1722" s="6">
        <v>0</v>
      </c>
      <c r="K1722" s="30" t="s">
        <v>3207</v>
      </c>
      <c r="L1722" s="4"/>
      <c r="M1722" s="3"/>
    </row>
    <row r="1723" spans="1:13" x14ac:dyDescent="0.3">
      <c r="A1723" s="3">
        <v>101</v>
      </c>
      <c r="B1723" s="3">
        <v>101</v>
      </c>
      <c r="C1723" s="4">
        <v>757.21900000000005</v>
      </c>
      <c r="D1723" s="4">
        <v>757.00300000000004</v>
      </c>
      <c r="E1723" s="4">
        <v>757.43499999999995</v>
      </c>
      <c r="F1723" s="4"/>
      <c r="G1723" s="4"/>
      <c r="H1723" s="28" t="s">
        <v>3301</v>
      </c>
      <c r="I1723" s="4"/>
      <c r="J1723" s="6">
        <v>0</v>
      </c>
      <c r="K1723" s="29" t="s">
        <v>3207</v>
      </c>
      <c r="L1723" s="4"/>
      <c r="M1723" s="3"/>
    </row>
    <row r="1724" spans="1:13" x14ac:dyDescent="0.3">
      <c r="A1724" s="3">
        <v>101</v>
      </c>
      <c r="B1724" s="3">
        <v>101</v>
      </c>
      <c r="C1724" s="4">
        <v>757.88549999999998</v>
      </c>
      <c r="D1724" s="4">
        <v>757.43499999999995</v>
      </c>
      <c r="E1724" s="4">
        <v>758.33600000000001</v>
      </c>
      <c r="F1724" s="4"/>
      <c r="G1724" s="4"/>
      <c r="H1724" s="27" t="s">
        <v>3302</v>
      </c>
      <c r="I1724" s="4"/>
      <c r="J1724" s="6">
        <v>0</v>
      </c>
      <c r="K1724" s="30" t="s">
        <v>3207</v>
      </c>
      <c r="L1724" s="4"/>
      <c r="M1724" s="3"/>
    </row>
    <row r="1725" spans="1:13" x14ac:dyDescent="0.3">
      <c r="A1725" s="3">
        <v>101</v>
      </c>
      <c r="B1725" s="3">
        <v>101</v>
      </c>
      <c r="C1725" s="4">
        <v>758.88250000000005</v>
      </c>
      <c r="D1725" s="4">
        <v>758.33600000000001</v>
      </c>
      <c r="E1725" s="4">
        <v>759.42899999999997</v>
      </c>
      <c r="F1725" s="4"/>
      <c r="G1725" s="4"/>
      <c r="H1725" s="28" t="s">
        <v>3303</v>
      </c>
      <c r="I1725" s="4"/>
      <c r="J1725" s="6">
        <v>0</v>
      </c>
      <c r="K1725" s="29" t="s">
        <v>3207</v>
      </c>
      <c r="L1725" s="4"/>
      <c r="M1725" s="3"/>
    </row>
    <row r="1726" spans="1:13" x14ac:dyDescent="0.3">
      <c r="A1726" s="3">
        <v>101</v>
      </c>
      <c r="B1726" s="3">
        <v>101</v>
      </c>
      <c r="C1726" s="4">
        <v>759.6155</v>
      </c>
      <c r="D1726" s="4">
        <v>759.42899999999997</v>
      </c>
      <c r="E1726" s="4">
        <v>759.80200000000002</v>
      </c>
      <c r="F1726" s="4"/>
      <c r="G1726" s="4"/>
      <c r="H1726" s="27" t="s">
        <v>3304</v>
      </c>
      <c r="I1726" s="4"/>
      <c r="J1726" s="6">
        <v>0</v>
      </c>
      <c r="K1726" s="30" t="s">
        <v>3207</v>
      </c>
      <c r="L1726" s="4"/>
      <c r="M1726" s="3"/>
    </row>
    <row r="1727" spans="1:13" x14ac:dyDescent="0.3">
      <c r="A1727" s="3">
        <v>101</v>
      </c>
      <c r="B1727" s="3">
        <v>101</v>
      </c>
      <c r="C1727" s="4">
        <v>759.96849999999995</v>
      </c>
      <c r="D1727" s="4">
        <v>759.80200000000002</v>
      </c>
      <c r="E1727" s="4">
        <v>760.13499999999999</v>
      </c>
      <c r="F1727" s="4"/>
      <c r="G1727" s="4"/>
      <c r="H1727" s="28" t="s">
        <v>3305</v>
      </c>
      <c r="I1727" s="4"/>
      <c r="J1727" s="6">
        <v>0</v>
      </c>
      <c r="K1727" s="29" t="s">
        <v>3207</v>
      </c>
      <c r="L1727" s="4"/>
      <c r="M1727" s="3"/>
    </row>
    <row r="1728" spans="1:13" x14ac:dyDescent="0.3">
      <c r="A1728" s="3">
        <v>101</v>
      </c>
      <c r="B1728" s="3">
        <v>101</v>
      </c>
      <c r="C1728" s="4">
        <v>760.26400000000001</v>
      </c>
      <c r="D1728" s="4">
        <v>760.13499999999999</v>
      </c>
      <c r="E1728" s="4">
        <v>760.39300000000003</v>
      </c>
      <c r="F1728" s="4"/>
      <c r="G1728" s="4"/>
      <c r="H1728" s="27" t="s">
        <v>3306</v>
      </c>
      <c r="I1728" s="4"/>
      <c r="J1728" s="6">
        <v>0</v>
      </c>
      <c r="K1728" s="30" t="s">
        <v>3207</v>
      </c>
      <c r="L1728" s="4"/>
      <c r="M1728" s="3"/>
    </row>
    <row r="1729" spans="1:13" x14ac:dyDescent="0.3">
      <c r="A1729" s="3">
        <v>101</v>
      </c>
      <c r="B1729" s="3">
        <v>101</v>
      </c>
      <c r="C1729" s="4">
        <v>760.61950000000002</v>
      </c>
      <c r="D1729" s="4">
        <v>760.39300000000003</v>
      </c>
      <c r="E1729" s="4">
        <v>760.846</v>
      </c>
      <c r="F1729" s="4"/>
      <c r="G1729" s="4"/>
      <c r="H1729" s="28" t="s">
        <v>3307</v>
      </c>
      <c r="I1729" s="4"/>
      <c r="J1729" s="6">
        <v>0</v>
      </c>
      <c r="K1729" s="29" t="s">
        <v>3207</v>
      </c>
      <c r="L1729" s="4"/>
      <c r="M1729" s="3"/>
    </row>
    <row r="1730" spans="1:13" x14ac:dyDescent="0.3">
      <c r="A1730" s="3">
        <v>101</v>
      </c>
      <c r="B1730" s="3">
        <v>101</v>
      </c>
      <c r="C1730" s="4">
        <v>761.08849999999995</v>
      </c>
      <c r="D1730" s="4">
        <v>760.846</v>
      </c>
      <c r="E1730" s="4">
        <v>761.33100000000002</v>
      </c>
      <c r="F1730" s="4"/>
      <c r="G1730" s="4"/>
      <c r="H1730" s="27" t="s">
        <v>3308</v>
      </c>
      <c r="I1730" s="4"/>
      <c r="J1730" s="6">
        <v>0</v>
      </c>
      <c r="K1730" s="30" t="s">
        <v>3207</v>
      </c>
      <c r="L1730" s="4"/>
      <c r="M1730" s="3"/>
    </row>
    <row r="1731" spans="1:13" x14ac:dyDescent="0.3">
      <c r="A1731" s="3">
        <v>101</v>
      </c>
      <c r="B1731" s="3">
        <v>101</v>
      </c>
      <c r="C1731" s="4">
        <v>761.65</v>
      </c>
      <c r="D1731" s="4">
        <v>761.33100000000002</v>
      </c>
      <c r="E1731" s="4">
        <v>761.96900000000005</v>
      </c>
      <c r="F1731" s="4"/>
      <c r="G1731" s="4"/>
      <c r="H1731" s="28" t="s">
        <v>3309</v>
      </c>
      <c r="I1731" s="4"/>
      <c r="J1731" s="6">
        <v>0</v>
      </c>
      <c r="K1731" s="29" t="s">
        <v>3207</v>
      </c>
      <c r="L1731" s="4"/>
      <c r="M1731" s="3"/>
    </row>
    <row r="1732" spans="1:13" x14ac:dyDescent="0.3">
      <c r="A1732" s="3">
        <v>101</v>
      </c>
      <c r="B1732" s="3">
        <v>101</v>
      </c>
      <c r="C1732" s="4">
        <v>762.44150000000002</v>
      </c>
      <c r="D1732" s="4">
        <v>761.96900000000005</v>
      </c>
      <c r="E1732" s="4">
        <v>762.91399999999999</v>
      </c>
      <c r="F1732" s="4"/>
      <c r="G1732" s="4"/>
      <c r="H1732" s="27" t="s">
        <v>3310</v>
      </c>
      <c r="I1732" s="4"/>
      <c r="J1732" s="6">
        <v>0</v>
      </c>
      <c r="K1732" s="30" t="s">
        <v>3207</v>
      </c>
      <c r="L1732" s="4"/>
      <c r="M1732" s="3"/>
    </row>
    <row r="1733" spans="1:13" x14ac:dyDescent="0.3">
      <c r="A1733" s="3">
        <v>101</v>
      </c>
      <c r="B1733" s="3">
        <v>101</v>
      </c>
      <c r="C1733" s="4">
        <v>763.53599999999994</v>
      </c>
      <c r="D1733" s="4">
        <v>762.91399999999999</v>
      </c>
      <c r="E1733" s="4">
        <v>764.15800000000002</v>
      </c>
      <c r="F1733" s="4"/>
      <c r="G1733" s="4"/>
      <c r="H1733" s="28" t="s">
        <v>3311</v>
      </c>
      <c r="I1733" s="4"/>
      <c r="J1733" s="6">
        <v>0</v>
      </c>
      <c r="K1733" s="29" t="s">
        <v>3207</v>
      </c>
      <c r="L1733" s="4"/>
      <c r="M1733" s="3"/>
    </row>
    <row r="1734" spans="1:13" x14ac:dyDescent="0.3">
      <c r="A1734" s="3">
        <v>101</v>
      </c>
      <c r="B1734" s="3">
        <v>101</v>
      </c>
      <c r="C1734" s="4">
        <v>764.40449999999998</v>
      </c>
      <c r="D1734" s="4">
        <v>764.15800000000002</v>
      </c>
      <c r="E1734" s="4">
        <v>764.65099999999995</v>
      </c>
      <c r="F1734" s="4"/>
      <c r="G1734" s="4"/>
      <c r="H1734" s="27" t="s">
        <v>3312</v>
      </c>
      <c r="I1734" s="4"/>
      <c r="J1734" s="6">
        <v>0</v>
      </c>
      <c r="K1734" s="30" t="s">
        <v>3207</v>
      </c>
      <c r="L1734" s="4"/>
      <c r="M1734" s="3"/>
    </row>
    <row r="1735" spans="1:13" x14ac:dyDescent="0.3">
      <c r="A1735" s="3">
        <v>101</v>
      </c>
      <c r="B1735" s="3">
        <v>101</v>
      </c>
      <c r="C1735" s="4">
        <v>764.90150000000006</v>
      </c>
      <c r="D1735" s="4">
        <v>764.65099999999995</v>
      </c>
      <c r="E1735" s="4">
        <v>765.15200000000004</v>
      </c>
      <c r="F1735" s="4"/>
      <c r="G1735" s="4"/>
      <c r="H1735" s="28" t="s">
        <v>3313</v>
      </c>
      <c r="I1735" s="4"/>
      <c r="J1735" s="6">
        <v>0</v>
      </c>
      <c r="K1735" s="29" t="s">
        <v>3207</v>
      </c>
      <c r="L1735" s="4"/>
      <c r="M1735" s="3"/>
    </row>
    <row r="1736" spans="1:13" x14ac:dyDescent="0.3">
      <c r="A1736" s="3">
        <v>101</v>
      </c>
      <c r="B1736" s="3">
        <v>101</v>
      </c>
      <c r="C1736" s="4">
        <v>765.4855</v>
      </c>
      <c r="D1736" s="4">
        <v>765.15200000000004</v>
      </c>
      <c r="E1736" s="4">
        <v>765.81899999999996</v>
      </c>
      <c r="F1736" s="4"/>
      <c r="G1736" s="4"/>
      <c r="H1736" s="27" t="s">
        <v>3314</v>
      </c>
      <c r="I1736" s="4"/>
      <c r="J1736" s="6">
        <v>0</v>
      </c>
      <c r="K1736" s="30" t="s">
        <v>3207</v>
      </c>
      <c r="L1736" s="4"/>
      <c r="M1736" s="3"/>
    </row>
    <row r="1737" spans="1:13" x14ac:dyDescent="0.3">
      <c r="A1737" s="3">
        <v>101</v>
      </c>
      <c r="B1737" s="3">
        <v>101</v>
      </c>
      <c r="C1737" s="4">
        <v>766.04150000000004</v>
      </c>
      <c r="D1737" s="4">
        <v>765.81899999999996</v>
      </c>
      <c r="E1737" s="4">
        <v>766.26400000000001</v>
      </c>
      <c r="F1737" s="4"/>
      <c r="G1737" s="4"/>
      <c r="H1737" s="28" t="s">
        <v>3315</v>
      </c>
      <c r="I1737" s="4"/>
      <c r="J1737" s="6">
        <v>0</v>
      </c>
      <c r="K1737" s="29" t="s">
        <v>3207</v>
      </c>
      <c r="L1737" s="4"/>
      <c r="M1737" s="3"/>
    </row>
    <row r="1738" spans="1:13" x14ac:dyDescent="0.3">
      <c r="A1738" s="3">
        <v>101</v>
      </c>
      <c r="B1738" s="3">
        <v>101</v>
      </c>
      <c r="C1738" s="4">
        <v>766.83050000000003</v>
      </c>
      <c r="D1738" s="4">
        <v>766.26400000000001</v>
      </c>
      <c r="E1738" s="4">
        <v>767.39700000000005</v>
      </c>
      <c r="F1738" s="4"/>
      <c r="G1738" s="4"/>
      <c r="H1738" s="27" t="s">
        <v>3316</v>
      </c>
      <c r="I1738" s="4"/>
      <c r="J1738" s="6">
        <v>0</v>
      </c>
      <c r="K1738" s="30" t="s">
        <v>3207</v>
      </c>
      <c r="L1738" s="4"/>
      <c r="M1738" s="3"/>
    </row>
    <row r="1739" spans="1:13" x14ac:dyDescent="0.3">
      <c r="A1739" s="3">
        <v>101</v>
      </c>
      <c r="B1739" s="3">
        <v>101</v>
      </c>
      <c r="C1739" s="4">
        <v>767.99400000000003</v>
      </c>
      <c r="D1739" s="4">
        <v>767.39700000000005</v>
      </c>
      <c r="E1739" s="4">
        <v>768.59100000000001</v>
      </c>
      <c r="F1739" s="4"/>
      <c r="G1739" s="4"/>
      <c r="H1739" s="28" t="s">
        <v>3317</v>
      </c>
      <c r="I1739" s="4"/>
      <c r="J1739" s="6">
        <v>0</v>
      </c>
      <c r="K1739" s="29" t="s">
        <v>3207</v>
      </c>
      <c r="L1739" s="4"/>
      <c r="M1739" s="3"/>
    </row>
    <row r="1740" spans="1:13" x14ac:dyDescent="0.3">
      <c r="A1740" s="3">
        <v>101</v>
      </c>
      <c r="B1740" s="3">
        <v>101</v>
      </c>
      <c r="C1740" s="4">
        <v>768.65549999999996</v>
      </c>
      <c r="D1740" s="4">
        <v>768.59100000000001</v>
      </c>
      <c r="E1740" s="4">
        <v>768.72</v>
      </c>
      <c r="F1740" s="4"/>
      <c r="G1740" s="4"/>
      <c r="H1740" s="27" t="s">
        <v>3318</v>
      </c>
      <c r="I1740" s="4"/>
      <c r="J1740" s="6">
        <v>0</v>
      </c>
      <c r="K1740" s="30" t="s">
        <v>3207</v>
      </c>
      <c r="L1740" s="4"/>
      <c r="M1740" s="3"/>
    </row>
    <row r="1741" spans="1:13" x14ac:dyDescent="0.3">
      <c r="A1741" s="3">
        <v>101</v>
      </c>
      <c r="B1741" s="3">
        <v>101</v>
      </c>
      <c r="C1741" s="4">
        <v>768.9905</v>
      </c>
      <c r="D1741" s="4">
        <v>768.72</v>
      </c>
      <c r="E1741" s="4">
        <v>769.26099999999997</v>
      </c>
      <c r="F1741" s="4"/>
      <c r="G1741" s="4"/>
      <c r="H1741" s="28" t="s">
        <v>3319</v>
      </c>
      <c r="I1741" s="4"/>
      <c r="J1741" s="6">
        <v>0</v>
      </c>
      <c r="K1741" s="29" t="s">
        <v>3207</v>
      </c>
      <c r="L1741" s="4"/>
      <c r="M1741" s="3"/>
    </row>
    <row r="1742" spans="1:13" x14ac:dyDescent="0.3">
      <c r="A1742" s="3">
        <v>101</v>
      </c>
      <c r="B1742" s="3">
        <v>101</v>
      </c>
      <c r="C1742" s="4">
        <v>769.29</v>
      </c>
      <c r="D1742" s="4">
        <v>769.26099999999997</v>
      </c>
      <c r="E1742" s="4">
        <v>769.31899999999996</v>
      </c>
      <c r="F1742" s="4"/>
      <c r="G1742" s="4"/>
      <c r="H1742" s="27" t="s">
        <v>3320</v>
      </c>
      <c r="I1742" s="4"/>
      <c r="J1742" s="6">
        <v>0</v>
      </c>
      <c r="K1742" s="30" t="s">
        <v>3207</v>
      </c>
      <c r="L1742" s="4"/>
      <c r="M1742" s="3"/>
    </row>
    <row r="1743" spans="1:13" x14ac:dyDescent="0.3">
      <c r="A1743" s="3">
        <v>101</v>
      </c>
      <c r="B1743" s="3">
        <v>101</v>
      </c>
      <c r="C1743" s="4">
        <v>769.54250000000002</v>
      </c>
      <c r="D1743" s="4">
        <v>769.31899999999996</v>
      </c>
      <c r="E1743" s="4">
        <v>769.76599999999996</v>
      </c>
      <c r="F1743" s="4"/>
      <c r="G1743" s="4"/>
      <c r="H1743" s="28" t="s">
        <v>3321</v>
      </c>
      <c r="I1743" s="4"/>
      <c r="J1743" s="6">
        <v>0</v>
      </c>
      <c r="K1743" s="29" t="s">
        <v>3207</v>
      </c>
      <c r="L1743" s="4"/>
      <c r="M1743" s="3"/>
    </row>
    <row r="1744" spans="1:13" x14ac:dyDescent="0.3">
      <c r="A1744" s="3">
        <v>101</v>
      </c>
      <c r="B1744" s="3">
        <v>101</v>
      </c>
      <c r="C1744" s="4">
        <v>769.82849999999996</v>
      </c>
      <c r="D1744" s="4">
        <v>769.76599999999996</v>
      </c>
      <c r="E1744" s="4">
        <v>769.89099999999996</v>
      </c>
      <c r="F1744" s="4"/>
      <c r="G1744" s="4"/>
      <c r="H1744" s="27" t="s">
        <v>3322</v>
      </c>
      <c r="I1744" s="4"/>
      <c r="J1744" s="6">
        <v>0</v>
      </c>
      <c r="K1744" s="30" t="s">
        <v>3207</v>
      </c>
      <c r="L1744" s="4"/>
      <c r="M1744" s="3"/>
    </row>
    <row r="1745" spans="1:13" x14ac:dyDescent="0.3">
      <c r="A1745" s="3">
        <v>101</v>
      </c>
      <c r="B1745" s="3">
        <v>101</v>
      </c>
      <c r="C1745" s="4">
        <v>770.16099999999994</v>
      </c>
      <c r="D1745" s="4">
        <v>769.89099999999996</v>
      </c>
      <c r="E1745" s="4">
        <v>770.43100000000004</v>
      </c>
      <c r="F1745" s="4"/>
      <c r="G1745" s="4"/>
      <c r="H1745" s="28" t="s">
        <v>3323</v>
      </c>
      <c r="I1745" s="4"/>
      <c r="J1745" s="6">
        <v>0</v>
      </c>
      <c r="K1745" s="29" t="s">
        <v>3207</v>
      </c>
      <c r="L1745" s="4"/>
      <c r="M1745" s="3"/>
    </row>
    <row r="1746" spans="1:13" x14ac:dyDescent="0.3">
      <c r="A1746" s="3">
        <v>101</v>
      </c>
      <c r="B1746" s="3">
        <v>101</v>
      </c>
      <c r="C1746" s="4">
        <v>770.53399999999999</v>
      </c>
      <c r="D1746" s="4">
        <v>770.43100000000004</v>
      </c>
      <c r="E1746" s="4">
        <v>770.63699999999994</v>
      </c>
      <c r="F1746" s="4"/>
      <c r="G1746" s="4"/>
      <c r="H1746" s="27" t="s">
        <v>3324</v>
      </c>
      <c r="I1746" s="4"/>
      <c r="J1746" s="6">
        <v>0</v>
      </c>
      <c r="K1746" s="30" t="s">
        <v>3207</v>
      </c>
      <c r="L1746" s="4"/>
      <c r="M1746" s="3"/>
    </row>
    <row r="1747" spans="1:13" x14ac:dyDescent="0.3">
      <c r="A1747" s="3">
        <v>101</v>
      </c>
      <c r="B1747" s="3">
        <v>101</v>
      </c>
      <c r="C1747" s="4">
        <v>770.96950000000004</v>
      </c>
      <c r="D1747" s="4">
        <v>770.63699999999994</v>
      </c>
      <c r="E1747" s="4">
        <v>771.30200000000002</v>
      </c>
      <c r="F1747" s="4"/>
      <c r="G1747" s="4"/>
      <c r="H1747" s="28" t="s">
        <v>3325</v>
      </c>
      <c r="I1747" s="4"/>
      <c r="J1747" s="6">
        <v>0</v>
      </c>
      <c r="K1747" s="29" t="s">
        <v>3207</v>
      </c>
      <c r="L1747" s="4"/>
      <c r="M1747" s="3"/>
    </row>
    <row r="1748" spans="1:13" x14ac:dyDescent="0.3">
      <c r="A1748" s="3">
        <v>101</v>
      </c>
      <c r="B1748" s="3">
        <v>101</v>
      </c>
      <c r="C1748" s="4">
        <v>771.37400000000002</v>
      </c>
      <c r="D1748" s="4">
        <v>771.30200000000002</v>
      </c>
      <c r="E1748" s="4">
        <v>771.44600000000003</v>
      </c>
      <c r="F1748" s="4"/>
      <c r="G1748" s="4"/>
      <c r="H1748" s="27" t="s">
        <v>3326</v>
      </c>
      <c r="I1748" s="4"/>
      <c r="J1748" s="6">
        <v>0</v>
      </c>
      <c r="K1748" s="30" t="s">
        <v>3207</v>
      </c>
      <c r="L1748" s="4"/>
      <c r="M1748" s="3"/>
    </row>
    <row r="1749" spans="1:13" x14ac:dyDescent="0.3">
      <c r="A1749" s="3">
        <v>101</v>
      </c>
      <c r="B1749" s="3">
        <v>101</v>
      </c>
      <c r="C1749" s="4">
        <v>771.71450000000004</v>
      </c>
      <c r="D1749" s="4">
        <v>771.44600000000003</v>
      </c>
      <c r="E1749" s="4">
        <v>771.98299999999995</v>
      </c>
      <c r="F1749" s="4"/>
      <c r="G1749" s="4"/>
      <c r="H1749" s="28" t="s">
        <v>3327</v>
      </c>
      <c r="I1749" s="4"/>
      <c r="J1749" s="6">
        <v>0</v>
      </c>
      <c r="K1749" s="29" t="s">
        <v>3207</v>
      </c>
      <c r="L1749" s="4"/>
      <c r="M1749" s="3"/>
    </row>
    <row r="1750" spans="1:13" x14ac:dyDescent="0.3">
      <c r="A1750" s="3">
        <v>101</v>
      </c>
      <c r="B1750" s="3">
        <v>101</v>
      </c>
      <c r="C1750" s="4">
        <v>772.19899999999996</v>
      </c>
      <c r="D1750" s="4">
        <v>771.98299999999995</v>
      </c>
      <c r="E1750" s="4">
        <v>772.41499999999996</v>
      </c>
      <c r="F1750" s="4"/>
      <c r="G1750" s="4"/>
      <c r="H1750" s="27" t="s">
        <v>3328</v>
      </c>
      <c r="I1750" s="4"/>
      <c r="J1750" s="6">
        <v>0</v>
      </c>
      <c r="K1750" s="30" t="s">
        <v>3207</v>
      </c>
      <c r="L1750" s="4"/>
      <c r="M1750" s="3"/>
    </row>
    <row r="1751" spans="1:13" x14ac:dyDescent="0.3">
      <c r="A1751" s="3">
        <v>101</v>
      </c>
      <c r="B1751" s="3">
        <v>101</v>
      </c>
      <c r="C1751" s="4">
        <v>772.65449999999998</v>
      </c>
      <c r="D1751" s="4">
        <v>772.41499999999996</v>
      </c>
      <c r="E1751" s="4">
        <v>772.89400000000001</v>
      </c>
      <c r="F1751" s="4"/>
      <c r="G1751" s="4"/>
      <c r="H1751" s="28" t="s">
        <v>3329</v>
      </c>
      <c r="I1751" s="4"/>
      <c r="J1751" s="6">
        <v>0</v>
      </c>
      <c r="K1751" s="29" t="s">
        <v>3207</v>
      </c>
      <c r="L1751" s="4"/>
      <c r="M1751" s="3"/>
    </row>
    <row r="1752" spans="1:13" x14ac:dyDescent="0.3">
      <c r="A1752" s="3">
        <v>101</v>
      </c>
      <c r="B1752" s="3">
        <v>101</v>
      </c>
      <c r="C1752" s="4">
        <v>773.01199999999994</v>
      </c>
      <c r="D1752" s="4">
        <v>772.89400000000001</v>
      </c>
      <c r="E1752" s="4">
        <v>773.13</v>
      </c>
      <c r="F1752" s="4"/>
      <c r="G1752" s="4"/>
      <c r="H1752" s="27" t="s">
        <v>3330</v>
      </c>
      <c r="I1752" s="4"/>
      <c r="J1752" s="6">
        <v>0</v>
      </c>
      <c r="K1752" s="30" t="s">
        <v>3207</v>
      </c>
      <c r="L1752" s="4"/>
      <c r="M1752" s="3"/>
    </row>
    <row r="1753" spans="1:13" x14ac:dyDescent="0.3">
      <c r="A1753" s="3">
        <v>101</v>
      </c>
      <c r="B1753" s="3">
        <v>101</v>
      </c>
      <c r="C1753" s="4">
        <v>773.37649999999996</v>
      </c>
      <c r="D1753" s="4">
        <v>773.13</v>
      </c>
      <c r="E1753" s="4">
        <v>773.62300000000005</v>
      </c>
      <c r="F1753" s="4"/>
      <c r="G1753" s="4"/>
      <c r="H1753" s="28" t="s">
        <v>3331</v>
      </c>
      <c r="I1753" s="4"/>
      <c r="J1753" s="6">
        <v>0</v>
      </c>
      <c r="K1753" s="29" t="s">
        <v>3207</v>
      </c>
      <c r="L1753" s="4"/>
      <c r="M1753" s="3"/>
    </row>
    <row r="1754" spans="1:13" x14ac:dyDescent="0.3">
      <c r="A1754" s="3">
        <v>101</v>
      </c>
      <c r="B1754" s="3">
        <v>101</v>
      </c>
      <c r="C1754" s="4">
        <v>773.76800000000003</v>
      </c>
      <c r="D1754" s="4">
        <v>773.62300000000005</v>
      </c>
      <c r="E1754" s="4">
        <v>773.91300000000001</v>
      </c>
      <c r="F1754" s="4"/>
      <c r="G1754" s="4"/>
      <c r="H1754" s="27" t="s">
        <v>3332</v>
      </c>
      <c r="I1754" s="4"/>
      <c r="J1754" s="6">
        <v>0</v>
      </c>
      <c r="K1754" s="30" t="s">
        <v>3207</v>
      </c>
      <c r="L1754" s="4"/>
      <c r="M1754" s="3"/>
    </row>
    <row r="1755" spans="1:13" x14ac:dyDescent="0.3">
      <c r="A1755" s="3">
        <v>101</v>
      </c>
      <c r="B1755" s="3">
        <v>101</v>
      </c>
      <c r="C1755" s="4">
        <v>774.29449999999997</v>
      </c>
      <c r="D1755" s="4">
        <v>773.91300000000001</v>
      </c>
      <c r="E1755" s="4">
        <v>774.67600000000004</v>
      </c>
      <c r="F1755" s="4"/>
      <c r="G1755" s="4"/>
      <c r="H1755" s="28" t="s">
        <v>3333</v>
      </c>
      <c r="I1755" s="4"/>
      <c r="J1755" s="6">
        <v>0</v>
      </c>
      <c r="K1755" s="29" t="s">
        <v>3207</v>
      </c>
      <c r="L1755" s="4"/>
      <c r="M1755" s="3"/>
    </row>
    <row r="1756" spans="1:13" x14ac:dyDescent="0.3">
      <c r="A1756" s="3">
        <v>101</v>
      </c>
      <c r="B1756" s="3">
        <v>101</v>
      </c>
      <c r="C1756" s="4">
        <v>774.84299999999996</v>
      </c>
      <c r="D1756" s="4">
        <v>774.67600000000004</v>
      </c>
      <c r="E1756" s="4">
        <v>775.01</v>
      </c>
      <c r="F1756" s="4"/>
      <c r="G1756" s="4"/>
      <c r="H1756" s="27" t="s">
        <v>3334</v>
      </c>
      <c r="I1756" s="4"/>
      <c r="J1756" s="6">
        <v>0</v>
      </c>
      <c r="K1756" s="30" t="s">
        <v>3207</v>
      </c>
      <c r="L1756" s="4"/>
      <c r="M1756" s="3"/>
    </row>
    <row r="1757" spans="1:13" x14ac:dyDescent="0.3">
      <c r="A1757" s="3">
        <v>101</v>
      </c>
      <c r="B1757" s="3">
        <v>101</v>
      </c>
      <c r="C1757" s="4">
        <v>775.37900000000002</v>
      </c>
      <c r="D1757" s="4">
        <v>775.01</v>
      </c>
      <c r="E1757" s="4">
        <v>775.74800000000005</v>
      </c>
      <c r="F1757" s="4"/>
      <c r="G1757" s="4"/>
      <c r="H1757" s="28" t="s">
        <v>3335</v>
      </c>
      <c r="I1757" s="4"/>
      <c r="J1757" s="6">
        <v>0</v>
      </c>
      <c r="K1757" s="29" t="s">
        <v>3207</v>
      </c>
      <c r="L1757" s="4"/>
      <c r="M1757" s="3"/>
    </row>
    <row r="1758" spans="1:13" x14ac:dyDescent="0.3">
      <c r="A1758" s="3">
        <v>101</v>
      </c>
      <c r="B1758" s="3">
        <v>101</v>
      </c>
      <c r="C1758" s="4">
        <v>775.78899999999999</v>
      </c>
      <c r="D1758" s="4">
        <v>775.74800000000005</v>
      </c>
      <c r="E1758" s="4">
        <v>775.83</v>
      </c>
      <c r="F1758" s="4"/>
      <c r="G1758" s="4"/>
      <c r="H1758" s="27" t="s">
        <v>3336</v>
      </c>
      <c r="I1758" s="4"/>
      <c r="J1758" s="6">
        <v>0</v>
      </c>
      <c r="K1758" s="30" t="s">
        <v>3207</v>
      </c>
      <c r="L1758" s="4"/>
      <c r="M1758" s="3"/>
    </row>
    <row r="1759" spans="1:13" x14ac:dyDescent="0.3">
      <c r="A1759" s="3">
        <v>101</v>
      </c>
      <c r="B1759" s="3">
        <v>101</v>
      </c>
      <c r="C1759" s="4">
        <v>776.14499999999998</v>
      </c>
      <c r="D1759" s="4">
        <v>775.83</v>
      </c>
      <c r="E1759" s="4">
        <v>776.46</v>
      </c>
      <c r="F1759" s="4"/>
      <c r="G1759" s="4"/>
      <c r="H1759" s="28" t="s">
        <v>3337</v>
      </c>
      <c r="I1759" s="4"/>
      <c r="J1759" s="6">
        <v>0</v>
      </c>
      <c r="K1759" s="29" t="s">
        <v>3207</v>
      </c>
      <c r="L1759" s="4"/>
      <c r="M1759" s="3"/>
    </row>
    <row r="1760" spans="1:13" x14ac:dyDescent="0.3">
      <c r="A1760" s="3">
        <v>101</v>
      </c>
      <c r="B1760" s="3">
        <v>101</v>
      </c>
      <c r="C1760" s="4">
        <v>776.96450000000004</v>
      </c>
      <c r="D1760" s="4">
        <v>776.46</v>
      </c>
      <c r="E1760" s="4">
        <v>777.46900000000005</v>
      </c>
      <c r="F1760" s="4"/>
      <c r="G1760" s="4"/>
      <c r="H1760" s="27" t="s">
        <v>3338</v>
      </c>
      <c r="I1760" s="4"/>
      <c r="J1760" s="6">
        <v>0</v>
      </c>
      <c r="K1760" s="30" t="s">
        <v>3207</v>
      </c>
      <c r="L1760" s="4"/>
      <c r="M1760" s="3"/>
    </row>
    <row r="1761" spans="1:13" x14ac:dyDescent="0.3">
      <c r="A1761" s="3">
        <v>101</v>
      </c>
      <c r="B1761" s="3">
        <v>101</v>
      </c>
      <c r="C1761" s="4">
        <v>777.91750000000002</v>
      </c>
      <c r="D1761" s="4">
        <v>777.46900000000005</v>
      </c>
      <c r="E1761" s="4">
        <v>778.36599999999999</v>
      </c>
      <c r="F1761" s="4"/>
      <c r="G1761" s="4"/>
      <c r="H1761" s="28" t="s">
        <v>3339</v>
      </c>
      <c r="I1761" s="4"/>
      <c r="J1761" s="6">
        <v>0</v>
      </c>
      <c r="K1761" s="29" t="s">
        <v>3207</v>
      </c>
      <c r="L1761" s="4"/>
      <c r="M1761" s="3"/>
    </row>
    <row r="1762" spans="1:13" x14ac:dyDescent="0.3">
      <c r="A1762" s="3">
        <v>101</v>
      </c>
      <c r="B1762" s="3">
        <v>101</v>
      </c>
      <c r="C1762" s="4">
        <v>778.54250000000002</v>
      </c>
      <c r="D1762" s="4">
        <v>778.36599999999999</v>
      </c>
      <c r="E1762" s="4">
        <v>778.71900000000005</v>
      </c>
      <c r="F1762" s="4"/>
      <c r="G1762" s="4"/>
      <c r="H1762" s="27" t="s">
        <v>3340</v>
      </c>
      <c r="I1762" s="4"/>
      <c r="J1762" s="6">
        <v>0</v>
      </c>
      <c r="K1762" s="30" t="s">
        <v>3207</v>
      </c>
      <c r="L1762" s="4"/>
      <c r="M1762" s="3"/>
    </row>
    <row r="1763" spans="1:13" x14ac:dyDescent="0.3">
      <c r="A1763" s="3">
        <v>101</v>
      </c>
      <c r="B1763" s="3">
        <v>101</v>
      </c>
      <c r="C1763" s="4">
        <v>778.971</v>
      </c>
      <c r="D1763" s="4">
        <v>778.71900000000005</v>
      </c>
      <c r="E1763" s="4">
        <v>779.22299999999996</v>
      </c>
      <c r="F1763" s="4"/>
      <c r="G1763" s="4"/>
      <c r="H1763" s="28" t="s">
        <v>3341</v>
      </c>
      <c r="I1763" s="4"/>
      <c r="J1763" s="6">
        <v>0</v>
      </c>
      <c r="K1763" s="29" t="s">
        <v>3207</v>
      </c>
      <c r="L1763" s="4"/>
      <c r="M1763" s="3"/>
    </row>
    <row r="1764" spans="1:13" x14ac:dyDescent="0.3">
      <c r="A1764" s="3">
        <v>101</v>
      </c>
      <c r="B1764" s="3">
        <v>101</v>
      </c>
      <c r="C1764" s="4">
        <v>779.52549999999997</v>
      </c>
      <c r="D1764" s="4">
        <v>779.22299999999996</v>
      </c>
      <c r="E1764" s="4">
        <v>779.82799999999997</v>
      </c>
      <c r="F1764" s="4"/>
      <c r="G1764" s="4"/>
      <c r="H1764" s="27" t="s">
        <v>3342</v>
      </c>
      <c r="I1764" s="4"/>
      <c r="J1764" s="6">
        <v>0</v>
      </c>
      <c r="K1764" s="30" t="s">
        <v>3207</v>
      </c>
      <c r="L1764" s="4"/>
      <c r="M1764" s="3"/>
    </row>
    <row r="1765" spans="1:13" x14ac:dyDescent="0.3">
      <c r="A1765" s="3">
        <v>101</v>
      </c>
      <c r="B1765" s="3">
        <v>101</v>
      </c>
      <c r="C1765" s="4">
        <v>780.46849999999995</v>
      </c>
      <c r="D1765" s="4">
        <v>779.82799999999997</v>
      </c>
      <c r="E1765" s="4">
        <v>781.10900000000004</v>
      </c>
      <c r="F1765" s="4"/>
      <c r="G1765" s="4"/>
      <c r="H1765" s="28" t="s">
        <v>3343</v>
      </c>
      <c r="I1765" s="4"/>
      <c r="J1765" s="6">
        <v>0</v>
      </c>
      <c r="K1765" s="29" t="s">
        <v>3207</v>
      </c>
      <c r="L1765" s="4"/>
      <c r="M1765" s="3"/>
    </row>
    <row r="1766" spans="1:13" x14ac:dyDescent="0.3">
      <c r="A1766" s="3">
        <v>101</v>
      </c>
      <c r="B1766" s="3">
        <v>101</v>
      </c>
      <c r="C1766" s="4">
        <v>781.66650000000004</v>
      </c>
      <c r="D1766" s="4">
        <v>781.10900000000004</v>
      </c>
      <c r="E1766" s="4">
        <v>782.22400000000005</v>
      </c>
      <c r="F1766" s="4"/>
      <c r="G1766" s="4"/>
      <c r="H1766" s="27" t="s">
        <v>3344</v>
      </c>
      <c r="I1766" s="4"/>
      <c r="J1766" s="6">
        <v>0</v>
      </c>
      <c r="K1766" s="30" t="s">
        <v>3207</v>
      </c>
      <c r="L1766" s="4"/>
      <c r="M1766" s="3"/>
    </row>
    <row r="1767" spans="1:13" x14ac:dyDescent="0.3">
      <c r="A1767" s="3">
        <v>101</v>
      </c>
      <c r="B1767" s="3">
        <v>101</v>
      </c>
      <c r="C1767" s="4">
        <v>783.01300000000003</v>
      </c>
      <c r="D1767" s="4">
        <v>782.22400000000005</v>
      </c>
      <c r="E1767" s="4">
        <v>783.80200000000002</v>
      </c>
      <c r="F1767" s="4"/>
      <c r="G1767" s="4"/>
      <c r="H1767" s="28" t="s">
        <v>3345</v>
      </c>
      <c r="I1767" s="4"/>
      <c r="J1767" s="6">
        <v>0</v>
      </c>
      <c r="K1767" s="29" t="s">
        <v>3207</v>
      </c>
      <c r="L1767" s="4"/>
      <c r="M1767" s="3"/>
    </row>
    <row r="1768" spans="1:13" x14ac:dyDescent="0.3">
      <c r="A1768" s="3">
        <v>101</v>
      </c>
      <c r="B1768" s="3">
        <v>101</v>
      </c>
      <c r="C1768" s="4">
        <v>783.91499999999996</v>
      </c>
      <c r="D1768" s="4">
        <v>783.80200000000002</v>
      </c>
      <c r="E1768" s="4">
        <v>784.02800000000002</v>
      </c>
      <c r="F1768" s="4"/>
      <c r="G1768" s="4"/>
      <c r="H1768" s="27" t="s">
        <v>3346</v>
      </c>
      <c r="I1768" s="4"/>
      <c r="J1768" s="6">
        <v>0</v>
      </c>
      <c r="K1768" s="30" t="s">
        <v>3207</v>
      </c>
      <c r="L1768" s="4"/>
      <c r="M1768" s="3"/>
    </row>
    <row r="1769" spans="1:13" x14ac:dyDescent="0.3">
      <c r="A1769" s="3">
        <v>101</v>
      </c>
      <c r="B1769" s="3">
        <v>101</v>
      </c>
      <c r="C1769" s="4">
        <v>784.57449999999994</v>
      </c>
      <c r="D1769" s="4">
        <v>784.02800000000002</v>
      </c>
      <c r="E1769" s="4">
        <v>785.12099999999998</v>
      </c>
      <c r="F1769" s="4"/>
      <c r="G1769" s="4"/>
      <c r="H1769" s="28" t="s">
        <v>3347</v>
      </c>
      <c r="I1769" s="4"/>
      <c r="J1769" s="6">
        <v>0</v>
      </c>
      <c r="K1769" s="29" t="s">
        <v>3207</v>
      </c>
      <c r="L1769" s="4"/>
      <c r="M1769" s="3"/>
    </row>
    <row r="1770" spans="1:13" x14ac:dyDescent="0.3">
      <c r="A1770" s="3">
        <v>101</v>
      </c>
      <c r="B1770" s="3">
        <v>101</v>
      </c>
      <c r="C1770" s="4">
        <v>785.28150000000005</v>
      </c>
      <c r="D1770" s="4">
        <v>785.12099999999998</v>
      </c>
      <c r="E1770" s="4">
        <v>785.44200000000001</v>
      </c>
      <c r="F1770" s="4"/>
      <c r="G1770" s="4"/>
      <c r="H1770" s="27" t="s">
        <v>3348</v>
      </c>
      <c r="I1770" s="4"/>
      <c r="J1770" s="6">
        <v>0</v>
      </c>
      <c r="K1770" s="30" t="s">
        <v>3207</v>
      </c>
      <c r="L1770" s="4"/>
      <c r="M1770" s="3"/>
    </row>
    <row r="1771" spans="1:13" x14ac:dyDescent="0.3">
      <c r="A1771" s="3">
        <v>101</v>
      </c>
      <c r="B1771" s="3">
        <v>101</v>
      </c>
      <c r="C1771" s="4">
        <v>785.75750000000005</v>
      </c>
      <c r="D1771" s="4">
        <v>785.44200000000001</v>
      </c>
      <c r="E1771" s="4">
        <v>786.07299999999998</v>
      </c>
      <c r="F1771" s="4"/>
      <c r="G1771" s="4"/>
      <c r="H1771" s="28" t="s">
        <v>3349</v>
      </c>
      <c r="I1771" s="4"/>
      <c r="J1771" s="6">
        <v>0</v>
      </c>
      <c r="K1771" s="29" t="s">
        <v>3207</v>
      </c>
      <c r="L1771" s="4"/>
      <c r="M1771" s="3"/>
    </row>
    <row r="1772" spans="1:13" x14ac:dyDescent="0.3">
      <c r="A1772" s="3">
        <v>101</v>
      </c>
      <c r="B1772" s="3">
        <v>101</v>
      </c>
      <c r="C1772" s="4">
        <v>786.36599999999999</v>
      </c>
      <c r="D1772" s="4">
        <v>786.07299999999998</v>
      </c>
      <c r="E1772" s="4">
        <v>786.65899999999999</v>
      </c>
      <c r="F1772" s="4"/>
      <c r="G1772" s="4"/>
      <c r="H1772" s="27" t="s">
        <v>3350</v>
      </c>
      <c r="I1772" s="4"/>
      <c r="J1772" s="6">
        <v>0</v>
      </c>
      <c r="K1772" s="30" t="s">
        <v>3207</v>
      </c>
      <c r="L1772" s="4"/>
      <c r="M1772" s="3"/>
    </row>
    <row r="1773" spans="1:13" x14ac:dyDescent="0.3">
      <c r="A1773" s="3">
        <v>101</v>
      </c>
      <c r="B1773" s="3">
        <v>101</v>
      </c>
      <c r="C1773" s="4">
        <v>787.10749999999996</v>
      </c>
      <c r="D1773" s="4">
        <v>786.65899999999999</v>
      </c>
      <c r="E1773" s="4">
        <v>787.55600000000004</v>
      </c>
      <c r="F1773" s="4"/>
      <c r="G1773" s="4"/>
      <c r="H1773" s="28" t="s">
        <v>3351</v>
      </c>
      <c r="I1773" s="4"/>
      <c r="J1773" s="6">
        <v>0</v>
      </c>
      <c r="K1773" s="29" t="s">
        <v>3207</v>
      </c>
      <c r="L1773" s="4"/>
      <c r="M1773" s="3"/>
    </row>
    <row r="1774" spans="1:13" x14ac:dyDescent="0.3">
      <c r="A1774" s="3">
        <v>101</v>
      </c>
      <c r="B1774" s="3">
        <v>101</v>
      </c>
      <c r="C1774" s="4">
        <v>788.06949999999995</v>
      </c>
      <c r="D1774" s="4">
        <v>787.55600000000004</v>
      </c>
      <c r="E1774" s="4">
        <v>788.58299999999997</v>
      </c>
      <c r="F1774" s="4"/>
      <c r="G1774" s="4"/>
      <c r="H1774" s="27" t="s">
        <v>3352</v>
      </c>
      <c r="I1774" s="4"/>
      <c r="J1774" s="6">
        <v>0</v>
      </c>
      <c r="K1774" s="30" t="s">
        <v>3207</v>
      </c>
      <c r="L1774" s="4"/>
      <c r="M1774" s="3"/>
    </row>
    <row r="1775" spans="1:13" x14ac:dyDescent="0.3">
      <c r="A1775" s="3">
        <v>101</v>
      </c>
      <c r="B1775" s="3">
        <v>101</v>
      </c>
      <c r="C1775" s="4">
        <v>788.95299999999997</v>
      </c>
      <c r="D1775" s="4">
        <v>788.58299999999997</v>
      </c>
      <c r="E1775" s="4">
        <v>789.32299999999998</v>
      </c>
      <c r="F1775" s="4"/>
      <c r="G1775" s="4"/>
      <c r="H1775" s="28" t="s">
        <v>3353</v>
      </c>
      <c r="I1775" s="4"/>
      <c r="J1775" s="6">
        <v>0</v>
      </c>
      <c r="K1775" s="29" t="s">
        <v>3207</v>
      </c>
      <c r="L1775" s="4"/>
      <c r="M1775" s="3"/>
    </row>
    <row r="1776" spans="1:13" x14ac:dyDescent="0.3">
      <c r="A1776" s="3">
        <v>101</v>
      </c>
      <c r="B1776" s="3">
        <v>101</v>
      </c>
      <c r="C1776" s="4">
        <v>789.39800000000002</v>
      </c>
      <c r="D1776" s="4">
        <v>789.32299999999998</v>
      </c>
      <c r="E1776" s="4">
        <v>789.47299999999996</v>
      </c>
      <c r="F1776" s="4"/>
      <c r="G1776" s="4"/>
      <c r="H1776" s="27" t="s">
        <v>3354</v>
      </c>
      <c r="I1776" s="4"/>
      <c r="J1776" s="6">
        <v>0</v>
      </c>
      <c r="K1776" s="30" t="s">
        <v>3207</v>
      </c>
      <c r="L1776" s="4"/>
      <c r="M1776" s="3"/>
    </row>
    <row r="1777" spans="1:13" x14ac:dyDescent="0.3">
      <c r="A1777" s="3">
        <v>101</v>
      </c>
      <c r="B1777" s="3">
        <v>101</v>
      </c>
      <c r="C1777" s="4">
        <v>789.88599999999997</v>
      </c>
      <c r="D1777" s="4">
        <v>789.47299999999996</v>
      </c>
      <c r="E1777" s="4">
        <v>790.29899999999998</v>
      </c>
      <c r="F1777" s="4"/>
      <c r="G1777" s="4"/>
      <c r="H1777" s="28" t="s">
        <v>3355</v>
      </c>
      <c r="I1777" s="4"/>
      <c r="J1777" s="6">
        <v>0</v>
      </c>
      <c r="K1777" s="29" t="s">
        <v>3207</v>
      </c>
      <c r="L1777" s="4"/>
      <c r="M1777" s="3"/>
    </row>
    <row r="1778" spans="1:13" x14ac:dyDescent="0.3">
      <c r="A1778" s="3">
        <v>101</v>
      </c>
      <c r="B1778" s="3">
        <v>101</v>
      </c>
      <c r="C1778" s="4">
        <v>790.88750000000005</v>
      </c>
      <c r="D1778" s="4">
        <v>790.29899999999998</v>
      </c>
      <c r="E1778" s="4">
        <v>791.476</v>
      </c>
      <c r="F1778" s="4"/>
      <c r="G1778" s="4"/>
      <c r="H1778" s="27" t="s">
        <v>3356</v>
      </c>
      <c r="I1778" s="4"/>
      <c r="J1778" s="6">
        <v>0</v>
      </c>
      <c r="K1778" s="30" t="s">
        <v>3207</v>
      </c>
      <c r="L1778" s="4"/>
      <c r="M1778" s="3"/>
    </row>
    <row r="1779" spans="1:13" x14ac:dyDescent="0.3">
      <c r="A1779" s="3">
        <v>101</v>
      </c>
      <c r="B1779" s="3">
        <v>101</v>
      </c>
      <c r="C1779" s="4">
        <v>791.90499999999997</v>
      </c>
      <c r="D1779" s="4">
        <v>791.476</v>
      </c>
      <c r="E1779" s="4">
        <v>792.33399999999995</v>
      </c>
      <c r="F1779" s="4"/>
      <c r="G1779" s="4"/>
      <c r="H1779" s="28" t="s">
        <v>3357</v>
      </c>
      <c r="I1779" s="4"/>
      <c r="J1779" s="6">
        <v>0</v>
      </c>
      <c r="K1779" s="29" t="s">
        <v>3207</v>
      </c>
      <c r="L1779" s="4"/>
      <c r="M1779" s="3"/>
    </row>
    <row r="1780" spans="1:13" x14ac:dyDescent="0.3">
      <c r="A1780" s="3">
        <v>101</v>
      </c>
      <c r="B1780" s="3">
        <v>101</v>
      </c>
      <c r="C1780" s="4">
        <v>792.64149999999995</v>
      </c>
      <c r="D1780" s="4">
        <v>792.33399999999995</v>
      </c>
      <c r="E1780" s="4">
        <v>792.94899999999996</v>
      </c>
      <c r="F1780" s="4"/>
      <c r="G1780" s="4"/>
      <c r="H1780" s="27" t="s">
        <v>3358</v>
      </c>
      <c r="I1780" s="4"/>
      <c r="J1780" s="6">
        <v>0</v>
      </c>
      <c r="K1780" s="30" t="s">
        <v>3207</v>
      </c>
      <c r="L1780" s="4"/>
      <c r="M1780" s="3"/>
    </row>
    <row r="1781" spans="1:13" x14ac:dyDescent="0.3">
      <c r="A1781" s="3">
        <v>101</v>
      </c>
      <c r="B1781" s="3">
        <v>101</v>
      </c>
      <c r="C1781" s="4">
        <v>793.58100000000002</v>
      </c>
      <c r="D1781" s="4">
        <v>792.94899999999996</v>
      </c>
      <c r="E1781" s="4">
        <v>794.21299999999997</v>
      </c>
      <c r="F1781" s="4"/>
      <c r="G1781" s="4"/>
      <c r="H1781" s="28" t="s">
        <v>3359</v>
      </c>
      <c r="I1781" s="4"/>
      <c r="J1781" s="6">
        <v>0</v>
      </c>
      <c r="K1781" s="29" t="s">
        <v>3207</v>
      </c>
      <c r="L1781" s="4"/>
      <c r="M1781" s="3"/>
    </row>
    <row r="1782" spans="1:13" x14ac:dyDescent="0.3">
      <c r="A1782" s="3">
        <v>101</v>
      </c>
      <c r="B1782" s="3">
        <v>101</v>
      </c>
      <c r="C1782" s="4">
        <v>794.48299999999995</v>
      </c>
      <c r="D1782" s="4">
        <v>794.21299999999997</v>
      </c>
      <c r="E1782" s="4">
        <v>794.75300000000004</v>
      </c>
      <c r="F1782" s="4"/>
      <c r="G1782" s="4"/>
      <c r="H1782" s="27" t="s">
        <v>3360</v>
      </c>
      <c r="I1782" s="4"/>
      <c r="J1782" s="6">
        <v>0</v>
      </c>
      <c r="K1782" s="30" t="s">
        <v>3207</v>
      </c>
      <c r="L1782" s="4"/>
      <c r="M1782" s="3"/>
    </row>
    <row r="1783" spans="1:13" x14ac:dyDescent="0.3">
      <c r="A1783" s="3">
        <v>101</v>
      </c>
      <c r="B1783" s="3">
        <v>101</v>
      </c>
      <c r="C1783" s="4">
        <v>795.13499999999999</v>
      </c>
      <c r="D1783" s="4">
        <v>794.75300000000004</v>
      </c>
      <c r="E1783" s="4">
        <v>795.51700000000005</v>
      </c>
      <c r="F1783" s="4"/>
      <c r="G1783" s="4"/>
      <c r="H1783" s="28" t="s">
        <v>3361</v>
      </c>
      <c r="I1783" s="4"/>
      <c r="J1783" s="6">
        <v>0</v>
      </c>
      <c r="K1783" s="29" t="s">
        <v>3207</v>
      </c>
      <c r="L1783" s="4"/>
      <c r="M1783" s="3"/>
    </row>
    <row r="1784" spans="1:13" x14ac:dyDescent="0.3">
      <c r="A1784" s="3">
        <v>101</v>
      </c>
      <c r="B1784" s="3">
        <v>101</v>
      </c>
      <c r="C1784" s="4">
        <v>796.25750000000005</v>
      </c>
      <c r="D1784" s="4">
        <v>795.51700000000005</v>
      </c>
      <c r="E1784" s="4">
        <v>796.99800000000005</v>
      </c>
      <c r="F1784" s="4"/>
      <c r="G1784" s="4"/>
      <c r="H1784" s="27" t="s">
        <v>3362</v>
      </c>
      <c r="I1784" s="4"/>
      <c r="J1784" s="6">
        <v>0</v>
      </c>
      <c r="K1784" s="30" t="s">
        <v>3207</v>
      </c>
      <c r="L1784" s="4"/>
      <c r="M1784" s="3"/>
    </row>
    <row r="1785" spans="1:13" x14ac:dyDescent="0.3">
      <c r="A1785" s="3">
        <v>101</v>
      </c>
      <c r="B1785" s="3">
        <v>101</v>
      </c>
      <c r="C1785" s="4">
        <v>797.29549999999995</v>
      </c>
      <c r="D1785" s="4">
        <v>796.99800000000005</v>
      </c>
      <c r="E1785" s="4">
        <v>797.59299999999996</v>
      </c>
      <c r="F1785" s="4"/>
      <c r="G1785" s="4"/>
      <c r="H1785" s="28" t="s">
        <v>3363</v>
      </c>
      <c r="I1785" s="4"/>
      <c r="J1785" s="6">
        <v>0</v>
      </c>
      <c r="K1785" s="29" t="s">
        <v>3207</v>
      </c>
      <c r="L1785" s="4"/>
      <c r="M1785" s="3"/>
    </row>
    <row r="1786" spans="1:13" x14ac:dyDescent="0.3">
      <c r="A1786" s="3">
        <v>101</v>
      </c>
      <c r="B1786" s="3">
        <v>101</v>
      </c>
      <c r="C1786" s="4">
        <v>797.87800000000004</v>
      </c>
      <c r="D1786" s="4">
        <v>797.59299999999996</v>
      </c>
      <c r="E1786" s="4">
        <v>798.16300000000001</v>
      </c>
      <c r="F1786" s="4"/>
      <c r="G1786" s="4"/>
      <c r="H1786" s="27" t="s">
        <v>3364</v>
      </c>
      <c r="I1786" s="4"/>
      <c r="J1786" s="6">
        <v>0</v>
      </c>
      <c r="K1786" s="30" t="s">
        <v>3207</v>
      </c>
      <c r="L1786" s="4"/>
      <c r="M1786" s="3"/>
    </row>
    <row r="1787" spans="1:13" x14ac:dyDescent="0.3">
      <c r="A1787" s="3">
        <v>101</v>
      </c>
      <c r="B1787" s="3">
        <v>101</v>
      </c>
      <c r="C1787" s="4">
        <v>798.40200000000004</v>
      </c>
      <c r="D1787" s="4">
        <v>798.16300000000001</v>
      </c>
      <c r="E1787" s="4">
        <v>798.64099999999996</v>
      </c>
      <c r="F1787" s="4"/>
      <c r="G1787" s="4"/>
      <c r="H1787" s="28" t="s">
        <v>3365</v>
      </c>
      <c r="I1787" s="4"/>
      <c r="J1787" s="6">
        <v>0</v>
      </c>
      <c r="K1787" s="29" t="s">
        <v>3207</v>
      </c>
      <c r="L1787" s="4"/>
      <c r="M1787" s="3"/>
    </row>
    <row r="1788" spans="1:13" x14ac:dyDescent="0.3">
      <c r="A1788" s="3">
        <v>101</v>
      </c>
      <c r="B1788" s="3">
        <v>101</v>
      </c>
      <c r="C1788" s="4">
        <v>798.76149999999996</v>
      </c>
      <c r="D1788" s="4">
        <v>798.64099999999996</v>
      </c>
      <c r="E1788" s="4">
        <v>798.88199999999995</v>
      </c>
      <c r="F1788" s="4"/>
      <c r="G1788" s="4"/>
      <c r="H1788" s="27" t="s">
        <v>3366</v>
      </c>
      <c r="I1788" s="4"/>
      <c r="J1788" s="6">
        <v>0</v>
      </c>
      <c r="K1788" s="30" t="s">
        <v>3207</v>
      </c>
      <c r="L1788" s="4"/>
      <c r="M1788" s="3"/>
    </row>
    <row r="1789" spans="1:13" x14ac:dyDescent="0.3">
      <c r="A1789" s="3">
        <v>101</v>
      </c>
      <c r="B1789" s="3">
        <v>101</v>
      </c>
      <c r="C1789" s="4">
        <v>799.20550000000003</v>
      </c>
      <c r="D1789" s="4">
        <v>798.88199999999995</v>
      </c>
      <c r="E1789" s="4">
        <v>799.529</v>
      </c>
      <c r="F1789" s="4"/>
      <c r="G1789" s="4"/>
      <c r="H1789" s="28" t="s">
        <v>3367</v>
      </c>
      <c r="I1789" s="4"/>
      <c r="J1789" s="6">
        <v>0</v>
      </c>
      <c r="K1789" s="29" t="s">
        <v>3207</v>
      </c>
      <c r="L1789" s="4"/>
      <c r="M1789" s="3"/>
    </row>
    <row r="1790" spans="1:13" x14ac:dyDescent="0.3">
      <c r="A1790" s="3">
        <v>101</v>
      </c>
      <c r="B1790" s="3">
        <v>101</v>
      </c>
      <c r="C1790" s="4">
        <v>799.72749999999996</v>
      </c>
      <c r="D1790" s="4">
        <v>799.529</v>
      </c>
      <c r="E1790" s="4">
        <v>799.92600000000004</v>
      </c>
      <c r="F1790" s="4"/>
      <c r="G1790" s="4"/>
      <c r="H1790" s="27" t="s">
        <v>3368</v>
      </c>
      <c r="I1790" s="4"/>
      <c r="J1790" s="6">
        <v>0</v>
      </c>
      <c r="K1790" s="30" t="s">
        <v>3207</v>
      </c>
      <c r="L1790" s="4"/>
      <c r="M1790" s="3"/>
    </row>
    <row r="1791" spans="1:13" x14ac:dyDescent="0.3">
      <c r="A1791" s="3">
        <v>101</v>
      </c>
      <c r="B1791" s="3">
        <v>101</v>
      </c>
      <c r="C1791" s="4">
        <v>800.11149999999998</v>
      </c>
      <c r="D1791" s="4">
        <v>799.92600000000004</v>
      </c>
      <c r="E1791" s="4">
        <v>800.29700000000003</v>
      </c>
      <c r="F1791" s="4"/>
      <c r="G1791" s="4"/>
      <c r="H1791" s="28" t="s">
        <v>3369</v>
      </c>
      <c r="I1791" s="4"/>
      <c r="J1791" s="6">
        <v>0</v>
      </c>
      <c r="K1791" s="29" t="s">
        <v>3207</v>
      </c>
      <c r="L1791" s="4"/>
      <c r="M1791" s="3"/>
    </row>
    <row r="1792" spans="1:13" x14ac:dyDescent="0.3">
      <c r="A1792" s="3">
        <v>101</v>
      </c>
      <c r="B1792" s="3">
        <v>101</v>
      </c>
      <c r="C1792" s="4">
        <v>800.51199999999994</v>
      </c>
      <c r="D1792" s="4">
        <v>800.29700000000003</v>
      </c>
      <c r="E1792" s="4">
        <v>800.72699999999998</v>
      </c>
      <c r="F1792" s="4"/>
      <c r="G1792" s="4"/>
      <c r="H1792" s="27" t="s">
        <v>3370</v>
      </c>
      <c r="I1792" s="4"/>
      <c r="J1792" s="6">
        <v>0</v>
      </c>
      <c r="K1792" s="30" t="s">
        <v>3207</v>
      </c>
      <c r="L1792" s="4"/>
      <c r="M1792" s="3"/>
    </row>
    <row r="1793" spans="1:13" x14ac:dyDescent="0.3">
      <c r="A1793" s="3">
        <v>101</v>
      </c>
      <c r="B1793" s="3">
        <v>101</v>
      </c>
      <c r="C1793" s="4">
        <v>800.95050000000003</v>
      </c>
      <c r="D1793" s="4">
        <v>800.72699999999998</v>
      </c>
      <c r="E1793" s="4">
        <v>801.17399999999998</v>
      </c>
      <c r="F1793" s="4"/>
      <c r="G1793" s="4"/>
      <c r="H1793" s="28" t="s">
        <v>3371</v>
      </c>
      <c r="I1793" s="4"/>
      <c r="J1793" s="6">
        <v>0</v>
      </c>
      <c r="K1793" s="29" t="s">
        <v>3207</v>
      </c>
      <c r="L1793" s="4"/>
      <c r="M1793" s="3"/>
    </row>
    <row r="1794" spans="1:13" x14ac:dyDescent="0.3">
      <c r="A1794" s="3">
        <v>101</v>
      </c>
      <c r="B1794" s="3">
        <v>101</v>
      </c>
      <c r="C1794" s="4">
        <v>801.35299999999995</v>
      </c>
      <c r="D1794" s="4">
        <v>801.17399999999998</v>
      </c>
      <c r="E1794" s="4">
        <v>801.53200000000004</v>
      </c>
      <c r="F1794" s="4"/>
      <c r="G1794" s="4"/>
      <c r="H1794" s="27" t="s">
        <v>3372</v>
      </c>
      <c r="I1794" s="4"/>
      <c r="J1794" s="6">
        <v>0</v>
      </c>
      <c r="K1794" s="30" t="s">
        <v>3207</v>
      </c>
      <c r="L1794" s="4"/>
      <c r="M1794" s="3"/>
    </row>
    <row r="1795" spans="1:13" x14ac:dyDescent="0.3">
      <c r="A1795" s="3">
        <v>101</v>
      </c>
      <c r="B1795" s="3">
        <v>101</v>
      </c>
      <c r="C1795" s="4">
        <v>801.91049999999996</v>
      </c>
      <c r="D1795" s="4">
        <v>801.53200000000004</v>
      </c>
      <c r="E1795" s="4">
        <v>802.28899999999999</v>
      </c>
      <c r="F1795" s="4"/>
      <c r="G1795" s="4"/>
      <c r="H1795" s="28" t="s">
        <v>3373</v>
      </c>
      <c r="I1795" s="4"/>
      <c r="J1795" s="6">
        <v>0</v>
      </c>
      <c r="K1795" s="29" t="s">
        <v>3207</v>
      </c>
      <c r="L1795" s="4"/>
      <c r="M1795" s="3"/>
    </row>
    <row r="1796" spans="1:13" x14ac:dyDescent="0.3">
      <c r="A1796" s="3">
        <v>101</v>
      </c>
      <c r="B1796" s="3">
        <v>101</v>
      </c>
      <c r="C1796" s="4">
        <v>802.84649999999999</v>
      </c>
      <c r="D1796" s="4">
        <v>802.28899999999999</v>
      </c>
      <c r="E1796" s="4">
        <v>803.404</v>
      </c>
      <c r="F1796" s="4"/>
      <c r="G1796" s="4"/>
      <c r="H1796" s="27" t="s">
        <v>3374</v>
      </c>
      <c r="I1796" s="4"/>
      <c r="J1796" s="6">
        <v>0</v>
      </c>
      <c r="K1796" s="30" t="s">
        <v>3207</v>
      </c>
      <c r="L1796" s="4"/>
      <c r="M1796" s="3"/>
    </row>
    <row r="1797" spans="1:13" x14ac:dyDescent="0.3">
      <c r="A1797" s="3">
        <v>101</v>
      </c>
      <c r="B1797" s="3">
        <v>101</v>
      </c>
      <c r="C1797" s="4">
        <v>803.64</v>
      </c>
      <c r="D1797" s="4">
        <v>803.404</v>
      </c>
      <c r="E1797" s="4">
        <v>803.87599999999998</v>
      </c>
      <c r="F1797" s="4"/>
      <c r="G1797" s="4"/>
      <c r="H1797" s="28" t="s">
        <v>3375</v>
      </c>
      <c r="I1797" s="4"/>
      <c r="J1797" s="6">
        <v>0</v>
      </c>
      <c r="K1797" s="29" t="s">
        <v>3207</v>
      </c>
      <c r="L1797" s="4"/>
      <c r="M1797" s="3"/>
    </row>
    <row r="1798" spans="1:13" x14ac:dyDescent="0.3">
      <c r="A1798" s="3">
        <v>101</v>
      </c>
      <c r="B1798" s="3">
        <v>101</v>
      </c>
      <c r="C1798" s="4">
        <v>803.91250000000002</v>
      </c>
      <c r="D1798" s="4">
        <v>803.87599999999998</v>
      </c>
      <c r="E1798" s="4">
        <v>803.94899999999996</v>
      </c>
      <c r="F1798" s="4"/>
      <c r="G1798" s="4"/>
      <c r="H1798" s="27" t="s">
        <v>3376</v>
      </c>
      <c r="I1798" s="4"/>
      <c r="J1798" s="6">
        <v>0</v>
      </c>
      <c r="K1798" s="30" t="s">
        <v>3207</v>
      </c>
      <c r="L1798" s="4"/>
      <c r="M1798" s="3"/>
    </row>
    <row r="1799" spans="1:13" x14ac:dyDescent="0.3">
      <c r="A1799" s="3">
        <v>101</v>
      </c>
      <c r="B1799" s="3">
        <v>101</v>
      </c>
      <c r="C1799" s="4">
        <v>804.28300000000002</v>
      </c>
      <c r="D1799" s="4">
        <v>803.94899999999996</v>
      </c>
      <c r="E1799" s="4">
        <v>804.61699999999996</v>
      </c>
      <c r="F1799" s="4"/>
      <c r="G1799" s="4"/>
      <c r="H1799" s="28" t="s">
        <v>3377</v>
      </c>
      <c r="I1799" s="4"/>
      <c r="J1799" s="6">
        <v>0</v>
      </c>
      <c r="K1799" s="29" t="s">
        <v>3207</v>
      </c>
      <c r="L1799" s="4"/>
      <c r="M1799" s="3"/>
    </row>
    <row r="1800" spans="1:13" x14ac:dyDescent="0.3">
      <c r="A1800" s="3">
        <v>101</v>
      </c>
      <c r="B1800" s="3">
        <v>101</v>
      </c>
      <c r="C1800" s="4">
        <v>804.63400000000001</v>
      </c>
      <c r="D1800" s="4">
        <v>804.61699999999996</v>
      </c>
      <c r="E1800" s="4">
        <v>804.65099999999995</v>
      </c>
      <c r="F1800" s="4"/>
      <c r="G1800" s="4"/>
      <c r="H1800" s="27" t="s">
        <v>3378</v>
      </c>
      <c r="I1800" s="4"/>
      <c r="J1800" s="6">
        <v>0</v>
      </c>
      <c r="K1800" s="30" t="s">
        <v>3207</v>
      </c>
      <c r="L1800" s="4"/>
      <c r="M1800" s="3"/>
    </row>
    <row r="1801" spans="1:13" x14ac:dyDescent="0.3">
      <c r="A1801" s="3">
        <v>101</v>
      </c>
      <c r="B1801" s="3">
        <v>101</v>
      </c>
      <c r="C1801" s="4">
        <v>804.90750000000003</v>
      </c>
      <c r="D1801" s="4">
        <v>804.65099999999995</v>
      </c>
      <c r="E1801" s="4">
        <v>805.16399999999999</v>
      </c>
      <c r="F1801" s="4"/>
      <c r="G1801" s="4"/>
      <c r="H1801" s="28" t="s">
        <v>3379</v>
      </c>
      <c r="I1801" s="4"/>
      <c r="J1801" s="6">
        <v>0</v>
      </c>
      <c r="K1801" s="29" t="s">
        <v>3207</v>
      </c>
      <c r="L1801" s="4"/>
      <c r="M1801" s="3"/>
    </row>
    <row r="1802" spans="1:13" x14ac:dyDescent="0.3">
      <c r="A1802" s="3">
        <v>101</v>
      </c>
      <c r="B1802" s="3">
        <v>101</v>
      </c>
      <c r="C1802" s="4">
        <v>805.34249999999997</v>
      </c>
      <c r="D1802" s="4">
        <v>805.16399999999999</v>
      </c>
      <c r="E1802" s="4">
        <v>805.52099999999996</v>
      </c>
      <c r="F1802" s="4"/>
      <c r="G1802" s="4"/>
      <c r="H1802" s="27" t="s">
        <v>3380</v>
      </c>
      <c r="I1802" s="4"/>
      <c r="J1802" s="6">
        <v>0</v>
      </c>
      <c r="K1802" s="30" t="s">
        <v>3207</v>
      </c>
      <c r="L1802" s="4"/>
      <c r="M1802" s="3"/>
    </row>
    <row r="1803" spans="1:13" x14ac:dyDescent="0.3">
      <c r="A1803" s="3">
        <v>101</v>
      </c>
      <c r="B1803" s="3">
        <v>101</v>
      </c>
      <c r="C1803" s="4">
        <v>805.75750000000005</v>
      </c>
      <c r="D1803" s="4">
        <v>805.52099999999996</v>
      </c>
      <c r="E1803" s="4">
        <v>805.99400000000003</v>
      </c>
      <c r="F1803" s="4"/>
      <c r="G1803" s="4"/>
      <c r="H1803" s="28" t="s">
        <v>3381</v>
      </c>
      <c r="I1803" s="4"/>
      <c r="J1803" s="6">
        <v>0</v>
      </c>
      <c r="K1803" s="29" t="s">
        <v>3207</v>
      </c>
      <c r="L1803" s="4"/>
      <c r="M1803" s="3"/>
    </row>
    <row r="1804" spans="1:13" x14ac:dyDescent="0.3">
      <c r="A1804" s="3">
        <v>101</v>
      </c>
      <c r="B1804" s="3">
        <v>101</v>
      </c>
      <c r="C1804" s="4">
        <v>806.13099999999997</v>
      </c>
      <c r="D1804" s="4">
        <v>805.99400000000003</v>
      </c>
      <c r="E1804" s="4">
        <v>806.26800000000003</v>
      </c>
      <c r="F1804" s="4"/>
      <c r="G1804" s="4"/>
      <c r="H1804" s="27" t="s">
        <v>3382</v>
      </c>
      <c r="I1804" s="4"/>
      <c r="J1804" s="6">
        <v>0</v>
      </c>
      <c r="K1804" s="30" t="s">
        <v>3207</v>
      </c>
      <c r="L1804" s="4"/>
      <c r="M1804" s="3"/>
    </row>
    <row r="1805" spans="1:13" x14ac:dyDescent="0.3">
      <c r="A1805" s="3">
        <v>101</v>
      </c>
      <c r="B1805" s="3">
        <v>101</v>
      </c>
      <c r="C1805" s="4">
        <v>806.63549999999998</v>
      </c>
      <c r="D1805" s="4">
        <v>806.26800000000003</v>
      </c>
      <c r="E1805" s="4">
        <v>807.00300000000004</v>
      </c>
      <c r="F1805" s="4"/>
      <c r="G1805" s="4"/>
      <c r="H1805" s="28" t="s">
        <v>3383</v>
      </c>
      <c r="I1805" s="4"/>
      <c r="J1805" s="6">
        <v>0</v>
      </c>
      <c r="K1805" s="29" t="s">
        <v>3207</v>
      </c>
      <c r="L1805" s="4"/>
      <c r="M1805" s="3"/>
    </row>
    <row r="1806" spans="1:13" x14ac:dyDescent="0.3">
      <c r="A1806" s="3">
        <v>101</v>
      </c>
      <c r="B1806" s="3">
        <v>101</v>
      </c>
      <c r="C1806" s="4">
        <v>807.05200000000002</v>
      </c>
      <c r="D1806" s="4">
        <v>807.00300000000004</v>
      </c>
      <c r="E1806" s="4">
        <v>807.101</v>
      </c>
      <c r="F1806" s="4"/>
      <c r="G1806" s="4"/>
      <c r="H1806" s="27" t="s">
        <v>3384</v>
      </c>
      <c r="I1806" s="4"/>
      <c r="J1806" s="6">
        <v>0</v>
      </c>
      <c r="K1806" s="30" t="s">
        <v>3207</v>
      </c>
      <c r="L1806" s="4"/>
      <c r="M1806" s="3"/>
    </row>
    <row r="1807" spans="1:13" x14ac:dyDescent="0.3">
      <c r="A1807" s="3">
        <v>101</v>
      </c>
      <c r="B1807" s="3">
        <v>101</v>
      </c>
      <c r="C1807" s="4">
        <v>807.38549999999998</v>
      </c>
      <c r="D1807" s="4">
        <v>807.101</v>
      </c>
      <c r="E1807" s="4">
        <v>807.67</v>
      </c>
      <c r="F1807" s="4"/>
      <c r="G1807" s="4"/>
      <c r="H1807" s="28" t="s">
        <v>3385</v>
      </c>
      <c r="I1807" s="4"/>
      <c r="J1807" s="6">
        <v>0</v>
      </c>
      <c r="K1807" s="29" t="s">
        <v>3207</v>
      </c>
      <c r="L1807" s="4"/>
      <c r="M1807" s="3"/>
    </row>
    <row r="1808" spans="1:13" x14ac:dyDescent="0.3">
      <c r="A1808" s="3">
        <v>101</v>
      </c>
      <c r="B1808" s="3">
        <v>101</v>
      </c>
      <c r="C1808" s="4">
        <v>807.76750000000004</v>
      </c>
      <c r="D1808" s="4">
        <v>807.67</v>
      </c>
      <c r="E1808" s="4">
        <v>807.86500000000001</v>
      </c>
      <c r="F1808" s="4"/>
      <c r="G1808" s="4"/>
      <c r="H1808" s="27" t="s">
        <v>3386</v>
      </c>
      <c r="I1808" s="4"/>
      <c r="J1808" s="6">
        <v>0</v>
      </c>
      <c r="K1808" s="30" t="s">
        <v>3207</v>
      </c>
      <c r="L1808" s="4"/>
      <c r="M1808" s="3"/>
    </row>
    <row r="1809" spans="1:13" x14ac:dyDescent="0.3">
      <c r="A1809" s="3">
        <v>101</v>
      </c>
      <c r="B1809" s="3">
        <v>101</v>
      </c>
      <c r="C1809" s="4">
        <v>807.95550000000003</v>
      </c>
      <c r="D1809" s="4">
        <v>807.86500000000001</v>
      </c>
      <c r="E1809" s="4">
        <v>808.04600000000005</v>
      </c>
      <c r="F1809" s="4"/>
      <c r="G1809" s="4"/>
      <c r="H1809" s="28" t="s">
        <v>3387</v>
      </c>
      <c r="I1809" s="4"/>
      <c r="J1809" s="6">
        <v>0</v>
      </c>
      <c r="K1809" s="29" t="s">
        <v>3207</v>
      </c>
      <c r="L1809" s="4"/>
      <c r="M1809" s="3"/>
    </row>
    <row r="1810" spans="1:13" x14ac:dyDescent="0.3">
      <c r="A1810" s="3">
        <v>101</v>
      </c>
      <c r="B1810" s="3">
        <v>101</v>
      </c>
      <c r="C1810" s="4">
        <v>808.07950000000005</v>
      </c>
      <c r="D1810" s="4">
        <v>808.04600000000005</v>
      </c>
      <c r="E1810" s="4">
        <v>808.11300000000006</v>
      </c>
      <c r="F1810" s="4"/>
      <c r="G1810" s="4"/>
      <c r="H1810" s="27" t="s">
        <v>3388</v>
      </c>
      <c r="I1810" s="4"/>
      <c r="J1810" s="6">
        <v>0</v>
      </c>
      <c r="K1810" s="30" t="s">
        <v>3207</v>
      </c>
      <c r="L1810" s="4"/>
      <c r="M1810" s="3"/>
    </row>
    <row r="1811" spans="1:13" x14ac:dyDescent="0.3">
      <c r="A1811" s="3">
        <v>101</v>
      </c>
      <c r="B1811" s="3">
        <v>101</v>
      </c>
      <c r="C1811" s="4">
        <v>808.24549999999999</v>
      </c>
      <c r="D1811" s="4">
        <v>808.11300000000006</v>
      </c>
      <c r="E1811" s="4">
        <v>808.37800000000004</v>
      </c>
      <c r="F1811" s="4"/>
      <c r="G1811" s="4"/>
      <c r="H1811" s="28" t="s">
        <v>3389</v>
      </c>
      <c r="I1811" s="4"/>
      <c r="J1811" s="6">
        <v>0</v>
      </c>
      <c r="K1811" s="29" t="s">
        <v>3207</v>
      </c>
      <c r="L1811" s="4"/>
      <c r="M1811" s="3"/>
    </row>
    <row r="1812" spans="1:13" x14ac:dyDescent="0.3">
      <c r="A1812" s="3">
        <v>101</v>
      </c>
      <c r="B1812" s="3">
        <v>101</v>
      </c>
      <c r="C1812" s="4">
        <v>808.42049999999995</v>
      </c>
      <c r="D1812" s="4">
        <v>808.37800000000004</v>
      </c>
      <c r="E1812" s="4">
        <v>808.46299999999997</v>
      </c>
      <c r="F1812" s="4"/>
      <c r="G1812" s="4"/>
      <c r="H1812" s="27" t="s">
        <v>3390</v>
      </c>
      <c r="I1812" s="4"/>
      <c r="J1812" s="6">
        <v>0</v>
      </c>
      <c r="K1812" s="30" t="s">
        <v>3207</v>
      </c>
      <c r="L1812" s="4"/>
      <c r="M1812" s="3"/>
    </row>
    <row r="1813" spans="1:13" x14ac:dyDescent="0.3">
      <c r="A1813" s="3">
        <v>101</v>
      </c>
      <c r="B1813" s="3">
        <v>101</v>
      </c>
      <c r="C1813" s="4">
        <v>808.87750000000005</v>
      </c>
      <c r="D1813" s="4">
        <v>808.46299999999997</v>
      </c>
      <c r="E1813" s="4">
        <v>809.29200000000003</v>
      </c>
      <c r="F1813" s="4"/>
      <c r="G1813" s="4"/>
      <c r="H1813" s="28" t="s">
        <v>3391</v>
      </c>
      <c r="I1813" s="4"/>
      <c r="J1813" s="6">
        <v>0</v>
      </c>
      <c r="K1813" s="29" t="s">
        <v>3207</v>
      </c>
      <c r="L1813" s="4"/>
      <c r="M1813" s="3"/>
    </row>
    <row r="1814" spans="1:13" x14ac:dyDescent="0.3">
      <c r="A1814" s="3">
        <v>101</v>
      </c>
      <c r="B1814" s="3">
        <v>101</v>
      </c>
      <c r="C1814" s="4">
        <v>809.32349999999997</v>
      </c>
      <c r="D1814" s="4">
        <v>809.29200000000003</v>
      </c>
      <c r="E1814" s="4">
        <v>809.35500000000002</v>
      </c>
      <c r="F1814" s="4"/>
      <c r="G1814" s="4"/>
      <c r="H1814" s="27" t="s">
        <v>3392</v>
      </c>
      <c r="I1814" s="4"/>
      <c r="J1814" s="6">
        <v>0</v>
      </c>
      <c r="K1814" s="30" t="s">
        <v>3207</v>
      </c>
      <c r="L1814" s="4"/>
      <c r="M1814" s="3"/>
    </row>
    <row r="1815" spans="1:13" x14ac:dyDescent="0.3">
      <c r="A1815" s="3">
        <v>101</v>
      </c>
      <c r="B1815" s="3">
        <v>101</v>
      </c>
      <c r="C1815" s="4">
        <v>809.62699999999995</v>
      </c>
      <c r="D1815" s="4">
        <v>809.35500000000002</v>
      </c>
      <c r="E1815" s="4">
        <v>809.899</v>
      </c>
      <c r="F1815" s="4"/>
      <c r="G1815" s="4"/>
      <c r="H1815" s="28" t="s">
        <v>3393</v>
      </c>
      <c r="I1815" s="4"/>
      <c r="J1815" s="6">
        <v>0</v>
      </c>
      <c r="K1815" s="29" t="s">
        <v>3207</v>
      </c>
      <c r="L1815" s="4"/>
      <c r="M1815" s="3"/>
    </row>
    <row r="1816" spans="1:13" x14ac:dyDescent="0.3">
      <c r="A1816" s="3">
        <v>101</v>
      </c>
      <c r="B1816" s="3">
        <v>101</v>
      </c>
      <c r="C1816" s="4">
        <v>810.005</v>
      </c>
      <c r="D1816" s="4">
        <v>809.899</v>
      </c>
      <c r="E1816" s="4">
        <v>810.11099999999999</v>
      </c>
      <c r="F1816" s="4"/>
      <c r="G1816" s="4"/>
      <c r="H1816" s="27" t="s">
        <v>3394</v>
      </c>
      <c r="I1816" s="4"/>
      <c r="J1816" s="6">
        <v>0</v>
      </c>
      <c r="K1816" s="30" t="s">
        <v>3207</v>
      </c>
      <c r="L1816" s="4"/>
      <c r="M1816" s="3"/>
    </row>
    <row r="1817" spans="1:13" x14ac:dyDescent="0.3">
      <c r="A1817" s="3">
        <v>101</v>
      </c>
      <c r="B1817" s="3">
        <v>101</v>
      </c>
      <c r="C1817" s="4">
        <v>810.27850000000001</v>
      </c>
      <c r="D1817" s="4">
        <v>810.11099999999999</v>
      </c>
      <c r="E1817" s="4">
        <v>810.44600000000003</v>
      </c>
      <c r="F1817" s="4"/>
      <c r="G1817" s="4"/>
      <c r="H1817" s="28" t="s">
        <v>3395</v>
      </c>
      <c r="I1817" s="4"/>
      <c r="J1817" s="6">
        <v>0</v>
      </c>
      <c r="K1817" s="29" t="s">
        <v>3207</v>
      </c>
      <c r="L1817" s="4"/>
      <c r="M1817" s="3"/>
    </row>
    <row r="1818" spans="1:13" x14ac:dyDescent="0.3">
      <c r="A1818" s="3">
        <v>101</v>
      </c>
      <c r="B1818" s="3">
        <v>101</v>
      </c>
      <c r="C1818" s="4">
        <v>810.53099999999995</v>
      </c>
      <c r="D1818" s="4">
        <v>810.44600000000003</v>
      </c>
      <c r="E1818" s="4">
        <v>810.61599999999999</v>
      </c>
      <c r="F1818" s="4"/>
      <c r="G1818" s="4"/>
      <c r="H1818" s="27" t="s">
        <v>3396</v>
      </c>
      <c r="I1818" s="4"/>
      <c r="J1818" s="6">
        <v>0</v>
      </c>
      <c r="K1818" s="30" t="s">
        <v>3207</v>
      </c>
      <c r="L1818" s="4"/>
      <c r="M1818" s="3"/>
    </row>
    <row r="1819" spans="1:13" x14ac:dyDescent="0.3">
      <c r="A1819" s="3">
        <v>101</v>
      </c>
      <c r="B1819" s="3">
        <v>101</v>
      </c>
      <c r="C1819" s="4">
        <v>810.88649999999996</v>
      </c>
      <c r="D1819" s="4">
        <v>810.61599999999999</v>
      </c>
      <c r="E1819" s="4">
        <v>811.15700000000004</v>
      </c>
      <c r="F1819" s="4"/>
      <c r="G1819" s="4"/>
      <c r="H1819" s="28" t="s">
        <v>3397</v>
      </c>
      <c r="I1819" s="4"/>
      <c r="J1819" s="6">
        <v>0</v>
      </c>
      <c r="K1819" s="29" t="s">
        <v>3207</v>
      </c>
      <c r="L1819" s="4"/>
      <c r="M1819" s="3"/>
    </row>
    <row r="1820" spans="1:13" x14ac:dyDescent="0.3">
      <c r="A1820" s="3">
        <v>101</v>
      </c>
      <c r="B1820" s="3">
        <v>101</v>
      </c>
      <c r="C1820" s="4">
        <v>811.20399999999995</v>
      </c>
      <c r="D1820" s="4">
        <v>811.15700000000004</v>
      </c>
      <c r="E1820" s="4">
        <v>811.25099999999998</v>
      </c>
      <c r="F1820" s="4"/>
      <c r="G1820" s="4"/>
      <c r="H1820" s="27" t="s">
        <v>3398</v>
      </c>
      <c r="I1820" s="4"/>
      <c r="J1820" s="6">
        <v>0</v>
      </c>
      <c r="K1820" s="30" t="s">
        <v>3207</v>
      </c>
      <c r="L1820" s="4"/>
      <c r="M1820" s="3"/>
    </row>
    <row r="1821" spans="1:13" x14ac:dyDescent="0.3">
      <c r="A1821" s="3">
        <v>101</v>
      </c>
      <c r="B1821" s="3">
        <v>101</v>
      </c>
      <c r="C1821" s="4">
        <v>811.49300000000005</v>
      </c>
      <c r="D1821" s="4">
        <v>811.25099999999998</v>
      </c>
      <c r="E1821" s="4">
        <v>811.73500000000001</v>
      </c>
      <c r="F1821" s="4"/>
      <c r="G1821" s="4"/>
      <c r="H1821" s="28" t="s">
        <v>3399</v>
      </c>
      <c r="I1821" s="4"/>
      <c r="J1821" s="6">
        <v>0</v>
      </c>
      <c r="K1821" s="29" t="s">
        <v>3207</v>
      </c>
      <c r="L1821" s="4"/>
      <c r="M1821" s="3"/>
    </row>
    <row r="1822" spans="1:13" x14ac:dyDescent="0.3">
      <c r="A1822" s="3">
        <v>101</v>
      </c>
      <c r="B1822" s="3">
        <v>101</v>
      </c>
      <c r="C1822" s="4">
        <v>811.86950000000002</v>
      </c>
      <c r="D1822" s="4">
        <v>811.73500000000001</v>
      </c>
      <c r="E1822" s="4">
        <v>812.00400000000002</v>
      </c>
      <c r="F1822" s="4"/>
      <c r="G1822" s="4"/>
      <c r="H1822" s="27" t="s">
        <v>3400</v>
      </c>
      <c r="I1822" s="4"/>
      <c r="J1822" s="6">
        <v>0</v>
      </c>
      <c r="K1822" s="30" t="s">
        <v>3207</v>
      </c>
      <c r="L1822" s="4"/>
      <c r="M1822" s="3"/>
    </row>
    <row r="1823" spans="1:13" x14ac:dyDescent="0.3">
      <c r="A1823" s="3">
        <v>101</v>
      </c>
      <c r="B1823" s="3">
        <v>101</v>
      </c>
      <c r="C1823" s="4">
        <v>812.18949999999995</v>
      </c>
      <c r="D1823" s="4">
        <v>812.00400000000002</v>
      </c>
      <c r="E1823" s="4">
        <v>812.375</v>
      </c>
      <c r="F1823" s="4"/>
      <c r="G1823" s="4"/>
      <c r="H1823" s="28" t="s">
        <v>3401</v>
      </c>
      <c r="I1823" s="4"/>
      <c r="J1823" s="6">
        <v>0</v>
      </c>
      <c r="K1823" s="29" t="s">
        <v>3207</v>
      </c>
      <c r="L1823" s="4"/>
      <c r="M1823" s="3"/>
    </row>
    <row r="1824" spans="1:13" x14ac:dyDescent="0.3">
      <c r="A1824" s="3">
        <v>101</v>
      </c>
      <c r="B1824" s="3">
        <v>101</v>
      </c>
      <c r="C1824" s="4">
        <v>812.39200000000005</v>
      </c>
      <c r="D1824" s="4">
        <v>812.375</v>
      </c>
      <c r="E1824" s="4">
        <v>812.40899999999999</v>
      </c>
      <c r="F1824" s="4"/>
      <c r="G1824" s="4"/>
      <c r="H1824" s="27" t="s">
        <v>3402</v>
      </c>
      <c r="I1824" s="4"/>
      <c r="J1824" s="6">
        <v>0</v>
      </c>
      <c r="K1824" s="30" t="s">
        <v>3207</v>
      </c>
      <c r="L1824" s="4"/>
      <c r="M1824" s="3"/>
    </row>
    <row r="1825" spans="1:13" x14ac:dyDescent="0.3">
      <c r="A1825" s="3">
        <v>101</v>
      </c>
      <c r="B1825" s="3">
        <v>101</v>
      </c>
      <c r="C1825" s="4">
        <v>812.6925</v>
      </c>
      <c r="D1825" s="4">
        <v>812.40899999999999</v>
      </c>
      <c r="E1825" s="4">
        <v>812.976</v>
      </c>
      <c r="F1825" s="4"/>
      <c r="G1825" s="4"/>
      <c r="H1825" s="28" t="s">
        <v>3403</v>
      </c>
      <c r="I1825" s="4"/>
      <c r="J1825" s="6">
        <v>0</v>
      </c>
      <c r="K1825" s="29" t="s">
        <v>3207</v>
      </c>
      <c r="L1825" s="4"/>
      <c r="M1825" s="3"/>
    </row>
    <row r="1826" spans="1:13" x14ac:dyDescent="0.3">
      <c r="A1826" s="3">
        <v>101</v>
      </c>
      <c r="B1826" s="3">
        <v>101</v>
      </c>
      <c r="C1826" s="4">
        <v>813.16549999999995</v>
      </c>
      <c r="D1826" s="4">
        <v>812.976</v>
      </c>
      <c r="E1826" s="4">
        <v>813.35500000000002</v>
      </c>
      <c r="F1826" s="4"/>
      <c r="G1826" s="4"/>
      <c r="H1826" s="27" t="s">
        <v>3404</v>
      </c>
      <c r="I1826" s="4"/>
      <c r="J1826" s="6">
        <v>0</v>
      </c>
      <c r="K1826" s="30" t="s">
        <v>3207</v>
      </c>
      <c r="L1826" s="4"/>
      <c r="M1826" s="3"/>
    </row>
    <row r="1827" spans="1:13" x14ac:dyDescent="0.3">
      <c r="A1827" s="3">
        <v>101</v>
      </c>
      <c r="B1827" s="3">
        <v>101</v>
      </c>
      <c r="C1827" s="4">
        <v>813.67349999999999</v>
      </c>
      <c r="D1827" s="4">
        <v>813.35500000000002</v>
      </c>
      <c r="E1827" s="4">
        <v>813.99199999999996</v>
      </c>
      <c r="F1827" s="4"/>
      <c r="G1827" s="4"/>
      <c r="H1827" s="28" t="s">
        <v>3405</v>
      </c>
      <c r="I1827" s="4"/>
      <c r="J1827" s="6">
        <v>0</v>
      </c>
      <c r="K1827" s="29" t="s">
        <v>3207</v>
      </c>
      <c r="L1827" s="4"/>
      <c r="M1827" s="3"/>
    </row>
    <row r="1828" spans="1:13" x14ac:dyDescent="0.3">
      <c r="A1828" s="3">
        <v>101</v>
      </c>
      <c r="B1828" s="3">
        <v>101</v>
      </c>
      <c r="C1828" s="4">
        <v>814.0865</v>
      </c>
      <c r="D1828" s="4">
        <v>813.99199999999996</v>
      </c>
      <c r="E1828" s="4">
        <v>814.18100000000004</v>
      </c>
      <c r="F1828" s="4"/>
      <c r="G1828" s="4"/>
      <c r="H1828" s="27" t="s">
        <v>3406</v>
      </c>
      <c r="I1828" s="4"/>
      <c r="J1828" s="6">
        <v>0</v>
      </c>
      <c r="K1828" s="30" t="s">
        <v>3207</v>
      </c>
      <c r="L1828" s="4"/>
      <c r="M1828" s="3"/>
    </row>
    <row r="1829" spans="1:13" x14ac:dyDescent="0.3">
      <c r="A1829" s="3">
        <v>101</v>
      </c>
      <c r="B1829" s="3">
        <v>101</v>
      </c>
      <c r="C1829" s="4">
        <v>814.48249999999996</v>
      </c>
      <c r="D1829" s="4">
        <v>814.18100000000004</v>
      </c>
      <c r="E1829" s="4">
        <v>814.78399999999999</v>
      </c>
      <c r="F1829" s="4"/>
      <c r="G1829" s="4"/>
      <c r="H1829" s="28" t="s">
        <v>3407</v>
      </c>
      <c r="I1829" s="4"/>
      <c r="J1829" s="6">
        <v>0</v>
      </c>
      <c r="K1829" s="29" t="s">
        <v>3207</v>
      </c>
      <c r="L1829" s="4"/>
      <c r="M1829" s="3"/>
    </row>
    <row r="1830" spans="1:13" x14ac:dyDescent="0.3">
      <c r="A1830" s="3">
        <v>101</v>
      </c>
      <c r="B1830" s="3">
        <v>101</v>
      </c>
      <c r="C1830" s="4">
        <v>815.07</v>
      </c>
      <c r="D1830" s="4">
        <v>814.78399999999999</v>
      </c>
      <c r="E1830" s="4">
        <v>815.35599999999999</v>
      </c>
      <c r="F1830" s="4"/>
      <c r="G1830" s="4"/>
      <c r="H1830" s="27" t="s">
        <v>3408</v>
      </c>
      <c r="I1830" s="4"/>
      <c r="J1830" s="6">
        <v>0</v>
      </c>
      <c r="K1830" s="30" t="s">
        <v>3207</v>
      </c>
      <c r="L1830" s="4"/>
      <c r="M1830" s="3"/>
    </row>
    <row r="1831" spans="1:13" x14ac:dyDescent="0.3">
      <c r="A1831" s="3">
        <v>101</v>
      </c>
      <c r="B1831" s="3">
        <v>101</v>
      </c>
      <c r="C1831" s="4">
        <v>815.56449999999995</v>
      </c>
      <c r="D1831" s="4">
        <v>815.35599999999999</v>
      </c>
      <c r="E1831" s="4">
        <v>815.77300000000002</v>
      </c>
      <c r="F1831" s="4"/>
      <c r="G1831" s="4"/>
      <c r="H1831" s="28" t="s">
        <v>3409</v>
      </c>
      <c r="I1831" s="4"/>
      <c r="J1831" s="6">
        <v>0</v>
      </c>
      <c r="K1831" s="29" t="s">
        <v>3207</v>
      </c>
      <c r="L1831" s="4"/>
      <c r="M1831" s="3"/>
    </row>
    <row r="1832" spans="1:13" x14ac:dyDescent="0.3">
      <c r="A1832" s="3">
        <v>101</v>
      </c>
      <c r="B1832" s="3">
        <v>101</v>
      </c>
      <c r="C1832" s="4">
        <v>815.90350000000001</v>
      </c>
      <c r="D1832" s="4">
        <v>815.77300000000002</v>
      </c>
      <c r="E1832" s="4">
        <v>816.03399999999999</v>
      </c>
      <c r="F1832" s="4"/>
      <c r="G1832" s="4"/>
      <c r="H1832" s="27" t="s">
        <v>3410</v>
      </c>
      <c r="I1832" s="4"/>
      <c r="J1832" s="6">
        <v>0</v>
      </c>
      <c r="K1832" s="30" t="s">
        <v>3207</v>
      </c>
      <c r="L1832" s="4"/>
      <c r="M1832" s="3"/>
    </row>
    <row r="1833" spans="1:13" x14ac:dyDescent="0.3">
      <c r="A1833" s="3">
        <v>101</v>
      </c>
      <c r="B1833" s="3">
        <v>101</v>
      </c>
      <c r="C1833" s="4">
        <v>816.20299999999997</v>
      </c>
      <c r="D1833" s="4">
        <v>816.03399999999999</v>
      </c>
      <c r="E1833" s="4">
        <v>816.37199999999996</v>
      </c>
      <c r="F1833" s="4"/>
      <c r="G1833" s="4"/>
      <c r="H1833" s="28" t="s">
        <v>3411</v>
      </c>
      <c r="I1833" s="4"/>
      <c r="J1833" s="6">
        <v>0</v>
      </c>
      <c r="K1833" s="29" t="s">
        <v>3207</v>
      </c>
      <c r="L1833" s="4"/>
      <c r="M1833" s="3"/>
    </row>
    <row r="1834" spans="1:13" x14ac:dyDescent="0.3">
      <c r="A1834" s="3">
        <v>101</v>
      </c>
      <c r="B1834" s="3">
        <v>101</v>
      </c>
      <c r="C1834" s="4">
        <v>816.41849999999999</v>
      </c>
      <c r="D1834" s="4">
        <v>816.37199999999996</v>
      </c>
      <c r="E1834" s="4">
        <v>816.46500000000003</v>
      </c>
      <c r="F1834" s="4"/>
      <c r="G1834" s="4"/>
      <c r="H1834" s="27" t="s">
        <v>3412</v>
      </c>
      <c r="I1834" s="4"/>
      <c r="J1834" s="6">
        <v>0</v>
      </c>
      <c r="K1834" s="30" t="s">
        <v>3207</v>
      </c>
      <c r="L1834" s="4"/>
      <c r="M1834" s="3"/>
    </row>
    <row r="1835" spans="1:13" x14ac:dyDescent="0.3">
      <c r="A1835" s="3">
        <v>101</v>
      </c>
      <c r="B1835" s="3">
        <v>101</v>
      </c>
      <c r="C1835" s="4">
        <v>816.70100000000002</v>
      </c>
      <c r="D1835" s="4">
        <v>816.46500000000003</v>
      </c>
      <c r="E1835" s="4">
        <v>816.93700000000001</v>
      </c>
      <c r="F1835" s="4"/>
      <c r="G1835" s="4"/>
      <c r="H1835" s="28" t="s">
        <v>3413</v>
      </c>
      <c r="I1835" s="4"/>
      <c r="J1835" s="6">
        <v>0</v>
      </c>
      <c r="K1835" s="29" t="s">
        <v>3207</v>
      </c>
      <c r="L1835" s="4"/>
      <c r="M1835" s="3"/>
    </row>
    <row r="1836" spans="1:13" x14ac:dyDescent="0.3">
      <c r="A1836" s="3">
        <v>101</v>
      </c>
      <c r="B1836" s="3">
        <v>101</v>
      </c>
      <c r="C1836" s="4">
        <v>817.154</v>
      </c>
      <c r="D1836" s="4">
        <v>816.93700000000001</v>
      </c>
      <c r="E1836" s="4">
        <v>817.37099999999998</v>
      </c>
      <c r="F1836" s="4"/>
      <c r="G1836" s="4"/>
      <c r="H1836" s="27" t="s">
        <v>3414</v>
      </c>
      <c r="I1836" s="4"/>
      <c r="J1836" s="6">
        <v>0</v>
      </c>
      <c r="K1836" s="30" t="s">
        <v>3207</v>
      </c>
      <c r="L1836" s="4"/>
      <c r="M1836" s="3"/>
    </row>
    <row r="1837" spans="1:13" x14ac:dyDescent="0.3">
      <c r="A1837" s="3">
        <v>101</v>
      </c>
      <c r="B1837" s="3">
        <v>101</v>
      </c>
      <c r="C1837" s="4">
        <v>817.83</v>
      </c>
      <c r="D1837" s="4">
        <v>817.37099999999998</v>
      </c>
      <c r="E1837" s="4">
        <v>818.28899999999999</v>
      </c>
      <c r="F1837" s="4"/>
      <c r="G1837" s="4"/>
      <c r="H1837" s="28" t="s">
        <v>3415</v>
      </c>
      <c r="I1837" s="4"/>
      <c r="J1837" s="6">
        <v>0</v>
      </c>
      <c r="K1837" s="29" t="s">
        <v>3207</v>
      </c>
      <c r="L1837" s="4"/>
      <c r="M1837" s="3"/>
    </row>
    <row r="1838" spans="1:13" x14ac:dyDescent="0.3">
      <c r="A1838" s="3">
        <v>101</v>
      </c>
      <c r="B1838" s="3">
        <v>101</v>
      </c>
      <c r="C1838" s="4">
        <v>818.39549999999997</v>
      </c>
      <c r="D1838" s="4">
        <v>818.28899999999999</v>
      </c>
      <c r="E1838" s="4">
        <v>818.50199999999995</v>
      </c>
      <c r="F1838" s="4"/>
      <c r="G1838" s="4"/>
      <c r="H1838" s="27" t="s">
        <v>3416</v>
      </c>
      <c r="I1838" s="4"/>
      <c r="J1838" s="6">
        <v>0</v>
      </c>
      <c r="K1838" s="30" t="s">
        <v>3207</v>
      </c>
      <c r="L1838" s="4"/>
      <c r="M1838" s="3"/>
    </row>
    <row r="1839" spans="1:13" x14ac:dyDescent="0.3">
      <c r="A1839" s="3">
        <v>101</v>
      </c>
      <c r="B1839" s="3">
        <v>101</v>
      </c>
      <c r="C1839" s="4">
        <v>818.66150000000005</v>
      </c>
      <c r="D1839" s="4">
        <v>818.50199999999995</v>
      </c>
      <c r="E1839" s="4">
        <v>818.82100000000003</v>
      </c>
      <c r="F1839" s="4"/>
      <c r="G1839" s="4"/>
      <c r="H1839" s="28" t="s">
        <v>3417</v>
      </c>
      <c r="I1839" s="4"/>
      <c r="J1839" s="6">
        <v>0</v>
      </c>
      <c r="K1839" s="29" t="s">
        <v>3207</v>
      </c>
      <c r="L1839" s="4"/>
      <c r="M1839" s="3"/>
    </row>
    <row r="1840" spans="1:13" x14ac:dyDescent="0.3">
      <c r="A1840" s="3">
        <v>101</v>
      </c>
      <c r="B1840" s="3">
        <v>101</v>
      </c>
      <c r="C1840" s="4">
        <v>819.053</v>
      </c>
      <c r="D1840" s="4">
        <v>818.82100000000003</v>
      </c>
      <c r="E1840" s="4">
        <v>819.28499999999997</v>
      </c>
      <c r="F1840" s="4"/>
      <c r="G1840" s="4"/>
      <c r="H1840" s="27" t="s">
        <v>3418</v>
      </c>
      <c r="I1840" s="4"/>
      <c r="J1840" s="6">
        <v>0</v>
      </c>
      <c r="K1840" s="30" t="s">
        <v>3207</v>
      </c>
      <c r="L1840" s="4"/>
      <c r="M1840" s="3"/>
    </row>
    <row r="1841" spans="1:13" x14ac:dyDescent="0.3">
      <c r="A1841" s="3">
        <v>101</v>
      </c>
      <c r="B1841" s="3">
        <v>101</v>
      </c>
      <c r="C1841" s="4">
        <v>819.66800000000001</v>
      </c>
      <c r="D1841" s="4">
        <v>819.28499999999997</v>
      </c>
      <c r="E1841" s="4">
        <v>820.05100000000004</v>
      </c>
      <c r="F1841" s="4"/>
      <c r="G1841" s="4"/>
      <c r="H1841" s="28" t="s">
        <v>3419</v>
      </c>
      <c r="I1841" s="4"/>
      <c r="J1841" s="6">
        <v>0</v>
      </c>
      <c r="K1841" s="29" t="s">
        <v>3207</v>
      </c>
      <c r="L1841" s="4"/>
      <c r="M1841" s="3"/>
    </row>
    <row r="1842" spans="1:13" x14ac:dyDescent="0.3">
      <c r="A1842" s="3">
        <v>101</v>
      </c>
      <c r="B1842" s="3">
        <v>101</v>
      </c>
      <c r="C1842" s="4">
        <v>820.22799999999995</v>
      </c>
      <c r="D1842" s="4">
        <v>820.05100000000004</v>
      </c>
      <c r="E1842" s="4">
        <v>820.40499999999997</v>
      </c>
      <c r="F1842" s="4"/>
      <c r="G1842" s="4"/>
      <c r="H1842" s="27" t="s">
        <v>3420</v>
      </c>
      <c r="I1842" s="4"/>
      <c r="J1842" s="6">
        <v>0</v>
      </c>
      <c r="K1842" s="30" t="s">
        <v>3207</v>
      </c>
      <c r="L1842" s="4"/>
      <c r="M1842" s="3"/>
    </row>
    <row r="1843" spans="1:13" x14ac:dyDescent="0.3">
      <c r="A1843" s="3">
        <v>101</v>
      </c>
      <c r="B1843" s="3">
        <v>101</v>
      </c>
      <c r="C1843" s="4">
        <v>820.71349999999995</v>
      </c>
      <c r="D1843" s="4">
        <v>820.40499999999997</v>
      </c>
      <c r="E1843" s="4">
        <v>821.02200000000005</v>
      </c>
      <c r="F1843" s="4"/>
      <c r="G1843" s="4"/>
      <c r="H1843" s="28" t="s">
        <v>3421</v>
      </c>
      <c r="I1843" s="4"/>
      <c r="J1843" s="6">
        <v>0</v>
      </c>
      <c r="K1843" s="29" t="s">
        <v>3207</v>
      </c>
      <c r="L1843" s="4"/>
      <c r="M1843" s="3"/>
    </row>
    <row r="1844" spans="1:13" x14ac:dyDescent="0.3">
      <c r="A1844" s="3">
        <v>101</v>
      </c>
      <c r="B1844" s="3">
        <v>101</v>
      </c>
      <c r="C1844" s="4">
        <v>821.125</v>
      </c>
      <c r="D1844" s="4">
        <v>821.02200000000005</v>
      </c>
      <c r="E1844" s="4">
        <v>821.22799999999995</v>
      </c>
      <c r="F1844" s="4"/>
      <c r="G1844" s="4"/>
      <c r="H1844" s="27" t="s">
        <v>3422</v>
      </c>
      <c r="I1844" s="4"/>
      <c r="J1844" s="6">
        <v>0</v>
      </c>
      <c r="K1844" s="30" t="s">
        <v>3207</v>
      </c>
      <c r="L1844" s="4"/>
      <c r="M1844" s="3"/>
    </row>
    <row r="1845" spans="1:13" x14ac:dyDescent="0.3">
      <c r="A1845" s="3">
        <v>101</v>
      </c>
      <c r="B1845" s="3">
        <v>101</v>
      </c>
      <c r="C1845" s="4">
        <v>821.52599999999995</v>
      </c>
      <c r="D1845" s="4">
        <v>821.22799999999995</v>
      </c>
      <c r="E1845" s="4">
        <v>821.82399999999996</v>
      </c>
      <c r="F1845" s="4"/>
      <c r="G1845" s="4"/>
      <c r="H1845" s="28" t="s">
        <v>3423</v>
      </c>
      <c r="I1845" s="4"/>
      <c r="J1845" s="6">
        <v>0</v>
      </c>
      <c r="K1845" s="29" t="s">
        <v>3207</v>
      </c>
      <c r="L1845" s="4"/>
      <c r="M1845" s="3"/>
    </row>
    <row r="1846" spans="1:13" x14ac:dyDescent="0.3">
      <c r="A1846" s="3">
        <v>101</v>
      </c>
      <c r="B1846" s="3">
        <v>101</v>
      </c>
      <c r="C1846" s="4">
        <v>821.83100000000002</v>
      </c>
      <c r="D1846" s="4">
        <v>821.82399999999996</v>
      </c>
      <c r="E1846" s="4">
        <v>821.83799999999997</v>
      </c>
      <c r="F1846" s="4"/>
      <c r="G1846" s="4"/>
      <c r="H1846" s="27" t="s">
        <v>3424</v>
      </c>
      <c r="I1846" s="4"/>
      <c r="J1846" s="6">
        <v>0</v>
      </c>
      <c r="K1846" s="30" t="s">
        <v>3207</v>
      </c>
      <c r="L1846" s="4"/>
      <c r="M1846" s="3"/>
    </row>
    <row r="1847" spans="1:13" x14ac:dyDescent="0.3">
      <c r="A1847" s="3">
        <v>101</v>
      </c>
      <c r="B1847" s="3">
        <v>101</v>
      </c>
      <c r="C1847" s="4">
        <v>822.12149999999997</v>
      </c>
      <c r="D1847" s="4">
        <v>821.83799999999997</v>
      </c>
      <c r="E1847" s="4">
        <v>822.40499999999997</v>
      </c>
      <c r="F1847" s="4"/>
      <c r="G1847" s="4"/>
      <c r="H1847" s="28" t="s">
        <v>3425</v>
      </c>
      <c r="I1847" s="4"/>
      <c r="J1847" s="6">
        <v>0</v>
      </c>
      <c r="K1847" s="29" t="s">
        <v>3207</v>
      </c>
      <c r="L1847" s="4"/>
      <c r="M1847" s="3"/>
    </row>
    <row r="1848" spans="1:13" x14ac:dyDescent="0.3">
      <c r="A1848" s="3">
        <v>101</v>
      </c>
      <c r="B1848" s="3">
        <v>101</v>
      </c>
      <c r="C1848" s="4">
        <v>822.60050000000001</v>
      </c>
      <c r="D1848" s="4">
        <v>822.40499999999997</v>
      </c>
      <c r="E1848" s="4">
        <v>822.79600000000005</v>
      </c>
      <c r="F1848" s="4"/>
      <c r="G1848" s="4"/>
      <c r="H1848" s="27" t="s">
        <v>3426</v>
      </c>
      <c r="I1848" s="4"/>
      <c r="J1848" s="6">
        <v>0</v>
      </c>
      <c r="K1848" s="30" t="s">
        <v>3207</v>
      </c>
      <c r="L1848" s="4"/>
      <c r="M1848" s="3"/>
    </row>
    <row r="1849" spans="1:13" x14ac:dyDescent="0.3">
      <c r="A1849" s="3">
        <v>101</v>
      </c>
      <c r="B1849" s="3">
        <v>101</v>
      </c>
      <c r="C1849" s="4">
        <v>823.08349999999996</v>
      </c>
      <c r="D1849" s="4">
        <v>822.79600000000005</v>
      </c>
      <c r="E1849" s="4">
        <v>823.37099999999998</v>
      </c>
      <c r="F1849" s="4"/>
      <c r="G1849" s="4"/>
      <c r="H1849" s="28" t="s">
        <v>3427</v>
      </c>
      <c r="I1849" s="4"/>
      <c r="J1849" s="6">
        <v>0</v>
      </c>
      <c r="K1849" s="29" t="s">
        <v>3207</v>
      </c>
      <c r="L1849" s="4"/>
      <c r="M1849" s="3"/>
    </row>
    <row r="1850" spans="1:13" x14ac:dyDescent="0.3">
      <c r="A1850" s="3">
        <v>101</v>
      </c>
      <c r="B1850" s="3">
        <v>101</v>
      </c>
      <c r="C1850" s="4">
        <v>823.57899999999995</v>
      </c>
      <c r="D1850" s="4">
        <v>823.37099999999998</v>
      </c>
      <c r="E1850" s="4">
        <v>823.78700000000003</v>
      </c>
      <c r="F1850" s="4"/>
      <c r="G1850" s="4"/>
      <c r="H1850" s="27" t="s">
        <v>3428</v>
      </c>
      <c r="I1850" s="4"/>
      <c r="J1850" s="6">
        <v>0</v>
      </c>
      <c r="K1850" s="30" t="s">
        <v>3207</v>
      </c>
      <c r="L1850" s="4"/>
      <c r="M1850" s="3"/>
    </row>
    <row r="1851" spans="1:13" x14ac:dyDescent="0.3">
      <c r="A1851" s="3">
        <v>101</v>
      </c>
      <c r="B1851" s="3">
        <v>101</v>
      </c>
      <c r="C1851" s="4">
        <v>823.98149999999998</v>
      </c>
      <c r="D1851" s="4">
        <v>823.78700000000003</v>
      </c>
      <c r="E1851" s="4">
        <v>824.17600000000004</v>
      </c>
      <c r="F1851" s="4"/>
      <c r="G1851" s="4"/>
      <c r="H1851" s="28" t="s">
        <v>3429</v>
      </c>
      <c r="I1851" s="4"/>
      <c r="J1851" s="6">
        <v>0</v>
      </c>
      <c r="K1851" s="29" t="s">
        <v>3207</v>
      </c>
      <c r="L1851" s="4"/>
      <c r="M1851" s="3"/>
    </row>
    <row r="1852" spans="1:13" x14ac:dyDescent="0.3">
      <c r="A1852" s="3">
        <v>101</v>
      </c>
      <c r="B1852" s="3">
        <v>101</v>
      </c>
      <c r="C1852" s="4">
        <v>824.18550000000005</v>
      </c>
      <c r="D1852" s="4">
        <v>824.17600000000004</v>
      </c>
      <c r="E1852" s="4">
        <v>824.19500000000005</v>
      </c>
      <c r="F1852" s="4"/>
      <c r="G1852" s="4"/>
      <c r="H1852" s="27" t="s">
        <v>3430</v>
      </c>
      <c r="I1852" s="4"/>
      <c r="J1852" s="6">
        <v>0</v>
      </c>
      <c r="K1852" s="30" t="s">
        <v>3207</v>
      </c>
      <c r="L1852" s="4"/>
      <c r="M1852" s="3"/>
    </row>
    <row r="1853" spans="1:13" x14ac:dyDescent="0.3">
      <c r="A1853" s="3">
        <v>101</v>
      </c>
      <c r="B1853" s="3">
        <v>101</v>
      </c>
      <c r="C1853" s="4">
        <v>824.46849999999995</v>
      </c>
      <c r="D1853" s="4">
        <v>824.19500000000005</v>
      </c>
      <c r="E1853" s="4">
        <v>824.74199999999996</v>
      </c>
      <c r="F1853" s="4"/>
      <c r="G1853" s="4"/>
      <c r="H1853" s="28" t="s">
        <v>3431</v>
      </c>
      <c r="I1853" s="4"/>
      <c r="J1853" s="6">
        <v>0</v>
      </c>
      <c r="K1853" s="29" t="s">
        <v>3207</v>
      </c>
      <c r="L1853" s="4"/>
      <c r="M1853" s="3"/>
    </row>
    <row r="1854" spans="1:13" x14ac:dyDescent="0.3">
      <c r="A1854" s="3">
        <v>101</v>
      </c>
      <c r="B1854" s="3">
        <v>101</v>
      </c>
      <c r="C1854" s="4">
        <v>824.76149999999996</v>
      </c>
      <c r="D1854" s="4">
        <v>824.74199999999996</v>
      </c>
      <c r="E1854" s="4">
        <v>824.78099999999995</v>
      </c>
      <c r="F1854" s="4"/>
      <c r="G1854" s="4"/>
      <c r="H1854" s="27" t="s">
        <v>3432</v>
      </c>
      <c r="I1854" s="4"/>
      <c r="J1854" s="6">
        <v>0</v>
      </c>
      <c r="K1854" s="30" t="s">
        <v>3207</v>
      </c>
      <c r="L1854" s="4"/>
      <c r="M1854" s="3"/>
    </row>
    <row r="1855" spans="1:13" x14ac:dyDescent="0.3">
      <c r="A1855" s="3">
        <v>101</v>
      </c>
      <c r="B1855" s="3">
        <v>101</v>
      </c>
      <c r="C1855" s="4">
        <v>824.98599999999999</v>
      </c>
      <c r="D1855" s="4">
        <v>824.78099999999995</v>
      </c>
      <c r="E1855" s="4">
        <v>825.19100000000003</v>
      </c>
      <c r="F1855" s="4"/>
      <c r="G1855" s="4"/>
      <c r="H1855" s="28" t="s">
        <v>3433</v>
      </c>
      <c r="I1855" s="4"/>
      <c r="J1855" s="6">
        <v>0</v>
      </c>
      <c r="K1855" s="29" t="s">
        <v>3207</v>
      </c>
      <c r="L1855" s="4"/>
      <c r="M1855" s="3"/>
    </row>
    <row r="1856" spans="1:13" x14ac:dyDescent="0.3">
      <c r="A1856" s="3">
        <v>101</v>
      </c>
      <c r="B1856" s="3">
        <v>101</v>
      </c>
      <c r="C1856" s="4">
        <v>825.21299999999997</v>
      </c>
      <c r="D1856" s="4">
        <v>825.19100000000003</v>
      </c>
      <c r="E1856" s="4">
        <v>825.23500000000001</v>
      </c>
      <c r="F1856" s="4"/>
      <c r="G1856" s="4"/>
      <c r="H1856" s="27" t="s">
        <v>3434</v>
      </c>
      <c r="I1856" s="4"/>
      <c r="J1856" s="6">
        <v>0</v>
      </c>
      <c r="K1856" s="30" t="s">
        <v>3207</v>
      </c>
      <c r="L1856" s="4"/>
      <c r="M1856" s="3"/>
    </row>
    <row r="1857" spans="1:13" x14ac:dyDescent="0.3">
      <c r="A1857" s="3">
        <v>101</v>
      </c>
      <c r="B1857" s="3">
        <v>101</v>
      </c>
      <c r="C1857" s="4">
        <v>825.56550000000004</v>
      </c>
      <c r="D1857" s="4">
        <v>825.23500000000001</v>
      </c>
      <c r="E1857" s="4">
        <v>825.89599999999996</v>
      </c>
      <c r="F1857" s="4"/>
      <c r="G1857" s="4"/>
      <c r="H1857" s="28" t="s">
        <v>3435</v>
      </c>
      <c r="I1857" s="4"/>
      <c r="J1857" s="6">
        <v>0</v>
      </c>
      <c r="K1857" s="29" t="s">
        <v>3207</v>
      </c>
      <c r="L1857" s="4"/>
      <c r="M1857" s="3"/>
    </row>
    <row r="1858" spans="1:13" x14ac:dyDescent="0.3">
      <c r="A1858" s="3">
        <v>101</v>
      </c>
      <c r="B1858" s="3">
        <v>101</v>
      </c>
      <c r="C1858" s="4">
        <v>825.90750000000003</v>
      </c>
      <c r="D1858" s="4">
        <v>825.89599999999996</v>
      </c>
      <c r="E1858" s="4">
        <v>825.91899999999998</v>
      </c>
      <c r="F1858" s="4"/>
      <c r="G1858" s="4"/>
      <c r="H1858" s="27" t="s">
        <v>3436</v>
      </c>
      <c r="I1858" s="4"/>
      <c r="J1858" s="6">
        <v>0</v>
      </c>
      <c r="K1858" s="30" t="s">
        <v>3207</v>
      </c>
      <c r="L1858" s="4"/>
      <c r="M1858" s="3"/>
    </row>
    <row r="1859" spans="1:13" x14ac:dyDescent="0.3">
      <c r="A1859" s="3">
        <v>101</v>
      </c>
      <c r="B1859" s="3">
        <v>101</v>
      </c>
      <c r="C1859" s="4">
        <v>826.08399999999995</v>
      </c>
      <c r="D1859" s="4">
        <v>825.91899999999998</v>
      </c>
      <c r="E1859" s="4">
        <v>826.24900000000002</v>
      </c>
      <c r="F1859" s="4"/>
      <c r="G1859" s="4"/>
      <c r="H1859" s="28" t="s">
        <v>3437</v>
      </c>
      <c r="I1859" s="4"/>
      <c r="J1859" s="6">
        <v>0</v>
      </c>
      <c r="K1859" s="29" t="s">
        <v>3207</v>
      </c>
      <c r="L1859" s="4"/>
      <c r="M1859" s="3"/>
    </row>
    <row r="1860" spans="1:13" x14ac:dyDescent="0.3">
      <c r="A1860" s="3">
        <v>101</v>
      </c>
      <c r="B1860" s="3">
        <v>101</v>
      </c>
      <c r="C1860" s="4">
        <v>826.8125</v>
      </c>
      <c r="D1860" s="4">
        <v>826.24900000000002</v>
      </c>
      <c r="E1860" s="4">
        <v>827.37599999999998</v>
      </c>
      <c r="F1860" s="4"/>
      <c r="G1860" s="4"/>
      <c r="H1860" s="27" t="s">
        <v>3438</v>
      </c>
      <c r="I1860" s="4"/>
      <c r="J1860" s="6">
        <v>0</v>
      </c>
      <c r="K1860" s="30" t="s">
        <v>3207</v>
      </c>
      <c r="L1860" s="4"/>
      <c r="M1860" s="3"/>
    </row>
    <row r="1861" spans="1:13" x14ac:dyDescent="0.3">
      <c r="A1861" s="3">
        <v>101</v>
      </c>
      <c r="B1861" s="3">
        <v>101</v>
      </c>
      <c r="C1861" s="4">
        <v>827.67449999999997</v>
      </c>
      <c r="D1861" s="4">
        <v>827.37599999999998</v>
      </c>
      <c r="E1861" s="4">
        <v>827.97299999999996</v>
      </c>
      <c r="F1861" s="4"/>
      <c r="G1861" s="4"/>
      <c r="H1861" s="28" t="s">
        <v>3439</v>
      </c>
      <c r="I1861" s="4"/>
      <c r="J1861" s="6">
        <v>0</v>
      </c>
      <c r="K1861" s="29" t="s">
        <v>3207</v>
      </c>
      <c r="L1861" s="4"/>
      <c r="M1861" s="3"/>
    </row>
    <row r="1862" spans="1:13" x14ac:dyDescent="0.3">
      <c r="A1862" s="3">
        <v>101</v>
      </c>
      <c r="B1862" s="3">
        <v>101</v>
      </c>
      <c r="C1862" s="4">
        <v>828.00699999999995</v>
      </c>
      <c r="D1862" s="4">
        <v>827.97299999999996</v>
      </c>
      <c r="E1862" s="4">
        <v>828.04100000000005</v>
      </c>
      <c r="F1862" s="4"/>
      <c r="G1862" s="4"/>
      <c r="H1862" s="27" t="s">
        <v>3440</v>
      </c>
      <c r="I1862" s="4"/>
      <c r="J1862" s="6">
        <v>0</v>
      </c>
      <c r="K1862" s="30" t="s">
        <v>3207</v>
      </c>
      <c r="L1862" s="4"/>
      <c r="M1862" s="3"/>
    </row>
    <row r="1863" spans="1:13" x14ac:dyDescent="0.3">
      <c r="A1863" s="3">
        <v>101</v>
      </c>
      <c r="B1863" s="3">
        <v>101</v>
      </c>
      <c r="C1863" s="4">
        <v>828.423</v>
      </c>
      <c r="D1863" s="4">
        <v>828.04100000000005</v>
      </c>
      <c r="E1863" s="4">
        <v>828.80499999999995</v>
      </c>
      <c r="F1863" s="4"/>
      <c r="G1863" s="4"/>
      <c r="H1863" s="28" t="s">
        <v>3441</v>
      </c>
      <c r="I1863" s="4"/>
      <c r="J1863" s="6">
        <v>0</v>
      </c>
      <c r="K1863" s="29" t="s">
        <v>3207</v>
      </c>
      <c r="L1863" s="4"/>
      <c r="M1863" s="3"/>
    </row>
    <row r="1864" spans="1:13" x14ac:dyDescent="0.3">
      <c r="A1864" s="3">
        <v>101</v>
      </c>
      <c r="B1864" s="3">
        <v>101</v>
      </c>
      <c r="C1864" s="4">
        <v>829.05250000000001</v>
      </c>
      <c r="D1864" s="4">
        <v>828.80499999999995</v>
      </c>
      <c r="E1864" s="4">
        <v>829.3</v>
      </c>
      <c r="F1864" s="4"/>
      <c r="G1864" s="4"/>
      <c r="H1864" s="27" t="s">
        <v>3442</v>
      </c>
      <c r="I1864" s="4"/>
      <c r="J1864" s="6">
        <v>0</v>
      </c>
      <c r="K1864" s="30" t="s">
        <v>3207</v>
      </c>
      <c r="L1864" s="4"/>
      <c r="M1864" s="3"/>
    </row>
    <row r="1865" spans="1:13" x14ac:dyDescent="0.3">
      <c r="A1865" s="3">
        <v>101</v>
      </c>
      <c r="B1865" s="3">
        <v>101</v>
      </c>
      <c r="C1865" s="4">
        <v>829.43200000000002</v>
      </c>
      <c r="D1865" s="4">
        <v>829.3</v>
      </c>
      <c r="E1865" s="4">
        <v>829.56399999999996</v>
      </c>
      <c r="F1865" s="4"/>
      <c r="G1865" s="4"/>
      <c r="H1865" s="28" t="s">
        <v>3443</v>
      </c>
      <c r="I1865" s="4"/>
      <c r="J1865" s="6">
        <v>0</v>
      </c>
      <c r="K1865" s="29" t="s">
        <v>3207</v>
      </c>
      <c r="L1865" s="4"/>
      <c r="M1865" s="3"/>
    </row>
    <row r="1866" spans="1:13" x14ac:dyDescent="0.3">
      <c r="A1866" s="3">
        <v>101</v>
      </c>
      <c r="B1866" s="3">
        <v>101</v>
      </c>
      <c r="C1866" s="4">
        <v>829.57799999999997</v>
      </c>
      <c r="D1866" s="4">
        <v>829.56399999999996</v>
      </c>
      <c r="E1866" s="4">
        <v>829.59199999999998</v>
      </c>
      <c r="F1866" s="4"/>
      <c r="G1866" s="4"/>
      <c r="H1866" s="27" t="s">
        <v>3444</v>
      </c>
      <c r="I1866" s="4"/>
      <c r="J1866" s="6">
        <v>0</v>
      </c>
      <c r="K1866" s="30" t="s">
        <v>3207</v>
      </c>
      <c r="L1866" s="4"/>
      <c r="M1866" s="3"/>
    </row>
    <row r="1867" spans="1:13" x14ac:dyDescent="0.3">
      <c r="A1867" s="3">
        <v>101</v>
      </c>
      <c r="B1867" s="3">
        <v>101</v>
      </c>
      <c r="C1867" s="4">
        <v>829.86249999999995</v>
      </c>
      <c r="D1867" s="4">
        <v>829.59199999999998</v>
      </c>
      <c r="E1867" s="4">
        <v>830.13300000000004</v>
      </c>
      <c r="F1867" s="4"/>
      <c r="G1867" s="4"/>
      <c r="H1867" s="28" t="s">
        <v>3445</v>
      </c>
      <c r="I1867" s="4"/>
      <c r="J1867" s="6">
        <v>0</v>
      </c>
      <c r="K1867" s="29" t="s">
        <v>3207</v>
      </c>
      <c r="L1867" s="4"/>
      <c r="M1867" s="3"/>
    </row>
    <row r="1868" spans="1:13" x14ac:dyDescent="0.3">
      <c r="A1868" s="3">
        <v>101</v>
      </c>
      <c r="B1868" s="3">
        <v>101</v>
      </c>
      <c r="C1868" s="4">
        <v>830.14700000000005</v>
      </c>
      <c r="D1868" s="4">
        <v>830.13300000000004</v>
      </c>
      <c r="E1868" s="4">
        <v>830.16099999999994</v>
      </c>
      <c r="F1868" s="4"/>
      <c r="G1868" s="4"/>
      <c r="H1868" s="27" t="s">
        <v>3446</v>
      </c>
      <c r="I1868" s="4"/>
      <c r="J1868" s="6">
        <v>0</v>
      </c>
      <c r="K1868" s="30" t="s">
        <v>3207</v>
      </c>
      <c r="L1868" s="4"/>
      <c r="M1868" s="3"/>
    </row>
    <row r="1869" spans="1:13" x14ac:dyDescent="0.3">
      <c r="A1869" s="3">
        <v>101</v>
      </c>
      <c r="B1869" s="3">
        <v>101</v>
      </c>
      <c r="C1869" s="4">
        <v>830.41300000000001</v>
      </c>
      <c r="D1869" s="4">
        <v>830.16099999999994</v>
      </c>
      <c r="E1869" s="4">
        <v>830.66499999999996</v>
      </c>
      <c r="F1869" s="4"/>
      <c r="G1869" s="4"/>
      <c r="H1869" s="28" t="s">
        <v>3447</v>
      </c>
      <c r="I1869" s="4"/>
      <c r="J1869" s="6">
        <v>0</v>
      </c>
      <c r="K1869" s="29" t="s">
        <v>3207</v>
      </c>
      <c r="L1869" s="4"/>
      <c r="M1869" s="3"/>
    </row>
    <row r="1870" spans="1:13" x14ac:dyDescent="0.3">
      <c r="A1870" s="3">
        <v>101</v>
      </c>
      <c r="B1870" s="3">
        <v>101</v>
      </c>
      <c r="C1870" s="4">
        <v>830.71900000000005</v>
      </c>
      <c r="D1870" s="4">
        <v>830.66499999999996</v>
      </c>
      <c r="E1870" s="4">
        <v>830.77300000000002</v>
      </c>
      <c r="F1870" s="4"/>
      <c r="G1870" s="4"/>
      <c r="H1870" s="27" t="s">
        <v>3448</v>
      </c>
      <c r="I1870" s="4"/>
      <c r="J1870" s="6">
        <v>0</v>
      </c>
      <c r="K1870" s="30" t="s">
        <v>3207</v>
      </c>
      <c r="L1870" s="4"/>
      <c r="M1870" s="3"/>
    </row>
    <row r="1871" spans="1:13" x14ac:dyDescent="0.3">
      <c r="A1871" s="3">
        <v>101</v>
      </c>
      <c r="B1871" s="3">
        <v>101</v>
      </c>
      <c r="C1871" s="4">
        <v>830.99599999999998</v>
      </c>
      <c r="D1871" s="4">
        <v>830.77300000000002</v>
      </c>
      <c r="E1871" s="4">
        <v>831.21900000000005</v>
      </c>
      <c r="F1871" s="4"/>
      <c r="G1871" s="4"/>
      <c r="H1871" s="28" t="s">
        <v>3449</v>
      </c>
      <c r="I1871" s="4"/>
      <c r="J1871" s="6">
        <v>0</v>
      </c>
      <c r="K1871" s="29" t="s">
        <v>3207</v>
      </c>
      <c r="L1871" s="4"/>
      <c r="M1871" s="3"/>
    </row>
    <row r="1872" spans="1:13" x14ac:dyDescent="0.3">
      <c r="A1872" s="3">
        <v>101</v>
      </c>
      <c r="B1872" s="3">
        <v>101</v>
      </c>
      <c r="C1872" s="4">
        <v>831.399</v>
      </c>
      <c r="D1872" s="4">
        <v>831.21900000000005</v>
      </c>
      <c r="E1872" s="4">
        <v>831.57899999999995</v>
      </c>
      <c r="F1872" s="4"/>
      <c r="G1872" s="4"/>
      <c r="H1872" s="27" t="s">
        <v>3450</v>
      </c>
      <c r="I1872" s="4"/>
      <c r="J1872" s="6">
        <v>0</v>
      </c>
      <c r="K1872" s="30" t="s">
        <v>3207</v>
      </c>
      <c r="L1872" s="4"/>
      <c r="M1872" s="3"/>
    </row>
    <row r="1873" spans="1:13" x14ac:dyDescent="0.3">
      <c r="A1873" s="3">
        <v>101</v>
      </c>
      <c r="B1873" s="3">
        <v>101</v>
      </c>
      <c r="C1873" s="4">
        <v>831.91200000000003</v>
      </c>
      <c r="D1873" s="4">
        <v>831.57899999999995</v>
      </c>
      <c r="E1873" s="4">
        <v>832.245</v>
      </c>
      <c r="F1873" s="4"/>
      <c r="G1873" s="4"/>
      <c r="H1873" s="28" t="s">
        <v>3451</v>
      </c>
      <c r="I1873" s="4"/>
      <c r="J1873" s="6">
        <v>0</v>
      </c>
      <c r="K1873" s="29" t="s">
        <v>3207</v>
      </c>
      <c r="L1873" s="4"/>
      <c r="M1873" s="3"/>
    </row>
    <row r="1874" spans="1:13" x14ac:dyDescent="0.3">
      <c r="A1874" s="3">
        <v>101</v>
      </c>
      <c r="B1874" s="3">
        <v>101</v>
      </c>
      <c r="C1874" s="4">
        <v>832.28449999999998</v>
      </c>
      <c r="D1874" s="4">
        <v>832.245</v>
      </c>
      <c r="E1874" s="4">
        <v>832.32399999999996</v>
      </c>
      <c r="F1874" s="4"/>
      <c r="G1874" s="4"/>
      <c r="H1874" s="27" t="s">
        <v>3452</v>
      </c>
      <c r="I1874" s="4"/>
      <c r="J1874" s="6">
        <v>0</v>
      </c>
      <c r="K1874" s="30" t="s">
        <v>3207</v>
      </c>
      <c r="L1874" s="4"/>
      <c r="M1874" s="3"/>
    </row>
    <row r="1875" spans="1:13" x14ac:dyDescent="0.3">
      <c r="A1875" s="3">
        <v>101</v>
      </c>
      <c r="B1875" s="3">
        <v>101</v>
      </c>
      <c r="C1875" s="4">
        <v>832.50149999999996</v>
      </c>
      <c r="D1875" s="4">
        <v>832.32399999999996</v>
      </c>
      <c r="E1875" s="4">
        <v>832.67899999999997</v>
      </c>
      <c r="F1875" s="4"/>
      <c r="G1875" s="4"/>
      <c r="H1875" s="28" t="s">
        <v>3453</v>
      </c>
      <c r="I1875" s="4"/>
      <c r="J1875" s="6">
        <v>0</v>
      </c>
      <c r="K1875" s="29" t="s">
        <v>3207</v>
      </c>
      <c r="L1875" s="4"/>
      <c r="M1875" s="3"/>
    </row>
    <row r="1876" spans="1:13" x14ac:dyDescent="0.3">
      <c r="A1876" s="3">
        <v>101</v>
      </c>
      <c r="B1876" s="3">
        <v>101</v>
      </c>
      <c r="C1876" s="4">
        <v>832.70550000000003</v>
      </c>
      <c r="D1876" s="4">
        <v>832.67899999999997</v>
      </c>
      <c r="E1876" s="4">
        <v>832.73199999999997</v>
      </c>
      <c r="F1876" s="4"/>
      <c r="G1876" s="4"/>
      <c r="H1876" s="27" t="s">
        <v>3454</v>
      </c>
      <c r="I1876" s="4"/>
      <c r="J1876" s="6">
        <v>0</v>
      </c>
      <c r="K1876" s="30" t="s">
        <v>3207</v>
      </c>
      <c r="L1876" s="4"/>
      <c r="M1876" s="3"/>
    </row>
    <row r="1877" spans="1:13" x14ac:dyDescent="0.3">
      <c r="A1877" s="3">
        <v>101</v>
      </c>
      <c r="B1877" s="3">
        <v>101</v>
      </c>
      <c r="C1877" s="4">
        <v>832.92899999999997</v>
      </c>
      <c r="D1877" s="4">
        <v>832.73199999999997</v>
      </c>
      <c r="E1877" s="4">
        <v>833.12599999999998</v>
      </c>
      <c r="F1877" s="4"/>
      <c r="G1877" s="4"/>
      <c r="H1877" s="28" t="s">
        <v>3455</v>
      </c>
      <c r="I1877" s="4"/>
      <c r="J1877" s="6">
        <v>0</v>
      </c>
      <c r="K1877" s="29" t="s">
        <v>3207</v>
      </c>
      <c r="L1877" s="4"/>
      <c r="M1877" s="3"/>
    </row>
    <row r="1878" spans="1:13" x14ac:dyDescent="0.3">
      <c r="A1878" s="3">
        <v>101</v>
      </c>
      <c r="B1878" s="3">
        <v>101</v>
      </c>
      <c r="C1878" s="4">
        <v>833.14</v>
      </c>
      <c r="D1878" s="4">
        <v>833.12599999999998</v>
      </c>
      <c r="E1878" s="4">
        <v>833.154</v>
      </c>
      <c r="F1878" s="4"/>
      <c r="G1878" s="4"/>
      <c r="H1878" s="27" t="s">
        <v>3456</v>
      </c>
      <c r="I1878" s="4"/>
      <c r="J1878" s="6">
        <v>0</v>
      </c>
      <c r="K1878" s="30" t="s">
        <v>3207</v>
      </c>
      <c r="L1878" s="4"/>
      <c r="M1878" s="3"/>
    </row>
    <row r="1879" spans="1:13" x14ac:dyDescent="0.3">
      <c r="A1879" s="3">
        <v>101</v>
      </c>
      <c r="B1879" s="3">
        <v>101</v>
      </c>
      <c r="C1879" s="4">
        <v>833.55550000000005</v>
      </c>
      <c r="D1879" s="4">
        <v>833.154</v>
      </c>
      <c r="E1879" s="4">
        <v>833.95699999999999</v>
      </c>
      <c r="F1879" s="4"/>
      <c r="G1879" s="4"/>
      <c r="H1879" s="28" t="s">
        <v>3457</v>
      </c>
      <c r="I1879" s="4"/>
      <c r="J1879" s="6">
        <v>0</v>
      </c>
      <c r="K1879" s="29" t="s">
        <v>3207</v>
      </c>
      <c r="L1879" s="4"/>
      <c r="M1879" s="3"/>
    </row>
    <row r="1880" spans="1:13" x14ac:dyDescent="0.3">
      <c r="A1880" s="3">
        <v>101</v>
      </c>
      <c r="B1880" s="3">
        <v>101</v>
      </c>
      <c r="C1880" s="4">
        <v>834.02750000000003</v>
      </c>
      <c r="D1880" s="4">
        <v>833.95699999999999</v>
      </c>
      <c r="E1880" s="4">
        <v>834.09799999999996</v>
      </c>
      <c r="F1880" s="4"/>
      <c r="G1880" s="4"/>
      <c r="H1880" s="27" t="s">
        <v>3458</v>
      </c>
      <c r="I1880" s="4"/>
      <c r="J1880" s="6">
        <v>0</v>
      </c>
      <c r="K1880" s="30" t="s">
        <v>3207</v>
      </c>
      <c r="L1880" s="4"/>
      <c r="M1880" s="3"/>
    </row>
    <row r="1881" spans="1:13" x14ac:dyDescent="0.3">
      <c r="A1881" s="3">
        <v>101</v>
      </c>
      <c r="B1881" s="3">
        <v>101</v>
      </c>
      <c r="C1881" s="4">
        <v>834.34799999999996</v>
      </c>
      <c r="D1881" s="4">
        <v>834.09799999999996</v>
      </c>
      <c r="E1881" s="4">
        <v>834.59799999999996</v>
      </c>
      <c r="F1881" s="4"/>
      <c r="G1881" s="4"/>
      <c r="H1881" s="28" t="s">
        <v>3459</v>
      </c>
      <c r="I1881" s="4"/>
      <c r="J1881" s="6">
        <v>0</v>
      </c>
      <c r="K1881" s="29" t="s">
        <v>3207</v>
      </c>
      <c r="L1881" s="4"/>
      <c r="M1881" s="3"/>
    </row>
    <row r="1882" spans="1:13" x14ac:dyDescent="0.3">
      <c r="A1882" s="3">
        <v>101</v>
      </c>
      <c r="B1882" s="3">
        <v>101</v>
      </c>
      <c r="C1882" s="4">
        <v>834.63400000000001</v>
      </c>
      <c r="D1882" s="4">
        <v>834.59799999999996</v>
      </c>
      <c r="E1882" s="4">
        <v>834.67</v>
      </c>
      <c r="F1882" s="4"/>
      <c r="G1882" s="4"/>
      <c r="H1882" s="27" t="s">
        <v>3460</v>
      </c>
      <c r="I1882" s="4"/>
      <c r="J1882" s="6">
        <v>0</v>
      </c>
      <c r="K1882" s="30" t="s">
        <v>3207</v>
      </c>
      <c r="L1882" s="4"/>
      <c r="M1882" s="3"/>
    </row>
    <row r="1883" spans="1:13" x14ac:dyDescent="0.3">
      <c r="A1883" s="3">
        <v>101</v>
      </c>
      <c r="B1883" s="3">
        <v>101</v>
      </c>
      <c r="C1883" s="4">
        <v>834.98850000000004</v>
      </c>
      <c r="D1883" s="4">
        <v>834.67</v>
      </c>
      <c r="E1883" s="4">
        <v>835.30700000000002</v>
      </c>
      <c r="F1883" s="4"/>
      <c r="G1883" s="4"/>
      <c r="H1883" s="28" t="s">
        <v>3461</v>
      </c>
      <c r="I1883" s="4"/>
      <c r="J1883" s="6">
        <v>0</v>
      </c>
      <c r="K1883" s="29" t="s">
        <v>3207</v>
      </c>
      <c r="L1883" s="4"/>
      <c r="M1883" s="3"/>
    </row>
    <row r="1884" spans="1:13" x14ac:dyDescent="0.3">
      <c r="A1884" s="3">
        <v>101</v>
      </c>
      <c r="B1884" s="3">
        <v>101</v>
      </c>
      <c r="C1884" s="4">
        <v>835.37800000000004</v>
      </c>
      <c r="D1884" s="4">
        <v>835.30700000000002</v>
      </c>
      <c r="E1884" s="4">
        <v>835.44899999999996</v>
      </c>
      <c r="F1884" s="4"/>
      <c r="G1884" s="4"/>
      <c r="H1884" s="27" t="s">
        <v>3462</v>
      </c>
      <c r="I1884" s="4"/>
      <c r="J1884" s="6">
        <v>0</v>
      </c>
      <c r="K1884" s="30" t="s">
        <v>3207</v>
      </c>
      <c r="L1884" s="4"/>
      <c r="M1884" s="3"/>
    </row>
    <row r="1885" spans="1:13" x14ac:dyDescent="0.3">
      <c r="A1885" s="3">
        <v>101</v>
      </c>
      <c r="B1885" s="3">
        <v>101</v>
      </c>
      <c r="C1885" s="4">
        <v>835.84400000000005</v>
      </c>
      <c r="D1885" s="4">
        <v>835.44899999999996</v>
      </c>
      <c r="E1885" s="4">
        <v>836.23900000000003</v>
      </c>
      <c r="F1885" s="4"/>
      <c r="G1885" s="4"/>
      <c r="H1885" s="28" t="s">
        <v>3463</v>
      </c>
      <c r="I1885" s="4"/>
      <c r="J1885" s="6">
        <v>0</v>
      </c>
      <c r="K1885" s="29" t="s">
        <v>3207</v>
      </c>
      <c r="L1885" s="4"/>
      <c r="M1885" s="3"/>
    </row>
    <row r="1886" spans="1:13" x14ac:dyDescent="0.3">
      <c r="A1886" s="3">
        <v>101</v>
      </c>
      <c r="B1886" s="3">
        <v>101</v>
      </c>
      <c r="C1886" s="4">
        <v>836.26649999999995</v>
      </c>
      <c r="D1886" s="4">
        <v>836.23900000000003</v>
      </c>
      <c r="E1886" s="4">
        <v>836.29399999999998</v>
      </c>
      <c r="F1886" s="4"/>
      <c r="G1886" s="4"/>
      <c r="H1886" s="27" t="s">
        <v>3464</v>
      </c>
      <c r="I1886" s="4"/>
      <c r="J1886" s="6">
        <v>0</v>
      </c>
      <c r="K1886" s="30" t="s">
        <v>3207</v>
      </c>
      <c r="L1886" s="4"/>
      <c r="M1886" s="3"/>
    </row>
    <row r="1887" spans="1:13" x14ac:dyDescent="0.3">
      <c r="A1887" s="3">
        <v>101</v>
      </c>
      <c r="B1887" s="3">
        <v>101</v>
      </c>
      <c r="C1887" s="4">
        <v>836.5915</v>
      </c>
      <c r="D1887" s="4">
        <v>836.29399999999998</v>
      </c>
      <c r="E1887" s="4">
        <v>836.88900000000001</v>
      </c>
      <c r="F1887" s="4"/>
      <c r="G1887" s="4"/>
      <c r="H1887" s="28" t="s">
        <v>3465</v>
      </c>
      <c r="I1887" s="4"/>
      <c r="J1887" s="6">
        <v>0</v>
      </c>
      <c r="K1887" s="29" t="s">
        <v>3207</v>
      </c>
      <c r="L1887" s="4"/>
      <c r="M1887" s="3"/>
    </row>
    <row r="1888" spans="1:13" x14ac:dyDescent="0.3">
      <c r="A1888" s="3">
        <v>101</v>
      </c>
      <c r="B1888" s="3">
        <v>101</v>
      </c>
      <c r="C1888" s="4">
        <v>837.94100000000003</v>
      </c>
      <c r="D1888" s="4">
        <v>836.88900000000001</v>
      </c>
      <c r="E1888" s="4">
        <v>838.99300000000005</v>
      </c>
      <c r="F1888" s="4"/>
      <c r="G1888" s="4"/>
      <c r="H1888" s="27" t="s">
        <v>3466</v>
      </c>
      <c r="I1888" s="4"/>
      <c r="J1888" s="6">
        <v>0</v>
      </c>
      <c r="K1888" s="30" t="s">
        <v>3207</v>
      </c>
      <c r="L1888" s="4"/>
      <c r="M1888" s="3"/>
    </row>
    <row r="1889" spans="1:13" x14ac:dyDescent="0.3">
      <c r="A1889" s="3">
        <v>101</v>
      </c>
      <c r="B1889" s="3">
        <v>101</v>
      </c>
      <c r="C1889" s="4">
        <v>839.28650000000005</v>
      </c>
      <c r="D1889" s="4">
        <v>838.99300000000005</v>
      </c>
      <c r="E1889" s="4">
        <v>839.58</v>
      </c>
      <c r="F1889" s="4"/>
      <c r="G1889" s="4"/>
      <c r="H1889" s="28" t="s">
        <v>3467</v>
      </c>
      <c r="I1889" s="4"/>
      <c r="J1889" s="6">
        <v>0</v>
      </c>
      <c r="K1889" s="29" t="s">
        <v>3207</v>
      </c>
      <c r="L1889" s="4"/>
      <c r="M1889" s="3"/>
    </row>
    <row r="1890" spans="1:13" x14ac:dyDescent="0.3">
      <c r="A1890" s="3">
        <v>101</v>
      </c>
      <c r="B1890" s="3">
        <v>101</v>
      </c>
      <c r="C1890" s="4">
        <v>839.87850000000003</v>
      </c>
      <c r="D1890" s="4">
        <v>839.58</v>
      </c>
      <c r="E1890" s="4">
        <v>840.17700000000002</v>
      </c>
      <c r="F1890" s="4"/>
      <c r="G1890" s="4"/>
      <c r="H1890" s="27" t="s">
        <v>3468</v>
      </c>
      <c r="I1890" s="4"/>
      <c r="J1890" s="6">
        <v>0</v>
      </c>
      <c r="K1890" s="30" t="s">
        <v>3207</v>
      </c>
      <c r="L1890" s="4"/>
      <c r="M1890" s="3"/>
    </row>
    <row r="1891" spans="1:13" x14ac:dyDescent="0.3">
      <c r="A1891" s="3">
        <v>101</v>
      </c>
      <c r="B1891" s="3">
        <v>101</v>
      </c>
      <c r="C1891" s="4">
        <v>840.35749999999996</v>
      </c>
      <c r="D1891" s="4">
        <v>840.17700000000002</v>
      </c>
      <c r="E1891" s="4">
        <v>840.53800000000001</v>
      </c>
      <c r="F1891" s="4"/>
      <c r="G1891" s="4"/>
      <c r="H1891" s="28" t="s">
        <v>3469</v>
      </c>
      <c r="I1891" s="4"/>
      <c r="J1891" s="6">
        <v>0</v>
      </c>
      <c r="K1891" s="29" t="s">
        <v>3207</v>
      </c>
      <c r="L1891" s="4"/>
      <c r="M1891" s="3"/>
    </row>
    <row r="1892" spans="1:13" x14ac:dyDescent="0.3">
      <c r="A1892" s="3">
        <v>101</v>
      </c>
      <c r="B1892" s="3">
        <v>101</v>
      </c>
      <c r="C1892" s="4">
        <v>840.58199999999999</v>
      </c>
      <c r="D1892" s="4">
        <v>840.53800000000001</v>
      </c>
      <c r="E1892" s="4">
        <v>840.62599999999998</v>
      </c>
      <c r="F1892" s="4"/>
      <c r="G1892" s="4"/>
      <c r="H1892" s="27" t="s">
        <v>3470</v>
      </c>
      <c r="I1892" s="4"/>
      <c r="J1892" s="6">
        <v>0</v>
      </c>
      <c r="K1892" s="30" t="s">
        <v>3207</v>
      </c>
      <c r="L1892" s="4"/>
      <c r="M1892" s="3"/>
    </row>
    <row r="1893" spans="1:13" x14ac:dyDescent="0.3">
      <c r="A1893" s="3">
        <v>101</v>
      </c>
      <c r="B1893" s="3">
        <v>101</v>
      </c>
      <c r="C1893" s="4">
        <v>840.9615</v>
      </c>
      <c r="D1893" s="4">
        <v>840.62599999999998</v>
      </c>
      <c r="E1893" s="4">
        <v>841.29700000000003</v>
      </c>
      <c r="F1893" s="4"/>
      <c r="G1893" s="4"/>
      <c r="H1893" s="28" t="s">
        <v>3471</v>
      </c>
      <c r="I1893" s="4"/>
      <c r="J1893" s="6">
        <v>0</v>
      </c>
      <c r="K1893" s="29" t="s">
        <v>3207</v>
      </c>
      <c r="L1893" s="4"/>
      <c r="M1893" s="3"/>
    </row>
    <row r="1894" spans="1:13" x14ac:dyDescent="0.3">
      <c r="A1894" s="3">
        <v>101</v>
      </c>
      <c r="B1894" s="3">
        <v>101</v>
      </c>
      <c r="C1894" s="4">
        <v>841.34550000000002</v>
      </c>
      <c r="D1894" s="4">
        <v>841.29700000000003</v>
      </c>
      <c r="E1894" s="4">
        <v>841.39400000000001</v>
      </c>
      <c r="F1894" s="4"/>
      <c r="G1894" s="4"/>
      <c r="H1894" s="27" t="s">
        <v>3472</v>
      </c>
      <c r="I1894" s="4"/>
      <c r="J1894" s="6">
        <v>0</v>
      </c>
      <c r="K1894" s="30" t="s">
        <v>3207</v>
      </c>
      <c r="L1894" s="4"/>
      <c r="M1894" s="3"/>
    </row>
    <row r="1895" spans="1:13" x14ac:dyDescent="0.3">
      <c r="A1895" s="3">
        <v>101</v>
      </c>
      <c r="B1895" s="3">
        <v>101</v>
      </c>
      <c r="C1895" s="4">
        <v>841.6</v>
      </c>
      <c r="D1895" s="4">
        <v>841.39400000000001</v>
      </c>
      <c r="E1895" s="4">
        <v>841.80600000000004</v>
      </c>
      <c r="F1895" s="4"/>
      <c r="G1895" s="4"/>
      <c r="H1895" s="28" t="s">
        <v>3473</v>
      </c>
      <c r="I1895" s="4"/>
      <c r="J1895" s="6">
        <v>0</v>
      </c>
      <c r="K1895" s="29" t="s">
        <v>3207</v>
      </c>
      <c r="L1895" s="4"/>
      <c r="M1895" s="3"/>
    </row>
    <row r="1896" spans="1:13" x14ac:dyDescent="0.3">
      <c r="A1896" s="3">
        <v>101</v>
      </c>
      <c r="B1896" s="3">
        <v>101</v>
      </c>
      <c r="C1896" s="4">
        <v>841.95550000000003</v>
      </c>
      <c r="D1896" s="4">
        <v>841.80600000000004</v>
      </c>
      <c r="E1896" s="4">
        <v>842.10500000000002</v>
      </c>
      <c r="F1896" s="4"/>
      <c r="G1896" s="4"/>
      <c r="H1896" s="27" t="s">
        <v>3474</v>
      </c>
      <c r="I1896" s="4"/>
      <c r="J1896" s="6">
        <v>0</v>
      </c>
      <c r="K1896" s="30" t="s">
        <v>3207</v>
      </c>
      <c r="L1896" s="4"/>
      <c r="M1896" s="3"/>
    </row>
    <row r="1897" spans="1:13" x14ac:dyDescent="0.3">
      <c r="A1897" s="3">
        <v>101</v>
      </c>
      <c r="B1897" s="3">
        <v>101</v>
      </c>
      <c r="C1897" s="4">
        <v>842.42849999999999</v>
      </c>
      <c r="D1897" s="4">
        <v>842.10500000000002</v>
      </c>
      <c r="E1897" s="4">
        <v>842.75199999999995</v>
      </c>
      <c r="F1897" s="4"/>
      <c r="G1897" s="4"/>
      <c r="H1897" s="28" t="s">
        <v>3475</v>
      </c>
      <c r="I1897" s="4"/>
      <c r="J1897" s="6">
        <v>0</v>
      </c>
      <c r="K1897" s="29" t="s">
        <v>3207</v>
      </c>
      <c r="L1897" s="4"/>
      <c r="M1897" s="3"/>
    </row>
    <row r="1898" spans="1:13" x14ac:dyDescent="0.3">
      <c r="A1898" s="3">
        <v>101</v>
      </c>
      <c r="B1898" s="3">
        <v>101</v>
      </c>
      <c r="C1898" s="4">
        <v>843.22550000000001</v>
      </c>
      <c r="D1898" s="4">
        <v>842.75199999999995</v>
      </c>
      <c r="E1898" s="4">
        <v>843.69899999999996</v>
      </c>
      <c r="F1898" s="4"/>
      <c r="G1898" s="4"/>
      <c r="H1898" s="27" t="s">
        <v>3476</v>
      </c>
      <c r="I1898" s="4"/>
      <c r="J1898" s="6">
        <v>0</v>
      </c>
      <c r="K1898" s="30" t="s">
        <v>3207</v>
      </c>
      <c r="L1898" s="4"/>
      <c r="M1898" s="3"/>
    </row>
    <row r="1899" spans="1:13" x14ac:dyDescent="0.3">
      <c r="A1899" s="3">
        <v>101</v>
      </c>
      <c r="B1899" s="3">
        <v>101</v>
      </c>
      <c r="C1899" s="4">
        <v>843.95399999999995</v>
      </c>
      <c r="D1899" s="4">
        <v>843.69899999999996</v>
      </c>
      <c r="E1899" s="4">
        <v>844.20899999999995</v>
      </c>
      <c r="F1899" s="4"/>
      <c r="G1899" s="4"/>
      <c r="H1899" s="28" t="s">
        <v>3477</v>
      </c>
      <c r="I1899" s="4"/>
      <c r="J1899" s="6">
        <v>0</v>
      </c>
      <c r="K1899" s="29" t="s">
        <v>3207</v>
      </c>
      <c r="L1899" s="4"/>
      <c r="M1899" s="3"/>
    </row>
    <row r="1900" spans="1:13" x14ac:dyDescent="0.3">
      <c r="A1900" s="3">
        <v>101</v>
      </c>
      <c r="B1900" s="3">
        <v>101</v>
      </c>
      <c r="C1900" s="4">
        <v>844.846</v>
      </c>
      <c r="D1900" s="4">
        <v>844.20899999999995</v>
      </c>
      <c r="E1900" s="4">
        <v>845.48299999999995</v>
      </c>
      <c r="F1900" s="4"/>
      <c r="G1900" s="4"/>
      <c r="H1900" s="27" t="s">
        <v>3478</v>
      </c>
      <c r="I1900" s="4"/>
      <c r="J1900" s="6">
        <v>0</v>
      </c>
      <c r="K1900" s="30" t="s">
        <v>3207</v>
      </c>
      <c r="L1900" s="4"/>
      <c r="M1900" s="3"/>
    </row>
    <row r="1901" spans="1:13" x14ac:dyDescent="0.3">
      <c r="A1901" s="3">
        <v>101</v>
      </c>
      <c r="B1901" s="3">
        <v>101</v>
      </c>
      <c r="C1901" s="4">
        <v>845.87750000000005</v>
      </c>
      <c r="D1901" s="4">
        <v>845.48299999999995</v>
      </c>
      <c r="E1901" s="4">
        <v>846.27200000000005</v>
      </c>
      <c r="F1901" s="4"/>
      <c r="G1901" s="4"/>
      <c r="H1901" s="28" t="s">
        <v>3479</v>
      </c>
      <c r="I1901" s="4"/>
      <c r="J1901" s="6">
        <v>0</v>
      </c>
      <c r="K1901" s="29" t="s">
        <v>3207</v>
      </c>
      <c r="L1901" s="4"/>
      <c r="M1901" s="3"/>
    </row>
    <row r="1902" spans="1:13" x14ac:dyDescent="0.3">
      <c r="A1902" s="3">
        <v>101</v>
      </c>
      <c r="B1902" s="3">
        <v>101</v>
      </c>
      <c r="C1902" s="4">
        <v>847.04899999999998</v>
      </c>
      <c r="D1902" s="4">
        <v>846.27200000000005</v>
      </c>
      <c r="E1902" s="4">
        <v>847.82600000000002</v>
      </c>
      <c r="F1902" s="4"/>
      <c r="G1902" s="4"/>
      <c r="H1902" s="27" t="s">
        <v>3480</v>
      </c>
      <c r="I1902" s="4"/>
      <c r="J1902" s="6">
        <v>0</v>
      </c>
      <c r="K1902" s="30" t="s">
        <v>3207</v>
      </c>
      <c r="L1902" s="4"/>
      <c r="M1902" s="3"/>
    </row>
    <row r="1903" spans="1:13" x14ac:dyDescent="0.3">
      <c r="A1903" s="3">
        <v>101</v>
      </c>
      <c r="B1903" s="3">
        <v>101</v>
      </c>
      <c r="C1903" s="4">
        <v>848.02850000000001</v>
      </c>
      <c r="D1903" s="4">
        <v>847.82600000000002</v>
      </c>
      <c r="E1903" s="4">
        <v>848.23099999999999</v>
      </c>
      <c r="F1903" s="4"/>
      <c r="G1903" s="4"/>
      <c r="H1903" s="28" t="s">
        <v>3481</v>
      </c>
      <c r="I1903" s="4"/>
      <c r="J1903" s="6">
        <v>0</v>
      </c>
      <c r="K1903" s="29" t="s">
        <v>3207</v>
      </c>
      <c r="L1903" s="4"/>
      <c r="M1903" s="3"/>
    </row>
    <row r="1904" spans="1:13" x14ac:dyDescent="0.3">
      <c r="A1904" s="3">
        <v>101</v>
      </c>
      <c r="B1904" s="3">
        <v>101</v>
      </c>
      <c r="C1904" s="4">
        <v>848.71699999999998</v>
      </c>
      <c r="D1904" s="4">
        <v>848.23099999999999</v>
      </c>
      <c r="E1904" s="4">
        <v>849.20299999999997</v>
      </c>
      <c r="F1904" s="4"/>
      <c r="G1904" s="4"/>
      <c r="H1904" s="27" t="s">
        <v>3482</v>
      </c>
      <c r="I1904" s="4"/>
      <c r="J1904" s="6">
        <v>0</v>
      </c>
      <c r="K1904" s="30" t="s">
        <v>3207</v>
      </c>
      <c r="L1904" s="4"/>
      <c r="M1904" s="3"/>
    </row>
    <row r="1905" spans="1:13" x14ac:dyDescent="0.3">
      <c r="A1905" s="3">
        <v>101</v>
      </c>
      <c r="B1905" s="3">
        <v>101</v>
      </c>
      <c r="C1905" s="4">
        <v>849.82399999999996</v>
      </c>
      <c r="D1905" s="4">
        <v>849.20299999999997</v>
      </c>
      <c r="E1905" s="4">
        <v>850.44500000000005</v>
      </c>
      <c r="F1905" s="4"/>
      <c r="G1905" s="4"/>
      <c r="H1905" s="28" t="s">
        <v>3483</v>
      </c>
      <c r="I1905" s="4"/>
      <c r="J1905" s="6">
        <v>0</v>
      </c>
      <c r="K1905" s="29" t="s">
        <v>3207</v>
      </c>
      <c r="L1905" s="4"/>
      <c r="M1905" s="3"/>
    </row>
    <row r="1906" spans="1:13" x14ac:dyDescent="0.3">
      <c r="A1906" s="3">
        <v>101</v>
      </c>
      <c r="B1906" s="3">
        <v>101</v>
      </c>
      <c r="C1906" s="4">
        <v>851.28150000000005</v>
      </c>
      <c r="D1906" s="4">
        <v>850.44500000000005</v>
      </c>
      <c r="E1906" s="4">
        <v>852.11800000000005</v>
      </c>
      <c r="F1906" s="4"/>
      <c r="G1906" s="4"/>
      <c r="H1906" s="27" t="s">
        <v>3484</v>
      </c>
      <c r="I1906" s="4"/>
      <c r="J1906" s="6">
        <v>0</v>
      </c>
      <c r="K1906" s="30" t="s">
        <v>3207</v>
      </c>
      <c r="L1906" s="4"/>
      <c r="M1906" s="3"/>
    </row>
    <row r="1907" spans="1:13" x14ac:dyDescent="0.3">
      <c r="A1907" s="3">
        <v>101</v>
      </c>
      <c r="B1907" s="3">
        <v>101</v>
      </c>
      <c r="C1907" s="4">
        <v>852.57399999999996</v>
      </c>
      <c r="D1907" s="4">
        <v>852.11800000000005</v>
      </c>
      <c r="E1907" s="4">
        <v>853.03</v>
      </c>
      <c r="F1907" s="4"/>
      <c r="G1907" s="4"/>
      <c r="H1907" s="28" t="s">
        <v>3485</v>
      </c>
      <c r="I1907" s="4"/>
      <c r="J1907" s="6">
        <v>0</v>
      </c>
      <c r="K1907" s="29" t="s">
        <v>3207</v>
      </c>
      <c r="L1907" s="4"/>
      <c r="M1907" s="3"/>
    </row>
    <row r="1908" spans="1:13" x14ac:dyDescent="0.3">
      <c r="A1908" s="3">
        <v>101</v>
      </c>
      <c r="B1908" s="3">
        <v>101</v>
      </c>
      <c r="C1908" s="4">
        <v>853.13049999999998</v>
      </c>
      <c r="D1908" s="4">
        <v>853.03</v>
      </c>
      <c r="E1908" s="4">
        <v>853.23099999999999</v>
      </c>
      <c r="F1908" s="4"/>
      <c r="G1908" s="4"/>
      <c r="H1908" s="27" t="s">
        <v>3486</v>
      </c>
      <c r="I1908" s="4"/>
      <c r="J1908" s="6">
        <v>0</v>
      </c>
      <c r="K1908" s="30" t="s">
        <v>3207</v>
      </c>
      <c r="L1908" s="4"/>
      <c r="M1908" s="3"/>
    </row>
    <row r="1909" spans="1:13" x14ac:dyDescent="0.3">
      <c r="A1909" s="3">
        <v>101</v>
      </c>
      <c r="B1909" s="3">
        <v>101</v>
      </c>
      <c r="C1909" s="4">
        <v>853.71749999999997</v>
      </c>
      <c r="D1909" s="4">
        <v>853.23099999999999</v>
      </c>
      <c r="E1909" s="4">
        <v>854.20399999999995</v>
      </c>
      <c r="F1909" s="4"/>
      <c r="G1909" s="4"/>
      <c r="H1909" s="28" t="s">
        <v>3487</v>
      </c>
      <c r="I1909" s="4"/>
      <c r="J1909" s="6">
        <v>0</v>
      </c>
      <c r="K1909" s="29" t="s">
        <v>3207</v>
      </c>
      <c r="L1909" s="4"/>
      <c r="M1909" s="3"/>
    </row>
    <row r="1910" spans="1:13" x14ac:dyDescent="0.3">
      <c r="A1910" s="3">
        <v>101</v>
      </c>
      <c r="B1910" s="3">
        <v>101</v>
      </c>
      <c r="C1910" s="4">
        <v>854.32550000000003</v>
      </c>
      <c r="D1910" s="4">
        <v>854.20399999999995</v>
      </c>
      <c r="E1910" s="4">
        <v>854.447</v>
      </c>
      <c r="F1910" s="4"/>
      <c r="G1910" s="4"/>
      <c r="H1910" s="27" t="s">
        <v>3488</v>
      </c>
      <c r="I1910" s="4"/>
      <c r="J1910" s="6">
        <v>0</v>
      </c>
      <c r="K1910" s="30" t="s">
        <v>3207</v>
      </c>
      <c r="L1910" s="4"/>
      <c r="M1910" s="3"/>
    </row>
    <row r="1911" spans="1:13" x14ac:dyDescent="0.3">
      <c r="A1911" s="3">
        <v>101</v>
      </c>
      <c r="B1911" s="3">
        <v>101</v>
      </c>
      <c r="C1911" s="4">
        <v>854.82050000000004</v>
      </c>
      <c r="D1911" s="4">
        <v>854.447</v>
      </c>
      <c r="E1911" s="4">
        <v>855.19399999999996</v>
      </c>
      <c r="F1911" s="4"/>
      <c r="G1911" s="4"/>
      <c r="H1911" s="28" t="s">
        <v>3489</v>
      </c>
      <c r="I1911" s="4"/>
      <c r="J1911" s="6">
        <v>0</v>
      </c>
      <c r="K1911" s="29" t="s">
        <v>3207</v>
      </c>
      <c r="L1911" s="4"/>
      <c r="M1911" s="3"/>
    </row>
    <row r="1912" spans="1:13" x14ac:dyDescent="0.3">
      <c r="A1912" s="3">
        <v>101</v>
      </c>
      <c r="B1912" s="3">
        <v>101</v>
      </c>
      <c r="C1912" s="4">
        <v>855.48050000000001</v>
      </c>
      <c r="D1912" s="4">
        <v>855.19399999999996</v>
      </c>
      <c r="E1912" s="4">
        <v>855.76700000000005</v>
      </c>
      <c r="F1912" s="4"/>
      <c r="G1912" s="4"/>
      <c r="H1912" s="27" t="s">
        <v>3490</v>
      </c>
      <c r="I1912" s="4"/>
      <c r="J1912" s="6">
        <v>0</v>
      </c>
      <c r="K1912" s="30" t="s">
        <v>3207</v>
      </c>
      <c r="L1912" s="4"/>
      <c r="M1912" s="3"/>
    </row>
    <row r="1913" spans="1:13" x14ac:dyDescent="0.3">
      <c r="A1913" s="3">
        <v>101</v>
      </c>
      <c r="B1913" s="3">
        <v>101</v>
      </c>
      <c r="C1913" s="4">
        <v>856.04750000000001</v>
      </c>
      <c r="D1913" s="4">
        <v>855.76700000000005</v>
      </c>
      <c r="E1913" s="4">
        <v>856.32799999999997</v>
      </c>
      <c r="F1913" s="4"/>
      <c r="G1913" s="4"/>
      <c r="H1913" s="28" t="s">
        <v>3491</v>
      </c>
      <c r="I1913" s="4"/>
      <c r="J1913" s="6">
        <v>0</v>
      </c>
      <c r="K1913" s="29" t="s">
        <v>3207</v>
      </c>
      <c r="L1913" s="4"/>
      <c r="M1913" s="3"/>
    </row>
    <row r="1914" spans="1:13" x14ac:dyDescent="0.3">
      <c r="A1914" s="3">
        <v>101</v>
      </c>
      <c r="B1914" s="3">
        <v>101</v>
      </c>
      <c r="C1914" s="4">
        <v>856.36450000000002</v>
      </c>
      <c r="D1914" s="4">
        <v>856.32799999999997</v>
      </c>
      <c r="E1914" s="4">
        <v>856.40099999999995</v>
      </c>
      <c r="F1914" s="4"/>
      <c r="G1914" s="4"/>
      <c r="H1914" s="27" t="s">
        <v>3492</v>
      </c>
      <c r="I1914" s="4"/>
      <c r="J1914" s="6">
        <v>0</v>
      </c>
      <c r="K1914" s="30" t="s">
        <v>3207</v>
      </c>
      <c r="L1914" s="4"/>
      <c r="M1914" s="3"/>
    </row>
    <row r="1915" spans="1:13" x14ac:dyDescent="0.3">
      <c r="A1915" s="3">
        <v>101</v>
      </c>
      <c r="B1915" s="3">
        <v>101</v>
      </c>
      <c r="C1915" s="4">
        <v>856.923</v>
      </c>
      <c r="D1915" s="4">
        <v>856.40099999999995</v>
      </c>
      <c r="E1915" s="4">
        <v>857.44500000000005</v>
      </c>
      <c r="F1915" s="4"/>
      <c r="G1915" s="4"/>
      <c r="H1915" s="28" t="s">
        <v>3493</v>
      </c>
      <c r="I1915" s="4"/>
      <c r="J1915" s="6">
        <v>0</v>
      </c>
      <c r="K1915" s="29" t="s">
        <v>3207</v>
      </c>
      <c r="L1915" s="4"/>
      <c r="M1915" s="3"/>
    </row>
    <row r="1916" spans="1:13" x14ac:dyDescent="0.3">
      <c r="A1916" s="3">
        <v>101</v>
      </c>
      <c r="B1916" s="3">
        <v>101</v>
      </c>
      <c r="C1916" s="4">
        <v>857.53</v>
      </c>
      <c r="D1916" s="4">
        <v>857.44500000000005</v>
      </c>
      <c r="E1916" s="4">
        <v>857.61500000000001</v>
      </c>
      <c r="F1916" s="4"/>
      <c r="G1916" s="4"/>
      <c r="H1916" s="27" t="s">
        <v>3494</v>
      </c>
      <c r="I1916" s="4"/>
      <c r="J1916" s="6">
        <v>0</v>
      </c>
      <c r="K1916" s="30" t="s">
        <v>3207</v>
      </c>
      <c r="L1916" s="4"/>
      <c r="M1916" s="3"/>
    </row>
    <row r="1917" spans="1:13" x14ac:dyDescent="0.3">
      <c r="A1917" s="3">
        <v>101</v>
      </c>
      <c r="B1917" s="3">
        <v>101</v>
      </c>
      <c r="C1917" s="4">
        <v>858.32600000000002</v>
      </c>
      <c r="D1917" s="4">
        <v>857.61500000000001</v>
      </c>
      <c r="E1917" s="4">
        <v>859.03700000000003</v>
      </c>
      <c r="F1917" s="4"/>
      <c r="G1917" s="4"/>
      <c r="H1917" s="28" t="s">
        <v>3495</v>
      </c>
      <c r="I1917" s="4"/>
      <c r="J1917" s="6">
        <v>0</v>
      </c>
      <c r="K1917" s="29" t="s">
        <v>3207</v>
      </c>
      <c r="L1917" s="4"/>
      <c r="M1917" s="3"/>
    </row>
    <row r="1918" spans="1:13" x14ac:dyDescent="0.3">
      <c r="A1918" s="3">
        <v>101</v>
      </c>
      <c r="B1918" s="3">
        <v>101</v>
      </c>
      <c r="C1918" s="4">
        <v>859.10450000000003</v>
      </c>
      <c r="D1918" s="4">
        <v>859.03700000000003</v>
      </c>
      <c r="E1918" s="4">
        <v>859.17200000000003</v>
      </c>
      <c r="F1918" s="4"/>
      <c r="G1918" s="4"/>
      <c r="H1918" s="27" t="s">
        <v>3496</v>
      </c>
      <c r="I1918" s="4"/>
      <c r="J1918" s="6">
        <v>0</v>
      </c>
      <c r="K1918" s="30" t="s">
        <v>3207</v>
      </c>
      <c r="L1918" s="4"/>
      <c r="M1918" s="3"/>
    </row>
    <row r="1919" spans="1:13" x14ac:dyDescent="0.3">
      <c r="A1919" s="3">
        <v>101</v>
      </c>
      <c r="B1919" s="3">
        <v>101</v>
      </c>
      <c r="C1919" s="4">
        <v>859.41300000000001</v>
      </c>
      <c r="D1919" s="4">
        <v>859.17200000000003</v>
      </c>
      <c r="E1919" s="4">
        <v>859.654</v>
      </c>
      <c r="F1919" s="4"/>
      <c r="G1919" s="4"/>
      <c r="H1919" s="28" t="s">
        <v>3497</v>
      </c>
      <c r="I1919" s="4"/>
      <c r="J1919" s="6">
        <v>0</v>
      </c>
      <c r="K1919" s="29" t="s">
        <v>3207</v>
      </c>
      <c r="L1919" s="4"/>
      <c r="M1919" s="3"/>
    </row>
    <row r="1920" spans="1:13" x14ac:dyDescent="0.3">
      <c r="A1920" s="3">
        <v>101</v>
      </c>
      <c r="B1920" s="3">
        <v>101</v>
      </c>
      <c r="C1920" s="4">
        <v>860.28099999999995</v>
      </c>
      <c r="D1920" s="4">
        <v>859.654</v>
      </c>
      <c r="E1920" s="4">
        <v>860.90800000000002</v>
      </c>
      <c r="F1920" s="4"/>
      <c r="G1920" s="4"/>
      <c r="H1920" s="27" t="s">
        <v>3498</v>
      </c>
      <c r="I1920" s="4"/>
      <c r="J1920" s="6">
        <v>0</v>
      </c>
      <c r="K1920" s="30" t="s">
        <v>3207</v>
      </c>
      <c r="L1920" s="4"/>
      <c r="M1920" s="3"/>
    </row>
    <row r="1921" spans="1:13" x14ac:dyDescent="0.3">
      <c r="A1921" s="3">
        <v>101</v>
      </c>
      <c r="B1921" s="3">
        <v>101</v>
      </c>
      <c r="C1921" s="4">
        <v>861.38900000000001</v>
      </c>
      <c r="D1921" s="4">
        <v>860.90800000000002</v>
      </c>
      <c r="E1921" s="4">
        <v>861.87</v>
      </c>
      <c r="F1921" s="4"/>
      <c r="G1921" s="4"/>
      <c r="H1921" s="28" t="s">
        <v>3499</v>
      </c>
      <c r="I1921" s="4"/>
      <c r="J1921" s="6">
        <v>0</v>
      </c>
      <c r="K1921" s="29" t="s">
        <v>3207</v>
      </c>
      <c r="L1921" s="4"/>
      <c r="M1921" s="3"/>
    </row>
    <row r="1922" spans="1:13" x14ac:dyDescent="0.3">
      <c r="A1922" s="3">
        <v>101</v>
      </c>
      <c r="B1922" s="3">
        <v>101</v>
      </c>
      <c r="C1922" s="4">
        <v>862.44349999999997</v>
      </c>
      <c r="D1922" s="4">
        <v>861.87</v>
      </c>
      <c r="E1922" s="4">
        <v>863.01700000000005</v>
      </c>
      <c r="F1922" s="4"/>
      <c r="G1922" s="4"/>
      <c r="H1922" s="27" t="s">
        <v>3500</v>
      </c>
      <c r="I1922" s="4"/>
      <c r="J1922" s="6">
        <v>0</v>
      </c>
      <c r="K1922" s="30" t="s">
        <v>3207</v>
      </c>
      <c r="L1922" s="4"/>
      <c r="M1922" s="3"/>
    </row>
    <row r="1923" spans="1:13" x14ac:dyDescent="0.3">
      <c r="A1923" s="3">
        <v>101</v>
      </c>
      <c r="B1923" s="3">
        <v>101</v>
      </c>
      <c r="C1923" s="4">
        <v>863.35550000000001</v>
      </c>
      <c r="D1923" s="4">
        <v>863.01700000000005</v>
      </c>
      <c r="E1923" s="4">
        <v>863.69399999999996</v>
      </c>
      <c r="F1923" s="4"/>
      <c r="G1923" s="4"/>
      <c r="H1923" s="28" t="s">
        <v>3501</v>
      </c>
      <c r="I1923" s="4"/>
      <c r="J1923" s="6">
        <v>0</v>
      </c>
      <c r="K1923" s="29" t="s">
        <v>3207</v>
      </c>
      <c r="L1923" s="4"/>
      <c r="M1923" s="3"/>
    </row>
    <row r="1924" spans="1:13" x14ac:dyDescent="0.3">
      <c r="A1924" s="3">
        <v>101</v>
      </c>
      <c r="B1924" s="3">
        <v>101</v>
      </c>
      <c r="C1924" s="4">
        <v>863.8895</v>
      </c>
      <c r="D1924" s="4">
        <v>863.69399999999996</v>
      </c>
      <c r="E1924" s="4">
        <v>864.08500000000004</v>
      </c>
      <c r="F1924" s="4"/>
      <c r="G1924" s="4"/>
      <c r="H1924" s="27" t="s">
        <v>3502</v>
      </c>
      <c r="I1924" s="4"/>
      <c r="J1924" s="6">
        <v>0</v>
      </c>
      <c r="K1924" s="30" t="s">
        <v>3207</v>
      </c>
      <c r="L1924" s="4"/>
      <c r="M1924" s="3"/>
    </row>
    <row r="1925" spans="1:13" x14ac:dyDescent="0.3">
      <c r="A1925" s="3">
        <v>101</v>
      </c>
      <c r="B1925" s="3">
        <v>101</v>
      </c>
      <c r="C1925" s="4">
        <v>864.7165</v>
      </c>
      <c r="D1925" s="4">
        <v>864.08500000000004</v>
      </c>
      <c r="E1925" s="4">
        <v>865.34799999999996</v>
      </c>
      <c r="F1925" s="4"/>
      <c r="G1925" s="4"/>
      <c r="H1925" s="28" t="s">
        <v>3503</v>
      </c>
      <c r="I1925" s="4"/>
      <c r="J1925" s="6">
        <v>0</v>
      </c>
      <c r="K1925" s="29" t="s">
        <v>3207</v>
      </c>
      <c r="L1925" s="4"/>
      <c r="M1925" s="3"/>
    </row>
    <row r="1926" spans="1:13" x14ac:dyDescent="0.3">
      <c r="A1926" s="3">
        <v>101</v>
      </c>
      <c r="B1926" s="3">
        <v>101</v>
      </c>
      <c r="C1926" s="4">
        <v>865.84799999999996</v>
      </c>
      <c r="D1926" s="4">
        <v>865.34799999999996</v>
      </c>
      <c r="E1926" s="4">
        <v>866.34799999999996</v>
      </c>
      <c r="F1926" s="4"/>
      <c r="G1926" s="4"/>
      <c r="H1926" s="27" t="s">
        <v>3504</v>
      </c>
      <c r="I1926" s="4"/>
      <c r="J1926" s="6">
        <v>0</v>
      </c>
      <c r="K1926" s="30" t="s">
        <v>3207</v>
      </c>
      <c r="L1926" s="4"/>
      <c r="M1926" s="3"/>
    </row>
    <row r="1927" spans="1:13" x14ac:dyDescent="0.3">
      <c r="A1927" s="3">
        <v>101</v>
      </c>
      <c r="B1927" s="3">
        <v>101</v>
      </c>
      <c r="C1927" s="4">
        <v>866.62950000000001</v>
      </c>
      <c r="D1927" s="4">
        <v>866.34799999999996</v>
      </c>
      <c r="E1927" s="4">
        <v>866.91099999999994</v>
      </c>
      <c r="F1927" s="4"/>
      <c r="G1927" s="4"/>
      <c r="H1927" s="28" t="s">
        <v>3505</v>
      </c>
      <c r="I1927" s="4"/>
      <c r="J1927" s="6">
        <v>0</v>
      </c>
      <c r="K1927" s="29" t="s">
        <v>3207</v>
      </c>
      <c r="L1927" s="4"/>
      <c r="M1927" s="3"/>
    </row>
    <row r="1928" spans="1:13" x14ac:dyDescent="0.3">
      <c r="A1928" s="3">
        <v>101</v>
      </c>
      <c r="B1928" s="3">
        <v>101</v>
      </c>
      <c r="C1928" s="4">
        <v>866.98249999999996</v>
      </c>
      <c r="D1928" s="4">
        <v>866.91099999999994</v>
      </c>
      <c r="E1928" s="4">
        <v>867.05399999999997</v>
      </c>
      <c r="F1928" s="4"/>
      <c r="G1928" s="4"/>
      <c r="H1928" s="27" t="s">
        <v>3506</v>
      </c>
      <c r="I1928" s="4"/>
      <c r="J1928" s="6">
        <v>0</v>
      </c>
      <c r="K1928" s="30" t="s">
        <v>3207</v>
      </c>
      <c r="L1928" s="4"/>
      <c r="M1928" s="3"/>
    </row>
    <row r="1929" spans="1:13" x14ac:dyDescent="0.3">
      <c r="A1929" s="3">
        <v>101</v>
      </c>
      <c r="B1929" s="3">
        <v>101</v>
      </c>
      <c r="C1929" s="4">
        <v>867.42399999999998</v>
      </c>
      <c r="D1929" s="4">
        <v>867.05399999999997</v>
      </c>
      <c r="E1929" s="4">
        <v>867.79399999999998</v>
      </c>
      <c r="F1929" s="4"/>
      <c r="G1929" s="4"/>
      <c r="H1929" s="28" t="s">
        <v>3507</v>
      </c>
      <c r="I1929" s="4"/>
      <c r="J1929" s="6">
        <v>0</v>
      </c>
      <c r="K1929" s="29" t="s">
        <v>3207</v>
      </c>
      <c r="L1929" s="4"/>
      <c r="M1929" s="3"/>
    </row>
    <row r="1930" spans="1:13" x14ac:dyDescent="0.3">
      <c r="A1930" s="3">
        <v>101</v>
      </c>
      <c r="B1930" s="3">
        <v>101</v>
      </c>
      <c r="C1930" s="4">
        <v>868.39850000000001</v>
      </c>
      <c r="D1930" s="4">
        <v>867.79399999999998</v>
      </c>
      <c r="E1930" s="4">
        <v>869.00300000000004</v>
      </c>
      <c r="F1930" s="4"/>
      <c r="G1930" s="4"/>
      <c r="H1930" s="27" t="s">
        <v>3508</v>
      </c>
      <c r="I1930" s="4"/>
      <c r="J1930" s="6">
        <v>0</v>
      </c>
      <c r="K1930" s="30" t="s">
        <v>3207</v>
      </c>
      <c r="L1930" s="4"/>
      <c r="M1930" s="3"/>
    </row>
    <row r="1931" spans="1:13" x14ac:dyDescent="0.3">
      <c r="A1931" s="3">
        <v>101</v>
      </c>
      <c r="B1931" s="3">
        <v>101</v>
      </c>
      <c r="C1931" s="4">
        <v>869.43650000000002</v>
      </c>
      <c r="D1931" s="4">
        <v>869.00300000000004</v>
      </c>
      <c r="E1931" s="4">
        <v>869.87</v>
      </c>
      <c r="F1931" s="4"/>
      <c r="G1931" s="4"/>
      <c r="H1931" s="28" t="s">
        <v>3509</v>
      </c>
      <c r="I1931" s="4"/>
      <c r="J1931" s="6">
        <v>0</v>
      </c>
      <c r="K1931" s="29" t="s">
        <v>3207</v>
      </c>
      <c r="L1931" s="4"/>
      <c r="M1931" s="3"/>
    </row>
    <row r="1932" spans="1:13" x14ac:dyDescent="0.3">
      <c r="A1932" s="3">
        <v>101</v>
      </c>
      <c r="B1932" s="3">
        <v>101</v>
      </c>
      <c r="C1932" s="4">
        <v>870.05499999999995</v>
      </c>
      <c r="D1932" s="4">
        <v>869.87</v>
      </c>
      <c r="E1932" s="4">
        <v>870.24</v>
      </c>
      <c r="F1932" s="4"/>
      <c r="G1932" s="4"/>
      <c r="H1932" s="27" t="s">
        <v>3510</v>
      </c>
      <c r="I1932" s="4"/>
      <c r="J1932" s="6">
        <v>0</v>
      </c>
      <c r="K1932" s="30" t="s">
        <v>3207</v>
      </c>
      <c r="L1932" s="4"/>
      <c r="M1932" s="3"/>
    </row>
    <row r="1933" spans="1:13" x14ac:dyDescent="0.3">
      <c r="A1933" s="3">
        <v>101</v>
      </c>
      <c r="B1933" s="3">
        <v>101</v>
      </c>
      <c r="C1933" s="4">
        <v>870.53599999999994</v>
      </c>
      <c r="D1933" s="4">
        <v>870.24</v>
      </c>
      <c r="E1933" s="4">
        <v>870.83199999999999</v>
      </c>
      <c r="F1933" s="4"/>
      <c r="G1933" s="4"/>
      <c r="H1933" s="28" t="s">
        <v>3511</v>
      </c>
      <c r="I1933" s="4"/>
      <c r="J1933" s="6">
        <v>0</v>
      </c>
      <c r="K1933" s="29" t="s">
        <v>3207</v>
      </c>
      <c r="L1933" s="4"/>
      <c r="M1933" s="3"/>
    </row>
    <row r="1934" spans="1:13" x14ac:dyDescent="0.3">
      <c r="A1934" s="3">
        <v>101</v>
      </c>
      <c r="B1934" s="3">
        <v>101</v>
      </c>
      <c r="C1934" s="4">
        <v>871.00300000000004</v>
      </c>
      <c r="D1934" s="4">
        <v>870.83199999999999</v>
      </c>
      <c r="E1934" s="4">
        <v>871.17399999999998</v>
      </c>
      <c r="F1934" s="4"/>
      <c r="G1934" s="4"/>
      <c r="H1934" s="27" t="s">
        <v>3512</v>
      </c>
      <c r="I1934" s="4"/>
      <c r="J1934" s="6">
        <v>0</v>
      </c>
      <c r="K1934" s="30" t="s">
        <v>3207</v>
      </c>
      <c r="L1934" s="4"/>
      <c r="M1934" s="3"/>
    </row>
    <row r="1935" spans="1:13" x14ac:dyDescent="0.3">
      <c r="A1935" s="3">
        <v>101</v>
      </c>
      <c r="B1935" s="3">
        <v>101</v>
      </c>
      <c r="C1935" s="4">
        <v>871.41399999999999</v>
      </c>
      <c r="D1935" s="4">
        <v>871.17399999999998</v>
      </c>
      <c r="E1935" s="4">
        <v>871.654</v>
      </c>
      <c r="F1935" s="4"/>
      <c r="G1935" s="4"/>
      <c r="H1935" s="28" t="s">
        <v>3513</v>
      </c>
      <c r="I1935" s="4"/>
      <c r="J1935" s="6">
        <v>0</v>
      </c>
      <c r="K1935" s="29" t="s">
        <v>3207</v>
      </c>
      <c r="L1935" s="4"/>
      <c r="M1935" s="3"/>
    </row>
    <row r="1936" spans="1:13" x14ac:dyDescent="0.3">
      <c r="A1936" s="3">
        <v>101</v>
      </c>
      <c r="B1936" s="3">
        <v>101</v>
      </c>
      <c r="C1936" s="4">
        <v>872.40599999999995</v>
      </c>
      <c r="D1936" s="4">
        <v>871.654</v>
      </c>
      <c r="E1936" s="4">
        <v>873.15800000000002</v>
      </c>
      <c r="F1936" s="4"/>
      <c r="G1936" s="4"/>
      <c r="H1936" s="27" t="s">
        <v>3514</v>
      </c>
      <c r="I1936" s="4"/>
      <c r="J1936" s="6">
        <v>0</v>
      </c>
      <c r="K1936" s="30" t="s">
        <v>3207</v>
      </c>
      <c r="L1936" s="4"/>
      <c r="M1936" s="3"/>
    </row>
    <row r="1937" spans="1:13" x14ac:dyDescent="0.3">
      <c r="A1937" s="3">
        <v>101</v>
      </c>
      <c r="B1937" s="3">
        <v>101</v>
      </c>
      <c r="C1937" s="4">
        <v>873.45899999999995</v>
      </c>
      <c r="D1937" s="4">
        <v>873.15800000000002</v>
      </c>
      <c r="E1937" s="4">
        <v>873.76</v>
      </c>
      <c r="F1937" s="4"/>
      <c r="G1937" s="4"/>
      <c r="H1937" s="28" t="s">
        <v>3515</v>
      </c>
      <c r="I1937" s="4"/>
      <c r="J1937" s="6">
        <v>0</v>
      </c>
      <c r="K1937" s="29" t="s">
        <v>3207</v>
      </c>
      <c r="L1937" s="4"/>
      <c r="M1937" s="3"/>
    </row>
    <row r="1938" spans="1:13" x14ac:dyDescent="0.3">
      <c r="A1938" s="3">
        <v>101</v>
      </c>
      <c r="B1938" s="3">
        <v>101</v>
      </c>
      <c r="C1938" s="4">
        <v>873.83100000000002</v>
      </c>
      <c r="D1938" s="4">
        <v>873.76</v>
      </c>
      <c r="E1938" s="4">
        <v>873.90200000000004</v>
      </c>
      <c r="F1938" s="4"/>
      <c r="G1938" s="4"/>
      <c r="H1938" s="27" t="s">
        <v>3516</v>
      </c>
      <c r="I1938" s="4"/>
      <c r="J1938" s="6">
        <v>0</v>
      </c>
      <c r="K1938" s="30" t="s">
        <v>3207</v>
      </c>
      <c r="L1938" s="4"/>
      <c r="M1938" s="3"/>
    </row>
    <row r="1939" spans="1:13" x14ac:dyDescent="0.3">
      <c r="A1939" s="3">
        <v>101</v>
      </c>
      <c r="B1939" s="3">
        <v>101</v>
      </c>
      <c r="C1939" s="4">
        <v>874.77449999999999</v>
      </c>
      <c r="D1939" s="4">
        <v>873.90200000000004</v>
      </c>
      <c r="E1939" s="4">
        <v>875.64700000000005</v>
      </c>
      <c r="F1939" s="4"/>
      <c r="G1939" s="4"/>
      <c r="H1939" s="28" t="s">
        <v>3517</v>
      </c>
      <c r="I1939" s="4"/>
      <c r="J1939" s="6">
        <v>0</v>
      </c>
      <c r="K1939" s="29" t="s">
        <v>3207</v>
      </c>
      <c r="L1939" s="4"/>
      <c r="M1939" s="3"/>
    </row>
    <row r="1940" spans="1:13" x14ac:dyDescent="0.3">
      <c r="A1940" s="3">
        <v>101</v>
      </c>
      <c r="B1940" s="3">
        <v>101</v>
      </c>
      <c r="C1940" s="4">
        <v>878.16300000000001</v>
      </c>
      <c r="D1940" s="4">
        <v>875.64700000000005</v>
      </c>
      <c r="E1940" s="4">
        <v>880.67899999999997</v>
      </c>
      <c r="F1940" s="4"/>
      <c r="G1940" s="4"/>
      <c r="H1940" s="27" t="s">
        <v>3518</v>
      </c>
      <c r="I1940" s="4"/>
      <c r="J1940" s="6">
        <v>0</v>
      </c>
      <c r="K1940" s="30" t="s">
        <v>3207</v>
      </c>
      <c r="L1940" s="4"/>
      <c r="M1940" s="3"/>
    </row>
    <row r="1941" spans="1:13" x14ac:dyDescent="0.3">
      <c r="A1941" s="3">
        <v>101</v>
      </c>
      <c r="B1941" s="3">
        <v>101</v>
      </c>
      <c r="C1941" s="4">
        <v>881.04700000000003</v>
      </c>
      <c r="D1941" s="4">
        <v>880.67899999999997</v>
      </c>
      <c r="E1941" s="4">
        <v>881.41499999999996</v>
      </c>
      <c r="F1941" s="4"/>
      <c r="G1941" s="4"/>
      <c r="H1941" s="28" t="s">
        <v>3519</v>
      </c>
      <c r="I1941" s="4"/>
      <c r="J1941" s="6">
        <v>0</v>
      </c>
      <c r="K1941" s="29" t="s">
        <v>3207</v>
      </c>
      <c r="L1941" s="4"/>
      <c r="M1941" s="3"/>
    </row>
    <row r="1942" spans="1:13" x14ac:dyDescent="0.3">
      <c r="A1942" s="3">
        <v>101</v>
      </c>
      <c r="B1942" s="3">
        <v>101</v>
      </c>
      <c r="C1942" s="4">
        <v>881.80150000000003</v>
      </c>
      <c r="D1942" s="4">
        <v>881.41499999999996</v>
      </c>
      <c r="E1942" s="4">
        <v>882.18799999999999</v>
      </c>
      <c r="F1942" s="4"/>
      <c r="G1942" s="4"/>
      <c r="H1942" s="27" t="s">
        <v>3520</v>
      </c>
      <c r="I1942" s="4"/>
      <c r="J1942" s="6">
        <v>0</v>
      </c>
      <c r="K1942" s="30" t="s">
        <v>3207</v>
      </c>
      <c r="L1942" s="4"/>
      <c r="M1942" s="3"/>
    </row>
    <row r="1943" spans="1:13" x14ac:dyDescent="0.3">
      <c r="A1943" s="3">
        <v>101</v>
      </c>
      <c r="B1943" s="3">
        <v>101</v>
      </c>
      <c r="C1943" s="4">
        <v>882.34100000000001</v>
      </c>
      <c r="D1943" s="4">
        <v>882.18799999999999</v>
      </c>
      <c r="E1943" s="4">
        <v>882.49400000000003</v>
      </c>
      <c r="F1943" s="4"/>
      <c r="G1943" s="4"/>
      <c r="H1943" s="28" t="s">
        <v>3521</v>
      </c>
      <c r="I1943" s="4"/>
      <c r="J1943" s="6">
        <v>0</v>
      </c>
      <c r="K1943" s="29" t="s">
        <v>3207</v>
      </c>
      <c r="L1943" s="4"/>
      <c r="M1943" s="3"/>
    </row>
    <row r="1944" spans="1:13" x14ac:dyDescent="0.3">
      <c r="A1944" s="3">
        <v>101</v>
      </c>
      <c r="B1944" s="3">
        <v>101</v>
      </c>
      <c r="C1944" s="4">
        <v>882.50699999999995</v>
      </c>
      <c r="D1944" s="4">
        <v>882.49400000000003</v>
      </c>
      <c r="E1944" s="4">
        <v>882.52</v>
      </c>
      <c r="F1944" s="4"/>
      <c r="G1944" s="4"/>
      <c r="H1944" s="27" t="s">
        <v>3522</v>
      </c>
      <c r="I1944" s="4"/>
      <c r="J1944" s="6">
        <v>0</v>
      </c>
      <c r="K1944" s="30" t="s">
        <v>3207</v>
      </c>
      <c r="L1944" s="4"/>
      <c r="M1944" s="3"/>
    </row>
    <row r="1945" spans="1:13" x14ac:dyDescent="0.3">
      <c r="A1945" s="3">
        <v>101</v>
      </c>
      <c r="B1945" s="3">
        <v>101</v>
      </c>
      <c r="C1945" s="4">
        <v>884.03250000000003</v>
      </c>
      <c r="D1945" s="4">
        <v>882.52</v>
      </c>
      <c r="E1945" s="4">
        <v>885.54499999999996</v>
      </c>
      <c r="F1945" s="4"/>
      <c r="G1945" s="4"/>
      <c r="H1945" s="28" t="s">
        <v>3523</v>
      </c>
      <c r="I1945" s="4"/>
      <c r="J1945" s="6">
        <v>0</v>
      </c>
      <c r="K1945" s="29" t="s">
        <v>3207</v>
      </c>
      <c r="L1945" s="4"/>
      <c r="M1945" s="3"/>
    </row>
    <row r="1946" spans="1:13" x14ac:dyDescent="0.3">
      <c r="A1946" s="3">
        <v>101</v>
      </c>
      <c r="B1946" s="3">
        <v>101</v>
      </c>
      <c r="C1946" s="4">
        <v>885.62950000000001</v>
      </c>
      <c r="D1946" s="4">
        <v>885.54499999999996</v>
      </c>
      <c r="E1946" s="4">
        <v>885.71400000000006</v>
      </c>
      <c r="F1946" s="4"/>
      <c r="G1946" s="4"/>
      <c r="H1946" s="27" t="s">
        <v>3524</v>
      </c>
      <c r="I1946" s="4"/>
      <c r="J1946" s="6">
        <v>0</v>
      </c>
      <c r="K1946" s="30" t="s">
        <v>3207</v>
      </c>
      <c r="L1946" s="4"/>
      <c r="M1946" s="3"/>
    </row>
    <row r="1947" spans="1:13" x14ac:dyDescent="0.3">
      <c r="A1947" s="3">
        <v>101</v>
      </c>
      <c r="B1947" s="3">
        <v>101</v>
      </c>
      <c r="C1947" s="4">
        <v>885.94799999999998</v>
      </c>
      <c r="D1947" s="4">
        <v>885.71400000000006</v>
      </c>
      <c r="E1947" s="4">
        <v>886.18200000000002</v>
      </c>
      <c r="F1947" s="4"/>
      <c r="G1947" s="4"/>
      <c r="H1947" s="28" t="s">
        <v>3525</v>
      </c>
      <c r="I1947" s="4"/>
      <c r="J1947" s="6">
        <v>0</v>
      </c>
      <c r="K1947" s="29" t="s">
        <v>3207</v>
      </c>
      <c r="L1947" s="4"/>
      <c r="M1947" s="3"/>
    </row>
    <row r="1948" spans="1:13" x14ac:dyDescent="0.3">
      <c r="A1948" s="3">
        <v>101</v>
      </c>
      <c r="B1948" s="3">
        <v>101</v>
      </c>
      <c r="C1948" s="4">
        <v>886.24450000000002</v>
      </c>
      <c r="D1948" s="4">
        <v>886.18200000000002</v>
      </c>
      <c r="E1948" s="4">
        <v>886.30700000000002</v>
      </c>
      <c r="F1948" s="4"/>
      <c r="G1948" s="4"/>
      <c r="H1948" s="27" t="s">
        <v>3526</v>
      </c>
      <c r="I1948" s="4"/>
      <c r="J1948" s="6">
        <v>0</v>
      </c>
      <c r="K1948" s="30" t="s">
        <v>3207</v>
      </c>
      <c r="L1948" s="4"/>
      <c r="M1948" s="3"/>
    </row>
    <row r="1949" spans="1:13" x14ac:dyDescent="0.3">
      <c r="A1949" s="3">
        <v>101</v>
      </c>
      <c r="B1949" s="3">
        <v>101</v>
      </c>
      <c r="C1949" s="4">
        <v>886.59849999999994</v>
      </c>
      <c r="D1949" s="4">
        <v>886.30700000000002</v>
      </c>
      <c r="E1949" s="4">
        <v>886.89</v>
      </c>
      <c r="F1949" s="4"/>
      <c r="G1949" s="4"/>
      <c r="H1949" s="28" t="s">
        <v>3527</v>
      </c>
      <c r="I1949" s="4"/>
      <c r="J1949" s="6">
        <v>0</v>
      </c>
      <c r="K1949" s="29" t="s">
        <v>3207</v>
      </c>
      <c r="L1949" s="4"/>
      <c r="M1949" s="3"/>
    </row>
    <row r="1950" spans="1:13" x14ac:dyDescent="0.3">
      <c r="A1950" s="3">
        <v>101</v>
      </c>
      <c r="B1950" s="3">
        <v>101</v>
      </c>
      <c r="C1950" s="4">
        <v>886.98950000000002</v>
      </c>
      <c r="D1950" s="4">
        <v>886.89</v>
      </c>
      <c r="E1950" s="4">
        <v>887.08900000000006</v>
      </c>
      <c r="F1950" s="4"/>
      <c r="G1950" s="4"/>
      <c r="H1950" s="27" t="s">
        <v>3528</v>
      </c>
      <c r="I1950" s="4"/>
      <c r="J1950" s="6">
        <v>0</v>
      </c>
      <c r="K1950" s="30" t="s">
        <v>3207</v>
      </c>
      <c r="L1950" s="4"/>
      <c r="M1950" s="3"/>
    </row>
    <row r="1951" spans="1:13" x14ac:dyDescent="0.3">
      <c r="A1951" s="3">
        <v>101</v>
      </c>
      <c r="B1951" s="3">
        <v>101</v>
      </c>
      <c r="C1951" s="4">
        <v>887.42200000000003</v>
      </c>
      <c r="D1951" s="4">
        <v>887.08900000000006</v>
      </c>
      <c r="E1951" s="4">
        <v>887.755</v>
      </c>
      <c r="F1951" s="4"/>
      <c r="G1951" s="4"/>
      <c r="H1951" s="28" t="s">
        <v>3529</v>
      </c>
      <c r="I1951" s="4"/>
      <c r="J1951" s="6">
        <v>0</v>
      </c>
      <c r="K1951" s="29" t="s">
        <v>3207</v>
      </c>
      <c r="L1951" s="4"/>
      <c r="M1951" s="3"/>
    </row>
    <row r="1952" spans="1:13" x14ac:dyDescent="0.3">
      <c r="A1952" s="3">
        <v>101</v>
      </c>
      <c r="B1952" s="3">
        <v>101</v>
      </c>
      <c r="C1952" s="4">
        <v>888.02300000000002</v>
      </c>
      <c r="D1952" s="4">
        <v>887.755</v>
      </c>
      <c r="E1952" s="4">
        <v>888.29100000000005</v>
      </c>
      <c r="F1952" s="4"/>
      <c r="G1952" s="4"/>
      <c r="H1952" s="27" t="s">
        <v>3530</v>
      </c>
      <c r="I1952" s="4"/>
      <c r="J1952" s="6">
        <v>0</v>
      </c>
      <c r="K1952" s="30" t="s">
        <v>3207</v>
      </c>
      <c r="L1952" s="4"/>
      <c r="M1952" s="3"/>
    </row>
    <row r="1953" spans="1:13" x14ac:dyDescent="0.3">
      <c r="A1953" s="3">
        <v>101</v>
      </c>
      <c r="B1953" s="3">
        <v>101</v>
      </c>
      <c r="C1953" s="4">
        <v>888.51700000000005</v>
      </c>
      <c r="D1953" s="4">
        <v>888.29100000000005</v>
      </c>
      <c r="E1953" s="4">
        <v>888.74300000000005</v>
      </c>
      <c r="F1953" s="4"/>
      <c r="G1953" s="4"/>
      <c r="H1953" s="28" t="s">
        <v>3531</v>
      </c>
      <c r="I1953" s="4"/>
      <c r="J1953" s="6">
        <v>0</v>
      </c>
      <c r="K1953" s="29" t="s">
        <v>3207</v>
      </c>
      <c r="L1953" s="4"/>
      <c r="M1953" s="3"/>
    </row>
    <row r="1954" spans="1:13" x14ac:dyDescent="0.3">
      <c r="A1954" s="3">
        <v>101</v>
      </c>
      <c r="B1954" s="3">
        <v>101</v>
      </c>
      <c r="C1954" s="4">
        <v>888.76</v>
      </c>
      <c r="D1954" s="4">
        <v>888.74300000000005</v>
      </c>
      <c r="E1954" s="4">
        <v>888.77700000000004</v>
      </c>
      <c r="F1954" s="4"/>
      <c r="G1954" s="4"/>
      <c r="H1954" s="27" t="s">
        <v>3532</v>
      </c>
      <c r="I1954" s="4"/>
      <c r="J1954" s="6">
        <v>0</v>
      </c>
      <c r="K1954" s="30" t="s">
        <v>3207</v>
      </c>
      <c r="L1954" s="4"/>
      <c r="M1954" s="3"/>
    </row>
    <row r="1955" spans="1:13" x14ac:dyDescent="0.3">
      <c r="A1955" s="3">
        <v>101</v>
      </c>
      <c r="B1955" s="3">
        <v>101</v>
      </c>
      <c r="C1955" s="4">
        <v>889.10850000000005</v>
      </c>
      <c r="D1955" s="4">
        <v>888.77700000000004</v>
      </c>
      <c r="E1955" s="4">
        <v>889.44</v>
      </c>
      <c r="F1955" s="4"/>
      <c r="G1955" s="4"/>
      <c r="H1955" s="28" t="s">
        <v>3533</v>
      </c>
      <c r="I1955" s="4"/>
      <c r="J1955" s="6">
        <v>0</v>
      </c>
      <c r="K1955" s="29" t="s">
        <v>3207</v>
      </c>
      <c r="L1955" s="4"/>
      <c r="M1955" s="3"/>
    </row>
    <row r="1956" spans="1:13" x14ac:dyDescent="0.3">
      <c r="A1956" s="3">
        <v>101</v>
      </c>
      <c r="B1956" s="3">
        <v>101</v>
      </c>
      <c r="C1956" s="4">
        <v>889.81299999999999</v>
      </c>
      <c r="D1956" s="4">
        <v>889.44</v>
      </c>
      <c r="E1956" s="4">
        <v>890.18600000000004</v>
      </c>
      <c r="F1956" s="4"/>
      <c r="G1956" s="4"/>
      <c r="H1956" s="27" t="s">
        <v>3534</v>
      </c>
      <c r="I1956" s="4"/>
      <c r="J1956" s="6">
        <v>0</v>
      </c>
      <c r="K1956" s="30" t="s">
        <v>3207</v>
      </c>
      <c r="L1956" s="4"/>
      <c r="M1956" s="3"/>
    </row>
    <row r="1957" spans="1:13" x14ac:dyDescent="0.3">
      <c r="A1957" s="3">
        <v>101</v>
      </c>
      <c r="B1957" s="3">
        <v>101</v>
      </c>
      <c r="C1957" s="4">
        <v>890.52</v>
      </c>
      <c r="D1957" s="4">
        <v>890.18600000000004</v>
      </c>
      <c r="E1957" s="4">
        <v>890.85400000000004</v>
      </c>
      <c r="F1957" s="4"/>
      <c r="G1957" s="4"/>
      <c r="H1957" s="28" t="s">
        <v>3535</v>
      </c>
      <c r="I1957" s="4"/>
      <c r="J1957" s="6">
        <v>0</v>
      </c>
      <c r="K1957" s="29" t="s">
        <v>3207</v>
      </c>
      <c r="L1957" s="4"/>
      <c r="M1957" s="3"/>
    </row>
    <row r="1958" spans="1:13" x14ac:dyDescent="0.3">
      <c r="A1958" s="3">
        <v>101</v>
      </c>
      <c r="B1958" s="3">
        <v>101</v>
      </c>
      <c r="C1958" s="4">
        <v>890.97199999999998</v>
      </c>
      <c r="D1958" s="4">
        <v>890.85400000000004</v>
      </c>
      <c r="E1958" s="4">
        <v>891.09</v>
      </c>
      <c r="F1958" s="4"/>
      <c r="G1958" s="4"/>
      <c r="H1958" s="27" t="s">
        <v>3536</v>
      </c>
      <c r="I1958" s="4"/>
      <c r="J1958" s="6">
        <v>0</v>
      </c>
      <c r="K1958" s="30" t="s">
        <v>3207</v>
      </c>
      <c r="L1958" s="4"/>
      <c r="M1958" s="3"/>
    </row>
    <row r="1959" spans="1:13" x14ac:dyDescent="0.3">
      <c r="A1959" s="3">
        <v>101</v>
      </c>
      <c r="B1959" s="3">
        <v>101</v>
      </c>
      <c r="C1959" s="4">
        <v>891.57</v>
      </c>
      <c r="D1959" s="4">
        <v>891.09</v>
      </c>
      <c r="E1959" s="4">
        <v>892.05</v>
      </c>
      <c r="F1959" s="4"/>
      <c r="G1959" s="4"/>
      <c r="H1959" s="28" t="s">
        <v>3537</v>
      </c>
      <c r="I1959" s="4"/>
      <c r="J1959" s="6">
        <v>0</v>
      </c>
      <c r="K1959" s="29" t="s">
        <v>3207</v>
      </c>
      <c r="L1959" s="4"/>
      <c r="M1959" s="3"/>
    </row>
    <row r="1960" spans="1:13" x14ac:dyDescent="0.3">
      <c r="A1960" s="3">
        <v>101</v>
      </c>
      <c r="B1960" s="3">
        <v>101</v>
      </c>
      <c r="C1960" s="4">
        <v>892.06650000000002</v>
      </c>
      <c r="D1960" s="4">
        <v>892.05</v>
      </c>
      <c r="E1960" s="4">
        <v>892.08299999999997</v>
      </c>
      <c r="F1960" s="4"/>
      <c r="G1960" s="4"/>
      <c r="H1960" s="27" t="s">
        <v>3538</v>
      </c>
      <c r="I1960" s="4"/>
      <c r="J1960" s="6">
        <v>0</v>
      </c>
      <c r="K1960" s="30" t="s">
        <v>3207</v>
      </c>
      <c r="L1960" s="4"/>
      <c r="M1960" s="3"/>
    </row>
    <row r="1961" spans="1:13" x14ac:dyDescent="0.3">
      <c r="A1961" s="3">
        <v>101</v>
      </c>
      <c r="B1961" s="3">
        <v>101</v>
      </c>
      <c r="C1961" s="4">
        <v>892.40300000000002</v>
      </c>
      <c r="D1961" s="4">
        <v>892.08299999999997</v>
      </c>
      <c r="E1961" s="4">
        <v>892.72299999999996</v>
      </c>
      <c r="F1961" s="4"/>
      <c r="G1961" s="4"/>
      <c r="H1961" s="28" t="s">
        <v>3539</v>
      </c>
      <c r="I1961" s="4"/>
      <c r="J1961" s="6">
        <v>0</v>
      </c>
      <c r="K1961" s="29" t="s">
        <v>3207</v>
      </c>
      <c r="L1961" s="4"/>
      <c r="M1961" s="3"/>
    </row>
    <row r="1962" spans="1:13" x14ac:dyDescent="0.3">
      <c r="A1962" s="3">
        <v>101</v>
      </c>
      <c r="B1962" s="3">
        <v>101</v>
      </c>
      <c r="C1962" s="4">
        <v>892.88699999999994</v>
      </c>
      <c r="D1962" s="4">
        <v>892.72299999999996</v>
      </c>
      <c r="E1962" s="4">
        <v>893.05100000000004</v>
      </c>
      <c r="F1962" s="4"/>
      <c r="G1962" s="4"/>
      <c r="H1962" s="27" t="s">
        <v>3540</v>
      </c>
      <c r="I1962" s="4"/>
      <c r="J1962" s="6">
        <v>0</v>
      </c>
      <c r="K1962" s="30" t="s">
        <v>3207</v>
      </c>
      <c r="L1962" s="4"/>
      <c r="M1962" s="3"/>
    </row>
    <row r="1963" spans="1:13" x14ac:dyDescent="0.3">
      <c r="A1963" s="3">
        <v>101</v>
      </c>
      <c r="B1963" s="3">
        <v>101</v>
      </c>
      <c r="C1963" s="4">
        <v>893.33699999999999</v>
      </c>
      <c r="D1963" s="4">
        <v>893.05100000000004</v>
      </c>
      <c r="E1963" s="4">
        <v>893.62300000000005</v>
      </c>
      <c r="F1963" s="4"/>
      <c r="G1963" s="4"/>
      <c r="H1963" s="28" t="s">
        <v>3541</v>
      </c>
      <c r="I1963" s="4"/>
      <c r="J1963" s="6">
        <v>0</v>
      </c>
      <c r="K1963" s="29" t="s">
        <v>3207</v>
      </c>
      <c r="L1963" s="4"/>
      <c r="M1963" s="3"/>
    </row>
    <row r="1964" spans="1:13" x14ac:dyDescent="0.3">
      <c r="A1964" s="3">
        <v>101</v>
      </c>
      <c r="B1964" s="3">
        <v>101</v>
      </c>
      <c r="C1964" s="4">
        <v>893.66499999999996</v>
      </c>
      <c r="D1964" s="4">
        <v>893.62300000000005</v>
      </c>
      <c r="E1964" s="4">
        <v>893.70699999999999</v>
      </c>
      <c r="F1964" s="4"/>
      <c r="G1964" s="4"/>
      <c r="H1964" s="27" t="s">
        <v>3542</v>
      </c>
      <c r="I1964" s="4"/>
      <c r="J1964" s="6">
        <v>0</v>
      </c>
      <c r="K1964" s="30" t="s">
        <v>3207</v>
      </c>
      <c r="L1964" s="4"/>
      <c r="M1964" s="3"/>
    </row>
    <row r="1965" spans="1:13" x14ac:dyDescent="0.3">
      <c r="A1965" s="3">
        <v>101</v>
      </c>
      <c r="B1965" s="3">
        <v>101</v>
      </c>
      <c r="C1965" s="4">
        <v>893.87800000000004</v>
      </c>
      <c r="D1965" s="4">
        <v>893.70699999999999</v>
      </c>
      <c r="E1965" s="4">
        <v>894.04899999999998</v>
      </c>
      <c r="F1965" s="4"/>
      <c r="G1965" s="4"/>
      <c r="H1965" s="28" t="s">
        <v>3543</v>
      </c>
      <c r="I1965" s="4"/>
      <c r="J1965" s="6">
        <v>0</v>
      </c>
      <c r="K1965" s="29" t="s">
        <v>3207</v>
      </c>
      <c r="L1965" s="4"/>
      <c r="M1965" s="3"/>
    </row>
    <row r="1966" spans="1:13" x14ac:dyDescent="0.3">
      <c r="A1966" s="3">
        <v>101</v>
      </c>
      <c r="B1966" s="3">
        <v>101</v>
      </c>
      <c r="C1966" s="4">
        <v>894.07600000000002</v>
      </c>
      <c r="D1966" s="4">
        <v>894.04899999999998</v>
      </c>
      <c r="E1966" s="4">
        <v>894.10299999999995</v>
      </c>
      <c r="F1966" s="4"/>
      <c r="G1966" s="4"/>
      <c r="H1966" s="27" t="s">
        <v>3544</v>
      </c>
      <c r="I1966" s="4"/>
      <c r="J1966" s="6">
        <v>0</v>
      </c>
      <c r="K1966" s="30" t="s">
        <v>3207</v>
      </c>
      <c r="L1966" s="4"/>
      <c r="M1966" s="3"/>
    </row>
    <row r="1967" spans="1:13" x14ac:dyDescent="0.3">
      <c r="A1967" s="3">
        <v>101</v>
      </c>
      <c r="B1967" s="3">
        <v>101</v>
      </c>
      <c r="C1967" s="4">
        <v>894.40200000000004</v>
      </c>
      <c r="D1967" s="4">
        <v>894.10299999999995</v>
      </c>
      <c r="E1967" s="4">
        <v>894.70100000000002</v>
      </c>
      <c r="F1967" s="4"/>
      <c r="G1967" s="4"/>
      <c r="H1967" s="28" t="s">
        <v>3545</v>
      </c>
      <c r="I1967" s="4"/>
      <c r="J1967" s="6">
        <v>0</v>
      </c>
      <c r="K1967" s="29" t="s">
        <v>3207</v>
      </c>
      <c r="L1967" s="4"/>
      <c r="M1967" s="3"/>
    </row>
    <row r="1968" spans="1:13" x14ac:dyDescent="0.3">
      <c r="A1968" s="3">
        <v>101</v>
      </c>
      <c r="B1968" s="3">
        <v>101</v>
      </c>
      <c r="C1968" s="4">
        <v>894.72149999999999</v>
      </c>
      <c r="D1968" s="4">
        <v>894.70100000000002</v>
      </c>
      <c r="E1968" s="4">
        <v>894.74199999999996</v>
      </c>
      <c r="F1968" s="4"/>
      <c r="G1968" s="4"/>
      <c r="H1968" s="27" t="s">
        <v>3546</v>
      </c>
      <c r="I1968" s="4"/>
      <c r="J1968" s="6">
        <v>0</v>
      </c>
      <c r="K1968" s="30" t="s">
        <v>3207</v>
      </c>
      <c r="L1968" s="4"/>
      <c r="M1968" s="3"/>
    </row>
    <row r="1969" spans="1:13" x14ac:dyDescent="0.3">
      <c r="A1969" s="3">
        <v>101</v>
      </c>
      <c r="B1969" s="3">
        <v>101</v>
      </c>
      <c r="C1969" s="4">
        <v>895.096</v>
      </c>
      <c r="D1969" s="4">
        <v>894.74199999999996</v>
      </c>
      <c r="E1969" s="4">
        <v>895.45</v>
      </c>
      <c r="F1969" s="4"/>
      <c r="G1969" s="4"/>
      <c r="H1969" s="28" t="s">
        <v>3547</v>
      </c>
      <c r="I1969" s="4"/>
      <c r="J1969" s="6">
        <v>0</v>
      </c>
      <c r="K1969" s="29" t="s">
        <v>3207</v>
      </c>
      <c r="L1969" s="4"/>
      <c r="M1969" s="3"/>
    </row>
    <row r="1970" spans="1:13" x14ac:dyDescent="0.3">
      <c r="A1970" s="3">
        <v>101</v>
      </c>
      <c r="B1970" s="3">
        <v>101</v>
      </c>
      <c r="C1970" s="4">
        <v>895.71500000000003</v>
      </c>
      <c r="D1970" s="4">
        <v>895.45</v>
      </c>
      <c r="E1970" s="4">
        <v>895.98</v>
      </c>
      <c r="F1970" s="4"/>
      <c r="G1970" s="4"/>
      <c r="H1970" s="27" t="s">
        <v>3548</v>
      </c>
      <c r="I1970" s="4"/>
      <c r="J1970" s="6">
        <v>0</v>
      </c>
      <c r="K1970" s="30" t="s">
        <v>3207</v>
      </c>
      <c r="L1970" s="4"/>
      <c r="M1970" s="3"/>
    </row>
    <row r="1971" spans="1:13" x14ac:dyDescent="0.3">
      <c r="A1971" s="3">
        <v>101</v>
      </c>
      <c r="B1971" s="3">
        <v>101</v>
      </c>
      <c r="C1971" s="4">
        <v>896.21749999999997</v>
      </c>
      <c r="D1971" s="4">
        <v>895.98</v>
      </c>
      <c r="E1971" s="4">
        <v>896.45500000000004</v>
      </c>
      <c r="F1971" s="4"/>
      <c r="G1971" s="4"/>
      <c r="H1971" s="28" t="s">
        <v>3549</v>
      </c>
      <c r="I1971" s="4"/>
      <c r="J1971" s="6">
        <v>0</v>
      </c>
      <c r="K1971" s="29" t="s">
        <v>3207</v>
      </c>
      <c r="L1971" s="4"/>
      <c r="M1971" s="3"/>
    </row>
    <row r="1972" spans="1:13" x14ac:dyDescent="0.3">
      <c r="A1972" s="3">
        <v>101</v>
      </c>
      <c r="B1972" s="3">
        <v>101</v>
      </c>
      <c r="C1972" s="4">
        <v>896.51649999999995</v>
      </c>
      <c r="D1972" s="4">
        <v>896.45500000000004</v>
      </c>
      <c r="E1972" s="4">
        <v>896.57799999999997</v>
      </c>
      <c r="F1972" s="4"/>
      <c r="G1972" s="4"/>
      <c r="H1972" s="27" t="s">
        <v>3550</v>
      </c>
      <c r="I1972" s="4"/>
      <c r="J1972" s="6">
        <v>0</v>
      </c>
      <c r="K1972" s="30" t="s">
        <v>3207</v>
      </c>
      <c r="L1972" s="4"/>
      <c r="M1972" s="3"/>
    </row>
    <row r="1973" spans="1:13" x14ac:dyDescent="0.3">
      <c r="A1973" s="3">
        <v>101</v>
      </c>
      <c r="B1973" s="3">
        <v>101</v>
      </c>
      <c r="C1973" s="4">
        <v>896.83699999999999</v>
      </c>
      <c r="D1973" s="4">
        <v>896.57799999999997</v>
      </c>
      <c r="E1973" s="4">
        <v>897.096</v>
      </c>
      <c r="F1973" s="4"/>
      <c r="G1973" s="4"/>
      <c r="H1973" s="28" t="s">
        <v>3551</v>
      </c>
      <c r="I1973" s="4"/>
      <c r="J1973" s="6">
        <v>0</v>
      </c>
      <c r="K1973" s="29" t="s">
        <v>3207</v>
      </c>
      <c r="L1973" s="4"/>
      <c r="M1973" s="3"/>
    </row>
    <row r="1974" spans="1:13" x14ac:dyDescent="0.3">
      <c r="A1974" s="3">
        <v>101</v>
      </c>
      <c r="B1974" s="3">
        <v>101</v>
      </c>
      <c r="C1974" s="4">
        <v>897.23099999999999</v>
      </c>
      <c r="D1974" s="4">
        <v>897.096</v>
      </c>
      <c r="E1974" s="4">
        <v>897.36599999999999</v>
      </c>
      <c r="F1974" s="4"/>
      <c r="G1974" s="4"/>
      <c r="H1974" s="27" t="s">
        <v>3552</v>
      </c>
      <c r="I1974" s="4"/>
      <c r="J1974" s="6">
        <v>0</v>
      </c>
      <c r="K1974" s="30" t="s">
        <v>3207</v>
      </c>
      <c r="L1974" s="4"/>
      <c r="M1974" s="3"/>
    </row>
    <row r="1975" spans="1:13" x14ac:dyDescent="0.3">
      <c r="A1975" s="3">
        <v>101</v>
      </c>
      <c r="B1975" s="3">
        <v>101</v>
      </c>
      <c r="C1975" s="4">
        <v>897.64300000000003</v>
      </c>
      <c r="D1975" s="4">
        <v>897.36599999999999</v>
      </c>
      <c r="E1975" s="4">
        <v>897.92</v>
      </c>
      <c r="F1975" s="4"/>
      <c r="G1975" s="4"/>
      <c r="H1975" s="28" t="s">
        <v>3553</v>
      </c>
      <c r="I1975" s="4"/>
      <c r="J1975" s="6">
        <v>0</v>
      </c>
      <c r="K1975" s="29" t="s">
        <v>3207</v>
      </c>
      <c r="L1975" s="4"/>
      <c r="M1975" s="3"/>
    </row>
    <row r="1976" spans="1:13" x14ac:dyDescent="0.3">
      <c r="A1976" s="3">
        <v>101</v>
      </c>
      <c r="B1976" s="3">
        <v>101</v>
      </c>
      <c r="C1976" s="4">
        <v>898.06150000000002</v>
      </c>
      <c r="D1976" s="4">
        <v>897.92</v>
      </c>
      <c r="E1976" s="4">
        <v>898.20299999999997</v>
      </c>
      <c r="F1976" s="4"/>
      <c r="G1976" s="4"/>
      <c r="H1976" s="27" t="s">
        <v>3554</v>
      </c>
      <c r="I1976" s="4"/>
      <c r="J1976" s="6">
        <v>0</v>
      </c>
      <c r="K1976" s="30" t="s">
        <v>3207</v>
      </c>
      <c r="L1976" s="4"/>
      <c r="M1976" s="3"/>
    </row>
    <row r="1977" spans="1:13" x14ac:dyDescent="0.3">
      <c r="A1977" s="3">
        <v>101</v>
      </c>
      <c r="B1977" s="3">
        <v>101</v>
      </c>
      <c r="C1977" s="4">
        <v>898.59699999999998</v>
      </c>
      <c r="D1977" s="4">
        <v>898.20299999999997</v>
      </c>
      <c r="E1977" s="4">
        <v>898.99099999999999</v>
      </c>
      <c r="F1977" s="4"/>
      <c r="G1977" s="4"/>
      <c r="H1977" s="28" t="s">
        <v>3555</v>
      </c>
      <c r="I1977" s="4"/>
      <c r="J1977" s="6">
        <v>0</v>
      </c>
      <c r="K1977" s="29" t="s">
        <v>3207</v>
      </c>
      <c r="L1977" s="4"/>
      <c r="M1977" s="3"/>
    </row>
    <row r="1978" spans="1:13" x14ac:dyDescent="0.3">
      <c r="A1978" s="3">
        <v>101</v>
      </c>
      <c r="B1978" s="3">
        <v>101</v>
      </c>
      <c r="C1978" s="4">
        <v>899.07550000000003</v>
      </c>
      <c r="D1978" s="4">
        <v>898.99099999999999</v>
      </c>
      <c r="E1978" s="4">
        <v>899.16</v>
      </c>
      <c r="F1978" s="4"/>
      <c r="G1978" s="4"/>
      <c r="H1978" s="27" t="s">
        <v>3556</v>
      </c>
      <c r="I1978" s="4"/>
      <c r="J1978" s="6">
        <v>0</v>
      </c>
      <c r="K1978" s="30" t="s">
        <v>3207</v>
      </c>
      <c r="L1978" s="4"/>
      <c r="M1978" s="3"/>
    </row>
    <row r="1979" spans="1:13" x14ac:dyDescent="0.3">
      <c r="A1979" s="3">
        <v>101</v>
      </c>
      <c r="B1979" s="3">
        <v>101</v>
      </c>
      <c r="C1979" s="4">
        <v>899.58699999999999</v>
      </c>
      <c r="D1979" s="4">
        <v>899.16</v>
      </c>
      <c r="E1979" s="4">
        <v>900.01400000000001</v>
      </c>
      <c r="F1979" s="4"/>
      <c r="G1979" s="4"/>
      <c r="H1979" s="28" t="s">
        <v>3557</v>
      </c>
      <c r="I1979" s="4"/>
      <c r="J1979" s="6">
        <v>0</v>
      </c>
      <c r="K1979" s="29" t="s">
        <v>3207</v>
      </c>
      <c r="L1979" s="4"/>
      <c r="M1979" s="3"/>
    </row>
    <row r="1980" spans="1:13" x14ac:dyDescent="0.3">
      <c r="A1980" s="3">
        <v>101</v>
      </c>
      <c r="B1980" s="3">
        <v>101</v>
      </c>
      <c r="C1980" s="4">
        <v>900.15899999999999</v>
      </c>
      <c r="D1980" s="4">
        <v>900.01400000000001</v>
      </c>
      <c r="E1980" s="4">
        <v>900.30399999999997</v>
      </c>
      <c r="F1980" s="4"/>
      <c r="G1980" s="4"/>
      <c r="H1980" s="27" t="s">
        <v>3558</v>
      </c>
      <c r="I1980" s="4"/>
      <c r="J1980" s="6">
        <v>0</v>
      </c>
      <c r="K1980" s="30" t="s">
        <v>3207</v>
      </c>
      <c r="L1980" s="4"/>
      <c r="M1980" s="3"/>
    </row>
    <row r="1981" spans="1:13" x14ac:dyDescent="0.3">
      <c r="A1981" s="3">
        <v>101</v>
      </c>
      <c r="B1981" s="3">
        <v>101</v>
      </c>
      <c r="C1981" s="4">
        <v>900.6105</v>
      </c>
      <c r="D1981" s="4">
        <v>900.30399999999997</v>
      </c>
      <c r="E1981" s="4">
        <v>900.91700000000003</v>
      </c>
      <c r="F1981" s="4"/>
      <c r="G1981" s="4"/>
      <c r="H1981" s="28" t="s">
        <v>3559</v>
      </c>
      <c r="I1981" s="4"/>
      <c r="J1981" s="6">
        <v>0</v>
      </c>
      <c r="K1981" s="29" t="s">
        <v>3207</v>
      </c>
      <c r="L1981" s="4"/>
      <c r="M1981" s="3"/>
    </row>
    <row r="1982" spans="1:13" x14ac:dyDescent="0.3">
      <c r="A1982" s="3">
        <v>101</v>
      </c>
      <c r="B1982" s="3">
        <v>101</v>
      </c>
      <c r="C1982" s="4">
        <v>900.971</v>
      </c>
      <c r="D1982" s="4">
        <v>900.91700000000003</v>
      </c>
      <c r="E1982" s="4">
        <v>901.02499999999998</v>
      </c>
      <c r="F1982" s="4"/>
      <c r="G1982" s="4"/>
      <c r="H1982" s="27" t="s">
        <v>3560</v>
      </c>
      <c r="I1982" s="4"/>
      <c r="J1982" s="6">
        <v>0</v>
      </c>
      <c r="K1982" s="30" t="s">
        <v>3207</v>
      </c>
      <c r="L1982" s="4"/>
      <c r="M1982" s="3"/>
    </row>
    <row r="1983" spans="1:13" x14ac:dyDescent="0.3">
      <c r="A1983" s="3">
        <v>101</v>
      </c>
      <c r="B1983" s="3">
        <v>101</v>
      </c>
      <c r="C1983" s="4">
        <v>901.31399999999996</v>
      </c>
      <c r="D1983" s="4">
        <v>901.02499999999998</v>
      </c>
      <c r="E1983" s="4">
        <v>901.60299999999995</v>
      </c>
      <c r="F1983" s="4"/>
      <c r="G1983" s="4"/>
      <c r="H1983" s="28" t="s">
        <v>3561</v>
      </c>
      <c r="I1983" s="4"/>
      <c r="J1983" s="6">
        <v>0</v>
      </c>
      <c r="K1983" s="29" t="s">
        <v>3207</v>
      </c>
      <c r="L1983" s="4"/>
      <c r="M1983" s="3"/>
    </row>
    <row r="1984" spans="1:13" x14ac:dyDescent="0.3">
      <c r="A1984" s="3">
        <v>101</v>
      </c>
      <c r="B1984" s="3">
        <v>101</v>
      </c>
      <c r="C1984" s="4">
        <v>901.64</v>
      </c>
      <c r="D1984" s="4">
        <v>901.60299999999995</v>
      </c>
      <c r="E1984" s="4">
        <v>901.67700000000002</v>
      </c>
      <c r="F1984" s="4"/>
      <c r="G1984" s="4"/>
      <c r="H1984" s="27" t="s">
        <v>3562</v>
      </c>
      <c r="I1984" s="4"/>
      <c r="J1984" s="6">
        <v>0</v>
      </c>
      <c r="K1984" s="30" t="s">
        <v>3207</v>
      </c>
      <c r="L1984" s="4"/>
      <c r="M1984" s="3"/>
    </row>
    <row r="1985" spans="1:13" x14ac:dyDescent="0.3">
      <c r="A1985" s="3">
        <v>101</v>
      </c>
      <c r="B1985" s="3">
        <v>101</v>
      </c>
      <c r="C1985" s="4">
        <v>901.87649999999996</v>
      </c>
      <c r="D1985" s="4">
        <v>901.67700000000002</v>
      </c>
      <c r="E1985" s="4">
        <v>902.07600000000002</v>
      </c>
      <c r="F1985" s="4"/>
      <c r="G1985" s="4"/>
      <c r="H1985" s="28" t="s">
        <v>3563</v>
      </c>
      <c r="I1985" s="4"/>
      <c r="J1985" s="6">
        <v>0</v>
      </c>
      <c r="K1985" s="29" t="s">
        <v>3207</v>
      </c>
      <c r="L1985" s="4"/>
      <c r="M1985" s="3"/>
    </row>
    <row r="1986" spans="1:13" x14ac:dyDescent="0.3">
      <c r="A1986" s="3">
        <v>101</v>
      </c>
      <c r="B1986" s="3">
        <v>101</v>
      </c>
      <c r="C1986" s="4">
        <v>902.23</v>
      </c>
      <c r="D1986" s="4">
        <v>902.07600000000002</v>
      </c>
      <c r="E1986" s="4">
        <v>902.38400000000001</v>
      </c>
      <c r="F1986" s="4"/>
      <c r="G1986" s="4"/>
      <c r="H1986" s="27" t="s">
        <v>3564</v>
      </c>
      <c r="I1986" s="4"/>
      <c r="J1986" s="6">
        <v>0</v>
      </c>
      <c r="K1986" s="30" t="s">
        <v>3207</v>
      </c>
      <c r="L1986" s="4"/>
      <c r="M1986" s="3"/>
    </row>
    <row r="1987" spans="1:13" x14ac:dyDescent="0.3">
      <c r="A1987" s="3">
        <v>101</v>
      </c>
      <c r="B1987" s="3">
        <v>101</v>
      </c>
      <c r="C1987" s="4">
        <v>902.72299999999996</v>
      </c>
      <c r="D1987" s="4">
        <v>902.38400000000001</v>
      </c>
      <c r="E1987" s="4">
        <v>903.06200000000001</v>
      </c>
      <c r="F1987" s="4"/>
      <c r="G1987" s="4"/>
      <c r="H1987" s="28" t="s">
        <v>3565</v>
      </c>
      <c r="I1987" s="4"/>
      <c r="J1987" s="6">
        <v>0</v>
      </c>
      <c r="K1987" s="29" t="s">
        <v>3207</v>
      </c>
      <c r="L1987" s="4"/>
      <c r="M1987" s="3"/>
    </row>
    <row r="1988" spans="1:13" x14ac:dyDescent="0.3">
      <c r="A1988" s="3">
        <v>101</v>
      </c>
      <c r="B1988" s="3">
        <v>101</v>
      </c>
      <c r="C1988" s="4">
        <v>903.0915</v>
      </c>
      <c r="D1988" s="4">
        <v>903.06200000000001</v>
      </c>
      <c r="E1988" s="4">
        <v>903.12099999999998</v>
      </c>
      <c r="F1988" s="4"/>
      <c r="G1988" s="4"/>
      <c r="H1988" s="27" t="s">
        <v>3566</v>
      </c>
      <c r="I1988" s="4"/>
      <c r="J1988" s="6">
        <v>0</v>
      </c>
      <c r="K1988" s="30" t="s">
        <v>3207</v>
      </c>
      <c r="L1988" s="4"/>
      <c r="M1988" s="3"/>
    </row>
    <row r="1989" spans="1:13" x14ac:dyDescent="0.3">
      <c r="A1989" s="3">
        <v>101</v>
      </c>
      <c r="B1989" s="3">
        <v>101</v>
      </c>
      <c r="C1989" s="4">
        <v>903.33199999999999</v>
      </c>
      <c r="D1989" s="4">
        <v>903.12099999999998</v>
      </c>
      <c r="E1989" s="4">
        <v>903.54300000000001</v>
      </c>
      <c r="F1989" s="4"/>
      <c r="G1989" s="4"/>
      <c r="H1989" s="28" t="s">
        <v>3567</v>
      </c>
      <c r="I1989" s="4"/>
      <c r="J1989" s="6">
        <v>0</v>
      </c>
      <c r="K1989" s="29" t="s">
        <v>3207</v>
      </c>
      <c r="L1989" s="4"/>
      <c r="M1989" s="3"/>
    </row>
    <row r="1990" spans="1:13" x14ac:dyDescent="0.3">
      <c r="A1990" s="3">
        <v>101</v>
      </c>
      <c r="B1990" s="3">
        <v>101</v>
      </c>
      <c r="C1990" s="4">
        <v>903.73900000000003</v>
      </c>
      <c r="D1990" s="4">
        <v>903.54300000000001</v>
      </c>
      <c r="E1990" s="4">
        <v>903.93499999999995</v>
      </c>
      <c r="F1990" s="4"/>
      <c r="G1990" s="4"/>
      <c r="H1990" s="27" t="s">
        <v>3568</v>
      </c>
      <c r="I1990" s="4"/>
      <c r="J1990" s="6">
        <v>0</v>
      </c>
      <c r="K1990" s="30" t="s">
        <v>3207</v>
      </c>
      <c r="L1990" s="4"/>
      <c r="M1990" s="3"/>
    </row>
    <row r="1991" spans="1:13" x14ac:dyDescent="0.3">
      <c r="A1991" s="3">
        <v>101</v>
      </c>
      <c r="B1991" s="3">
        <v>101</v>
      </c>
      <c r="C1991" s="4">
        <v>904.22249999999997</v>
      </c>
      <c r="D1991" s="4">
        <v>903.93499999999995</v>
      </c>
      <c r="E1991" s="4">
        <v>904.51</v>
      </c>
      <c r="F1991" s="4"/>
      <c r="G1991" s="4"/>
      <c r="H1991" s="28" t="s">
        <v>3569</v>
      </c>
      <c r="I1991" s="4"/>
      <c r="J1991" s="6">
        <v>0</v>
      </c>
      <c r="K1991" s="29" t="s">
        <v>3207</v>
      </c>
      <c r="L1991" s="4"/>
      <c r="M1991" s="3"/>
    </row>
    <row r="1992" spans="1:13" x14ac:dyDescent="0.3">
      <c r="A1992" s="3">
        <v>101</v>
      </c>
      <c r="B1992" s="3">
        <v>101</v>
      </c>
      <c r="C1992" s="4">
        <v>904.51900000000001</v>
      </c>
      <c r="D1992" s="4">
        <v>904.51</v>
      </c>
      <c r="E1992" s="4">
        <v>904.52800000000002</v>
      </c>
      <c r="F1992" s="4"/>
      <c r="G1992" s="4"/>
      <c r="H1992" s="27" t="s">
        <v>3570</v>
      </c>
      <c r="I1992" s="4"/>
      <c r="J1992" s="6">
        <v>0</v>
      </c>
      <c r="K1992" s="30" t="s">
        <v>3207</v>
      </c>
      <c r="L1992" s="4"/>
      <c r="M1992" s="3"/>
    </row>
    <row r="1993" spans="1:13" x14ac:dyDescent="0.3">
      <c r="A1993" s="3">
        <v>101</v>
      </c>
      <c r="B1993" s="3">
        <v>101</v>
      </c>
      <c r="C1993" s="4">
        <v>904.84299999999996</v>
      </c>
      <c r="D1993" s="4">
        <v>904.52800000000002</v>
      </c>
      <c r="E1993" s="4">
        <v>905.15800000000002</v>
      </c>
      <c r="F1993" s="4"/>
      <c r="G1993" s="4"/>
      <c r="H1993" s="28" t="s">
        <v>3571</v>
      </c>
      <c r="I1993" s="4"/>
      <c r="J1993" s="6">
        <v>0</v>
      </c>
      <c r="K1993" s="29" t="s">
        <v>3207</v>
      </c>
      <c r="L1993" s="4"/>
      <c r="M1993" s="3"/>
    </row>
    <row r="1994" spans="1:13" x14ac:dyDescent="0.3">
      <c r="A1994" s="3">
        <v>101</v>
      </c>
      <c r="B1994" s="3">
        <v>101</v>
      </c>
      <c r="C1994" s="4">
        <v>905.16250000000002</v>
      </c>
      <c r="D1994" s="4">
        <v>905.15800000000002</v>
      </c>
      <c r="E1994" s="4">
        <v>905.16700000000003</v>
      </c>
      <c r="F1994" s="4"/>
      <c r="G1994" s="4"/>
      <c r="H1994" s="27" t="s">
        <v>3572</v>
      </c>
      <c r="I1994" s="4"/>
      <c r="J1994" s="6">
        <v>0</v>
      </c>
      <c r="K1994" s="30" t="s">
        <v>3207</v>
      </c>
      <c r="L1994" s="4"/>
      <c r="M1994" s="3"/>
    </row>
    <row r="1995" spans="1:13" x14ac:dyDescent="0.3">
      <c r="A1995" s="3">
        <v>101</v>
      </c>
      <c r="B1995" s="3">
        <v>101</v>
      </c>
      <c r="C1995" s="4">
        <v>905.39</v>
      </c>
      <c r="D1995" s="4">
        <v>905.16700000000003</v>
      </c>
      <c r="E1995" s="4">
        <v>905.61300000000006</v>
      </c>
      <c r="F1995" s="4"/>
      <c r="G1995" s="4"/>
      <c r="H1995" s="28" t="s">
        <v>3573</v>
      </c>
      <c r="I1995" s="4"/>
      <c r="J1995" s="6">
        <v>0</v>
      </c>
      <c r="K1995" s="29" t="s">
        <v>3207</v>
      </c>
      <c r="L1995" s="4"/>
      <c r="M1995" s="3"/>
    </row>
    <row r="1996" spans="1:13" x14ac:dyDescent="0.3">
      <c r="A1996" s="3">
        <v>101</v>
      </c>
      <c r="B1996" s="3">
        <v>101</v>
      </c>
      <c r="C1996" s="4">
        <v>905.74450000000002</v>
      </c>
      <c r="D1996" s="4">
        <v>905.61300000000006</v>
      </c>
      <c r="E1996" s="4">
        <v>905.87599999999998</v>
      </c>
      <c r="F1996" s="4"/>
      <c r="G1996" s="4"/>
      <c r="H1996" s="27" t="s">
        <v>3574</v>
      </c>
      <c r="I1996" s="4"/>
      <c r="J1996" s="6">
        <v>0</v>
      </c>
      <c r="K1996" s="30" t="s">
        <v>3207</v>
      </c>
      <c r="L1996" s="4"/>
      <c r="M1996" s="3"/>
    </row>
    <row r="1997" spans="1:13" x14ac:dyDescent="0.3">
      <c r="A1997" s="3">
        <v>101</v>
      </c>
      <c r="B1997" s="3">
        <v>101</v>
      </c>
      <c r="C1997" s="4">
        <v>906.14300000000003</v>
      </c>
      <c r="D1997" s="4">
        <v>905.87599999999998</v>
      </c>
      <c r="E1997" s="4">
        <v>906.41</v>
      </c>
      <c r="F1997" s="4"/>
      <c r="G1997" s="4"/>
      <c r="H1997" s="28" t="s">
        <v>3575</v>
      </c>
      <c r="I1997" s="4"/>
      <c r="J1997" s="6">
        <v>0</v>
      </c>
      <c r="K1997" s="29" t="s">
        <v>3207</v>
      </c>
      <c r="L1997" s="4"/>
      <c r="M1997" s="3"/>
    </row>
    <row r="1998" spans="1:13" x14ac:dyDescent="0.3">
      <c r="A1998" s="3">
        <v>101</v>
      </c>
      <c r="B1998" s="3">
        <v>101</v>
      </c>
      <c r="C1998" s="4">
        <v>906.47850000000005</v>
      </c>
      <c r="D1998" s="4">
        <v>906.41</v>
      </c>
      <c r="E1998" s="4">
        <v>906.54700000000003</v>
      </c>
      <c r="F1998" s="4"/>
      <c r="G1998" s="4"/>
      <c r="H1998" s="27" t="s">
        <v>3576</v>
      </c>
      <c r="I1998" s="4"/>
      <c r="J1998" s="6">
        <v>0</v>
      </c>
      <c r="K1998" s="30" t="s">
        <v>3207</v>
      </c>
      <c r="L1998" s="4"/>
      <c r="M1998" s="3"/>
    </row>
    <row r="1999" spans="1:13" x14ac:dyDescent="0.3">
      <c r="A1999" s="3">
        <v>101</v>
      </c>
      <c r="B1999" s="3">
        <v>101</v>
      </c>
      <c r="C1999" s="4">
        <v>906.97799999999995</v>
      </c>
      <c r="D1999" s="4">
        <v>906.54700000000003</v>
      </c>
      <c r="E1999" s="4">
        <v>907.40899999999999</v>
      </c>
      <c r="F1999" s="4"/>
      <c r="G1999" s="4"/>
      <c r="H1999" s="28" t="s">
        <v>3577</v>
      </c>
      <c r="I1999" s="4"/>
      <c r="J1999" s="6">
        <v>0</v>
      </c>
      <c r="K1999" s="29" t="s">
        <v>3207</v>
      </c>
      <c r="L1999" s="4"/>
      <c r="M1999" s="3"/>
    </row>
    <row r="2000" spans="1:13" x14ac:dyDescent="0.3">
      <c r="A2000" s="3">
        <v>101</v>
      </c>
      <c r="B2000" s="3">
        <v>101</v>
      </c>
      <c r="C2000" s="4">
        <v>907.56200000000001</v>
      </c>
      <c r="D2000" s="4">
        <v>907.40899999999999</v>
      </c>
      <c r="E2000" s="4">
        <v>907.71500000000003</v>
      </c>
      <c r="F2000" s="4"/>
      <c r="G2000" s="4"/>
      <c r="H2000" s="27" t="s">
        <v>3578</v>
      </c>
      <c r="I2000" s="4"/>
      <c r="J2000" s="6">
        <v>0</v>
      </c>
      <c r="K2000" s="30" t="s">
        <v>3207</v>
      </c>
      <c r="L2000" s="4"/>
      <c r="M2000" s="3"/>
    </row>
    <row r="2001" spans="1:13" x14ac:dyDescent="0.3">
      <c r="A2001" s="3">
        <v>101</v>
      </c>
      <c r="B2001" s="3">
        <v>101</v>
      </c>
      <c r="C2001" s="4">
        <v>907.91449999999998</v>
      </c>
      <c r="D2001" s="4">
        <v>907.71500000000003</v>
      </c>
      <c r="E2001" s="4">
        <v>908.11400000000003</v>
      </c>
      <c r="F2001" s="4"/>
      <c r="G2001" s="4"/>
      <c r="H2001" s="28" t="s">
        <v>3579</v>
      </c>
      <c r="I2001" s="4"/>
      <c r="J2001" s="6">
        <v>0</v>
      </c>
      <c r="K2001" s="29" t="s">
        <v>3207</v>
      </c>
      <c r="L2001" s="4"/>
      <c r="M2001" s="3"/>
    </row>
    <row r="2002" spans="1:13" x14ac:dyDescent="0.3">
      <c r="A2002" s="3">
        <v>101</v>
      </c>
      <c r="B2002" s="3">
        <v>101</v>
      </c>
      <c r="C2002" s="4">
        <v>908.17949999999996</v>
      </c>
      <c r="D2002" s="4">
        <v>908.11400000000003</v>
      </c>
      <c r="E2002" s="4">
        <v>908.245</v>
      </c>
      <c r="F2002" s="4"/>
      <c r="G2002" s="4"/>
      <c r="H2002" s="27" t="s">
        <v>3580</v>
      </c>
      <c r="I2002" s="4"/>
      <c r="J2002" s="6">
        <v>0</v>
      </c>
      <c r="K2002" s="30" t="s">
        <v>3207</v>
      </c>
      <c r="L2002" s="4"/>
      <c r="M2002" s="3"/>
    </row>
    <row r="2003" spans="1:13" x14ac:dyDescent="0.3">
      <c r="A2003" s="3">
        <v>101</v>
      </c>
      <c r="B2003" s="3">
        <v>101</v>
      </c>
      <c r="C2003" s="4">
        <v>908.447</v>
      </c>
      <c r="D2003" s="4">
        <v>908.245</v>
      </c>
      <c r="E2003" s="4">
        <v>908.649</v>
      </c>
      <c r="F2003" s="4"/>
      <c r="G2003" s="4"/>
      <c r="H2003" s="28" t="s">
        <v>3581</v>
      </c>
      <c r="I2003" s="4"/>
      <c r="J2003" s="6">
        <v>0</v>
      </c>
      <c r="K2003" s="29" t="s">
        <v>3207</v>
      </c>
      <c r="L2003" s="4"/>
      <c r="M2003" s="3"/>
    </row>
    <row r="2004" spans="1:13" x14ac:dyDescent="0.3">
      <c r="A2004" s="3">
        <v>101</v>
      </c>
      <c r="B2004" s="3">
        <v>101</v>
      </c>
      <c r="C2004" s="4">
        <v>908.68799999999999</v>
      </c>
      <c r="D2004" s="4">
        <v>908.649</v>
      </c>
      <c r="E2004" s="4">
        <v>908.72699999999998</v>
      </c>
      <c r="F2004" s="4"/>
      <c r="G2004" s="4"/>
      <c r="H2004" s="27" t="s">
        <v>3582</v>
      </c>
      <c r="I2004" s="4"/>
      <c r="J2004" s="6">
        <v>0</v>
      </c>
      <c r="K2004" s="30" t="s">
        <v>3207</v>
      </c>
      <c r="L2004" s="4"/>
      <c r="M2004" s="3"/>
    </row>
    <row r="2005" spans="1:13" x14ac:dyDescent="0.3">
      <c r="A2005" s="3">
        <v>101</v>
      </c>
      <c r="B2005" s="3">
        <v>101</v>
      </c>
      <c r="C2005" s="4">
        <v>908.89949999999999</v>
      </c>
      <c r="D2005" s="4">
        <v>908.72699999999998</v>
      </c>
      <c r="E2005" s="4">
        <v>909.072</v>
      </c>
      <c r="F2005" s="4"/>
      <c r="G2005" s="4"/>
      <c r="H2005" s="28" t="s">
        <v>3583</v>
      </c>
      <c r="I2005" s="4"/>
      <c r="J2005" s="6">
        <v>0</v>
      </c>
      <c r="K2005" s="29" t="s">
        <v>3207</v>
      </c>
      <c r="L2005" s="4"/>
      <c r="M2005" s="3"/>
    </row>
    <row r="2006" spans="1:13" x14ac:dyDescent="0.3">
      <c r="A2006" s="3">
        <v>101</v>
      </c>
      <c r="B2006" s="3">
        <v>101</v>
      </c>
      <c r="C2006" s="4">
        <v>909.11099999999999</v>
      </c>
      <c r="D2006" s="4">
        <v>909.072</v>
      </c>
      <c r="E2006" s="4">
        <v>909.15</v>
      </c>
      <c r="F2006" s="4"/>
      <c r="G2006" s="4"/>
      <c r="H2006" s="27" t="s">
        <v>3584</v>
      </c>
      <c r="I2006" s="4"/>
      <c r="J2006" s="6">
        <v>0</v>
      </c>
      <c r="K2006" s="30" t="s">
        <v>3207</v>
      </c>
      <c r="L2006" s="4"/>
      <c r="M2006" s="3"/>
    </row>
    <row r="2007" spans="1:13" x14ac:dyDescent="0.3">
      <c r="A2007" s="3">
        <v>101</v>
      </c>
      <c r="B2007" s="3">
        <v>101</v>
      </c>
      <c r="C2007" s="4">
        <v>909.52949999999998</v>
      </c>
      <c r="D2007" s="4">
        <v>909.15</v>
      </c>
      <c r="E2007" s="4">
        <v>909.90899999999999</v>
      </c>
      <c r="F2007" s="4"/>
      <c r="G2007" s="4"/>
      <c r="H2007" s="28" t="s">
        <v>3585</v>
      </c>
      <c r="I2007" s="4"/>
      <c r="J2007" s="6">
        <v>0</v>
      </c>
      <c r="K2007" s="29" t="s">
        <v>3207</v>
      </c>
      <c r="L2007" s="4"/>
      <c r="M2007" s="3"/>
    </row>
    <row r="2008" spans="1:13" x14ac:dyDescent="0.3">
      <c r="A2008" s="3">
        <v>101</v>
      </c>
      <c r="B2008" s="3">
        <v>101</v>
      </c>
      <c r="C2008" s="4">
        <v>910.10450000000003</v>
      </c>
      <c r="D2008" s="4">
        <v>909.90899999999999</v>
      </c>
      <c r="E2008" s="4">
        <v>910.3</v>
      </c>
      <c r="F2008" s="4"/>
      <c r="G2008" s="4"/>
      <c r="H2008" s="27" t="s">
        <v>3586</v>
      </c>
      <c r="I2008" s="4"/>
      <c r="J2008" s="6">
        <v>0</v>
      </c>
      <c r="K2008" s="30" t="s">
        <v>3207</v>
      </c>
      <c r="L2008" s="4"/>
      <c r="M2008" s="3"/>
    </row>
    <row r="2009" spans="1:13" x14ac:dyDescent="0.3">
      <c r="A2009" s="3">
        <v>101</v>
      </c>
      <c r="B2009" s="3">
        <v>101</v>
      </c>
      <c r="C2009" s="4">
        <v>910.33399999999995</v>
      </c>
      <c r="D2009" s="4">
        <v>910.3</v>
      </c>
      <c r="E2009" s="4">
        <v>910.36800000000005</v>
      </c>
      <c r="F2009" s="4"/>
      <c r="G2009" s="4"/>
      <c r="H2009" s="28" t="s">
        <v>3587</v>
      </c>
      <c r="I2009" s="4"/>
      <c r="J2009" s="6">
        <v>0</v>
      </c>
      <c r="K2009" s="29" t="s">
        <v>3207</v>
      </c>
      <c r="L2009" s="4"/>
      <c r="M2009" s="3"/>
    </row>
    <row r="2010" spans="1:13" x14ac:dyDescent="0.3">
      <c r="A2010" s="3">
        <v>101</v>
      </c>
      <c r="B2010" s="3">
        <v>101</v>
      </c>
      <c r="C2010" s="4">
        <v>910.46699999999998</v>
      </c>
      <c r="D2010" s="4">
        <v>910.36800000000005</v>
      </c>
      <c r="E2010" s="4">
        <v>910.56600000000003</v>
      </c>
      <c r="F2010" s="4"/>
      <c r="G2010" s="4"/>
      <c r="H2010" s="27" t="s">
        <v>3588</v>
      </c>
      <c r="I2010" s="4"/>
      <c r="J2010" s="6">
        <v>0</v>
      </c>
      <c r="K2010" s="30" t="s">
        <v>3207</v>
      </c>
      <c r="L2010" s="4"/>
      <c r="M2010" s="3"/>
    </row>
    <row r="2011" spans="1:13" x14ac:dyDescent="0.3">
      <c r="A2011" s="3">
        <v>101</v>
      </c>
      <c r="B2011" s="3">
        <v>101</v>
      </c>
      <c r="C2011" s="4">
        <v>910.73599999999999</v>
      </c>
      <c r="D2011" s="4">
        <v>910.56600000000003</v>
      </c>
      <c r="E2011" s="4">
        <v>910.90599999999995</v>
      </c>
      <c r="F2011" s="4"/>
      <c r="G2011" s="4"/>
      <c r="H2011" s="28" t="s">
        <v>3589</v>
      </c>
      <c r="I2011" s="4"/>
      <c r="J2011" s="6">
        <v>0</v>
      </c>
      <c r="K2011" s="29" t="s">
        <v>3207</v>
      </c>
      <c r="L2011" s="4"/>
      <c r="M2011" s="3"/>
    </row>
    <row r="2012" spans="1:13" x14ac:dyDescent="0.3">
      <c r="A2012" s="3">
        <v>101</v>
      </c>
      <c r="B2012" s="3">
        <v>101</v>
      </c>
      <c r="C2012" s="4">
        <v>911.02</v>
      </c>
      <c r="D2012" s="4">
        <v>910.90599999999995</v>
      </c>
      <c r="E2012" s="4">
        <v>911.13400000000001</v>
      </c>
      <c r="F2012" s="4"/>
      <c r="G2012" s="4"/>
      <c r="H2012" s="27" t="s">
        <v>3590</v>
      </c>
      <c r="I2012" s="4"/>
      <c r="J2012" s="6">
        <v>0</v>
      </c>
      <c r="K2012" s="30" t="s">
        <v>3207</v>
      </c>
      <c r="L2012" s="4"/>
      <c r="M2012" s="3"/>
    </row>
    <row r="2013" spans="1:13" x14ac:dyDescent="0.3">
      <c r="A2013" s="3">
        <v>101</v>
      </c>
      <c r="B2013" s="3">
        <v>101</v>
      </c>
      <c r="C2013" s="4">
        <v>911.48800000000006</v>
      </c>
      <c r="D2013" s="4">
        <v>911.13400000000001</v>
      </c>
      <c r="E2013" s="4">
        <v>911.84199999999998</v>
      </c>
      <c r="F2013" s="4"/>
      <c r="G2013" s="4"/>
      <c r="H2013" s="28" t="s">
        <v>3591</v>
      </c>
      <c r="I2013" s="4"/>
      <c r="J2013" s="6">
        <v>0</v>
      </c>
      <c r="K2013" s="29" t="s">
        <v>3207</v>
      </c>
      <c r="L2013" s="4"/>
      <c r="M2013" s="3"/>
    </row>
    <row r="2014" spans="1:13" x14ac:dyDescent="0.3">
      <c r="A2014" s="3">
        <v>101</v>
      </c>
      <c r="B2014" s="3">
        <v>101</v>
      </c>
      <c r="C2014" s="4">
        <v>912.00099999999998</v>
      </c>
      <c r="D2014" s="4">
        <v>911.84199999999998</v>
      </c>
      <c r="E2014" s="4">
        <v>912.16</v>
      </c>
      <c r="F2014" s="4"/>
      <c r="G2014" s="4"/>
      <c r="H2014" s="27" t="s">
        <v>3592</v>
      </c>
      <c r="I2014" s="4"/>
      <c r="J2014" s="6">
        <v>0</v>
      </c>
      <c r="K2014" s="30" t="s">
        <v>3207</v>
      </c>
      <c r="L2014" s="4"/>
      <c r="M2014" s="3"/>
    </row>
    <row r="2015" spans="1:13" x14ac:dyDescent="0.3">
      <c r="A2015" s="3">
        <v>101</v>
      </c>
      <c r="B2015" s="3">
        <v>101</v>
      </c>
      <c r="C2015" s="4">
        <v>912.34100000000001</v>
      </c>
      <c r="D2015" s="4">
        <v>912.16</v>
      </c>
      <c r="E2015" s="4">
        <v>912.52200000000005</v>
      </c>
      <c r="F2015" s="4"/>
      <c r="G2015" s="4"/>
      <c r="H2015" s="28" t="s">
        <v>3593</v>
      </c>
      <c r="I2015" s="4"/>
      <c r="J2015" s="6">
        <v>0</v>
      </c>
      <c r="K2015" s="29" t="s">
        <v>3207</v>
      </c>
      <c r="L2015" s="4"/>
      <c r="M2015" s="3"/>
    </row>
    <row r="2016" spans="1:13" x14ac:dyDescent="0.3">
      <c r="A2016" s="3">
        <v>101</v>
      </c>
      <c r="B2016" s="3">
        <v>101</v>
      </c>
      <c r="C2016" s="4">
        <v>912.82100000000003</v>
      </c>
      <c r="D2016" s="4">
        <v>912.52200000000005</v>
      </c>
      <c r="E2016" s="4">
        <v>913.12</v>
      </c>
      <c r="F2016" s="4"/>
      <c r="G2016" s="4"/>
      <c r="H2016" s="27" t="s">
        <v>3594</v>
      </c>
      <c r="I2016" s="4"/>
      <c r="J2016" s="6">
        <v>0</v>
      </c>
      <c r="K2016" s="30" t="s">
        <v>3207</v>
      </c>
      <c r="L2016" s="4"/>
      <c r="M2016" s="3"/>
    </row>
    <row r="2017" spans="1:13" x14ac:dyDescent="0.3">
      <c r="A2017" s="3">
        <v>101</v>
      </c>
      <c r="B2017" s="3">
        <v>101</v>
      </c>
      <c r="C2017" s="4">
        <v>913.63199999999995</v>
      </c>
      <c r="D2017" s="4">
        <v>913.12</v>
      </c>
      <c r="E2017" s="4">
        <v>914.14400000000001</v>
      </c>
      <c r="F2017" s="4"/>
      <c r="G2017" s="4"/>
      <c r="H2017" s="28" t="s">
        <v>3595</v>
      </c>
      <c r="I2017" s="4"/>
      <c r="J2017" s="6">
        <v>0</v>
      </c>
      <c r="K2017" s="29" t="s">
        <v>3207</v>
      </c>
      <c r="L2017" s="4"/>
      <c r="M2017" s="3"/>
    </row>
    <row r="2018" spans="1:13" x14ac:dyDescent="0.3">
      <c r="A2018" s="3">
        <v>101</v>
      </c>
      <c r="B2018" s="3">
        <v>101</v>
      </c>
      <c r="C2018" s="4">
        <v>914.22749999999996</v>
      </c>
      <c r="D2018" s="4">
        <v>914.14400000000001</v>
      </c>
      <c r="E2018" s="4">
        <v>914.31100000000004</v>
      </c>
      <c r="F2018" s="4"/>
      <c r="G2018" s="4"/>
      <c r="H2018" s="27" t="s">
        <v>3596</v>
      </c>
      <c r="I2018" s="4"/>
      <c r="J2018" s="6">
        <v>0</v>
      </c>
      <c r="K2018" s="30" t="s">
        <v>3207</v>
      </c>
      <c r="L2018" s="4"/>
      <c r="M2018" s="3"/>
    </row>
    <row r="2019" spans="1:13" x14ac:dyDescent="0.3">
      <c r="A2019" s="3">
        <v>101</v>
      </c>
      <c r="B2019" s="3">
        <v>101</v>
      </c>
      <c r="C2019" s="4">
        <v>914.42499999999995</v>
      </c>
      <c r="D2019" s="4">
        <v>914.31100000000004</v>
      </c>
      <c r="E2019" s="4">
        <v>914.53899999999999</v>
      </c>
      <c r="F2019" s="4"/>
      <c r="G2019" s="4"/>
      <c r="H2019" s="28" t="s">
        <v>3597</v>
      </c>
      <c r="I2019" s="4"/>
      <c r="J2019" s="6">
        <v>0</v>
      </c>
      <c r="K2019" s="29" t="s">
        <v>3207</v>
      </c>
      <c r="L2019" s="4"/>
      <c r="M2019" s="3"/>
    </row>
    <row r="2020" spans="1:13" x14ac:dyDescent="0.3">
      <c r="A2020" s="3">
        <v>101</v>
      </c>
      <c r="B2020" s="3">
        <v>101</v>
      </c>
      <c r="C2020" s="4">
        <v>914.90449999999998</v>
      </c>
      <c r="D2020" s="4">
        <v>914.53899999999999</v>
      </c>
      <c r="E2020" s="4">
        <v>915.27</v>
      </c>
      <c r="F2020" s="4"/>
      <c r="G2020" s="4"/>
      <c r="H2020" s="27" t="s">
        <v>3598</v>
      </c>
      <c r="I2020" s="4"/>
      <c r="J2020" s="6">
        <v>0</v>
      </c>
      <c r="K2020" s="30" t="s">
        <v>3207</v>
      </c>
      <c r="L2020" s="4"/>
      <c r="M2020" s="3"/>
    </row>
    <row r="2021" spans="1:13" x14ac:dyDescent="0.3">
      <c r="A2021" s="3">
        <v>101</v>
      </c>
      <c r="B2021" s="3">
        <v>101</v>
      </c>
      <c r="C2021" s="4">
        <v>915.62300000000005</v>
      </c>
      <c r="D2021" s="4">
        <v>915.27</v>
      </c>
      <c r="E2021" s="4">
        <v>915.976</v>
      </c>
      <c r="F2021" s="4"/>
      <c r="G2021" s="4"/>
      <c r="H2021" s="28" t="s">
        <v>3599</v>
      </c>
      <c r="I2021" s="4"/>
      <c r="J2021" s="6">
        <v>0</v>
      </c>
      <c r="K2021" s="29" t="s">
        <v>3207</v>
      </c>
      <c r="L2021" s="4"/>
      <c r="M2021" s="3"/>
    </row>
    <row r="2022" spans="1:13" x14ac:dyDescent="0.3">
      <c r="A2022" s="3">
        <v>101</v>
      </c>
      <c r="B2022" s="3">
        <v>101</v>
      </c>
      <c r="C2022" s="4">
        <v>916.02549999999997</v>
      </c>
      <c r="D2022" s="4">
        <v>915.976</v>
      </c>
      <c r="E2022" s="4">
        <v>916.07500000000005</v>
      </c>
      <c r="F2022" s="4"/>
      <c r="G2022" s="4"/>
      <c r="H2022" s="27" t="s">
        <v>3600</v>
      </c>
      <c r="I2022" s="4"/>
      <c r="J2022" s="6">
        <v>0</v>
      </c>
      <c r="K2022" s="30" t="s">
        <v>3207</v>
      </c>
      <c r="L2022" s="4"/>
      <c r="M2022" s="3"/>
    </row>
    <row r="2023" spans="1:13" x14ac:dyDescent="0.3">
      <c r="A2023" s="3">
        <v>101</v>
      </c>
      <c r="B2023" s="3">
        <v>101</v>
      </c>
      <c r="C2023" s="4">
        <v>916.226</v>
      </c>
      <c r="D2023" s="4">
        <v>916.07500000000005</v>
      </c>
      <c r="E2023" s="4">
        <v>916.37699999999995</v>
      </c>
      <c r="F2023" s="4"/>
      <c r="G2023" s="4"/>
      <c r="H2023" s="28" t="s">
        <v>3601</v>
      </c>
      <c r="I2023" s="4"/>
      <c r="J2023" s="6">
        <v>0</v>
      </c>
      <c r="K2023" s="29" t="s">
        <v>3207</v>
      </c>
      <c r="L2023" s="4"/>
      <c r="M2023" s="3"/>
    </row>
    <row r="2024" spans="1:13" x14ac:dyDescent="0.3">
      <c r="A2024" s="3">
        <v>101</v>
      </c>
      <c r="B2024" s="3">
        <v>101</v>
      </c>
      <c r="C2024" s="4">
        <v>916.78499999999997</v>
      </c>
      <c r="D2024" s="4">
        <v>916.37699999999995</v>
      </c>
      <c r="E2024" s="4">
        <v>917.19299999999998</v>
      </c>
      <c r="F2024" s="4"/>
      <c r="G2024" s="4"/>
      <c r="H2024" s="27" t="s">
        <v>3602</v>
      </c>
      <c r="I2024" s="4"/>
      <c r="J2024" s="6">
        <v>0</v>
      </c>
      <c r="K2024" s="30" t="s">
        <v>3207</v>
      </c>
      <c r="L2024" s="4"/>
      <c r="M2024" s="3"/>
    </row>
    <row r="2025" spans="1:13" x14ac:dyDescent="0.3">
      <c r="A2025" s="3">
        <v>101</v>
      </c>
      <c r="B2025" s="3">
        <v>101</v>
      </c>
      <c r="C2025" s="4">
        <v>917.39750000000004</v>
      </c>
      <c r="D2025" s="4">
        <v>917.19299999999998</v>
      </c>
      <c r="E2025" s="4">
        <v>917.60199999999998</v>
      </c>
      <c r="F2025" s="4"/>
      <c r="G2025" s="4"/>
      <c r="H2025" s="28" t="s">
        <v>3603</v>
      </c>
      <c r="I2025" s="4"/>
      <c r="J2025" s="6">
        <v>0</v>
      </c>
      <c r="K2025" s="29" t="s">
        <v>3207</v>
      </c>
      <c r="L2025" s="4"/>
      <c r="M2025" s="3"/>
    </row>
    <row r="2026" spans="1:13" x14ac:dyDescent="0.3">
      <c r="A2026" s="3">
        <v>101</v>
      </c>
      <c r="B2026" s="3">
        <v>101</v>
      </c>
      <c r="C2026" s="4">
        <v>917.67200000000003</v>
      </c>
      <c r="D2026" s="4">
        <v>917.60199999999998</v>
      </c>
      <c r="E2026" s="4">
        <v>917.74199999999996</v>
      </c>
      <c r="F2026" s="4"/>
      <c r="G2026" s="4"/>
      <c r="H2026" s="27" t="s">
        <v>3604</v>
      </c>
      <c r="I2026" s="4"/>
      <c r="J2026" s="6">
        <v>0</v>
      </c>
      <c r="K2026" s="30" t="s">
        <v>3207</v>
      </c>
      <c r="L2026" s="4"/>
      <c r="M2026" s="3"/>
    </row>
    <row r="2027" spans="1:13" x14ac:dyDescent="0.3">
      <c r="A2027" s="3">
        <v>101</v>
      </c>
      <c r="B2027" s="3">
        <v>101</v>
      </c>
      <c r="C2027" s="4">
        <v>917.90200000000004</v>
      </c>
      <c r="D2027" s="4">
        <v>917.74199999999996</v>
      </c>
      <c r="E2027" s="4">
        <v>918.06200000000001</v>
      </c>
      <c r="F2027" s="4"/>
      <c r="G2027" s="4"/>
      <c r="H2027" s="28" t="s">
        <v>3605</v>
      </c>
      <c r="I2027" s="4"/>
      <c r="J2027" s="6">
        <v>0</v>
      </c>
      <c r="K2027" s="29" t="s">
        <v>3207</v>
      </c>
      <c r="L2027" s="4"/>
      <c r="M2027" s="3"/>
    </row>
    <row r="2028" spans="1:13" x14ac:dyDescent="0.3">
      <c r="A2028" s="3">
        <v>101</v>
      </c>
      <c r="B2028" s="3">
        <v>101</v>
      </c>
      <c r="C2028" s="4">
        <v>918.15150000000006</v>
      </c>
      <c r="D2028" s="4">
        <v>918.06200000000001</v>
      </c>
      <c r="E2028" s="4">
        <v>918.24099999999999</v>
      </c>
      <c r="F2028" s="4"/>
      <c r="G2028" s="4"/>
      <c r="H2028" s="27" t="s">
        <v>3606</v>
      </c>
      <c r="I2028" s="4"/>
      <c r="J2028" s="6">
        <v>0</v>
      </c>
      <c r="K2028" s="30" t="s">
        <v>3207</v>
      </c>
      <c r="L2028" s="4"/>
      <c r="M2028" s="3"/>
    </row>
    <row r="2029" spans="1:13" x14ac:dyDescent="0.3">
      <c r="A2029" s="3">
        <v>101</v>
      </c>
      <c r="B2029" s="3">
        <v>101</v>
      </c>
      <c r="C2029" s="4">
        <v>918.44</v>
      </c>
      <c r="D2029" s="4">
        <v>918.24099999999999</v>
      </c>
      <c r="E2029" s="4">
        <v>918.63900000000001</v>
      </c>
      <c r="F2029" s="4"/>
      <c r="G2029" s="4"/>
      <c r="H2029" s="28" t="s">
        <v>3607</v>
      </c>
      <c r="I2029" s="4"/>
      <c r="J2029" s="6">
        <v>0</v>
      </c>
      <c r="K2029" s="29" t="s">
        <v>3207</v>
      </c>
      <c r="L2029" s="4"/>
      <c r="M2029" s="3"/>
    </row>
    <row r="2030" spans="1:13" x14ac:dyDescent="0.3">
      <c r="A2030" s="3">
        <v>101</v>
      </c>
      <c r="B2030" s="3">
        <v>101</v>
      </c>
      <c r="C2030" s="4">
        <v>918.81200000000001</v>
      </c>
      <c r="D2030" s="4">
        <v>918.63900000000001</v>
      </c>
      <c r="E2030" s="4">
        <v>918.98500000000001</v>
      </c>
      <c r="F2030" s="4"/>
      <c r="G2030" s="4"/>
      <c r="H2030" s="27" t="s">
        <v>3608</v>
      </c>
      <c r="I2030" s="4"/>
      <c r="J2030" s="6">
        <v>0</v>
      </c>
      <c r="K2030" s="30" t="s">
        <v>3207</v>
      </c>
      <c r="L2030" s="4"/>
      <c r="M2030" s="3"/>
    </row>
    <row r="2031" spans="1:13" x14ac:dyDescent="0.3">
      <c r="A2031" s="3">
        <v>101</v>
      </c>
      <c r="B2031" s="3">
        <v>101</v>
      </c>
      <c r="C2031" s="4">
        <v>919.75400000000002</v>
      </c>
      <c r="D2031" s="4">
        <v>918.98500000000001</v>
      </c>
      <c r="E2031" s="4">
        <v>920.52300000000002</v>
      </c>
      <c r="F2031" s="4"/>
      <c r="G2031" s="4"/>
      <c r="H2031" s="28" t="s">
        <v>3609</v>
      </c>
      <c r="I2031" s="4"/>
      <c r="J2031" s="6">
        <v>0</v>
      </c>
      <c r="K2031" s="29" t="s">
        <v>3207</v>
      </c>
      <c r="L2031" s="4"/>
      <c r="M2031" s="3"/>
    </row>
    <row r="2032" spans="1:13" x14ac:dyDescent="0.3">
      <c r="A2032" s="3">
        <v>101</v>
      </c>
      <c r="B2032" s="3">
        <v>101</v>
      </c>
      <c r="C2032" s="4">
        <v>920.6825</v>
      </c>
      <c r="D2032" s="4">
        <v>920.52300000000002</v>
      </c>
      <c r="E2032" s="4">
        <v>920.84199999999998</v>
      </c>
      <c r="F2032" s="4"/>
      <c r="G2032" s="4"/>
      <c r="H2032" s="27" t="s">
        <v>3610</v>
      </c>
      <c r="I2032" s="4"/>
      <c r="J2032" s="6">
        <v>0</v>
      </c>
      <c r="K2032" s="30" t="s">
        <v>3207</v>
      </c>
      <c r="L2032" s="4"/>
      <c r="M2032" s="3"/>
    </row>
    <row r="2033" spans="1:13" x14ac:dyDescent="0.3">
      <c r="A2033" s="3">
        <v>101</v>
      </c>
      <c r="B2033" s="3">
        <v>101</v>
      </c>
      <c r="C2033" s="4">
        <v>921.19150000000002</v>
      </c>
      <c r="D2033" s="4">
        <v>920.84199999999998</v>
      </c>
      <c r="E2033" s="4">
        <v>921.54100000000005</v>
      </c>
      <c r="F2033" s="4"/>
      <c r="G2033" s="4"/>
      <c r="H2033" s="28" t="s">
        <v>3611</v>
      </c>
      <c r="I2033" s="4"/>
      <c r="J2033" s="6">
        <v>0</v>
      </c>
      <c r="K2033" s="29" t="s">
        <v>3207</v>
      </c>
      <c r="L2033" s="4"/>
      <c r="M2033" s="3"/>
    </row>
    <row r="2034" spans="1:13" x14ac:dyDescent="0.3">
      <c r="A2034" s="3">
        <v>101</v>
      </c>
      <c r="B2034" s="3">
        <v>101</v>
      </c>
      <c r="C2034" s="4">
        <v>921.89549999999997</v>
      </c>
      <c r="D2034" s="4">
        <v>921.54100000000005</v>
      </c>
      <c r="E2034" s="4">
        <v>922.25</v>
      </c>
      <c r="F2034" s="4"/>
      <c r="G2034" s="4"/>
      <c r="H2034" s="27" t="s">
        <v>3612</v>
      </c>
      <c r="I2034" s="4"/>
      <c r="J2034" s="6">
        <v>0</v>
      </c>
      <c r="K2034" s="30" t="s">
        <v>3207</v>
      </c>
      <c r="L2034" s="4"/>
      <c r="M2034" s="3"/>
    </row>
    <row r="2035" spans="1:13" x14ac:dyDescent="0.3">
      <c r="A2035" s="3">
        <v>101</v>
      </c>
      <c r="B2035" s="3">
        <v>101</v>
      </c>
      <c r="C2035" s="4">
        <v>922.4</v>
      </c>
      <c r="D2035" s="4">
        <v>922.25</v>
      </c>
      <c r="E2035" s="4">
        <v>922.55</v>
      </c>
      <c r="F2035" s="4"/>
      <c r="G2035" s="4"/>
      <c r="H2035" s="28" t="s">
        <v>3613</v>
      </c>
      <c r="I2035" s="4"/>
      <c r="J2035" s="6">
        <v>0</v>
      </c>
      <c r="K2035" s="29" t="s">
        <v>3207</v>
      </c>
      <c r="L2035" s="4"/>
      <c r="M2035" s="3"/>
    </row>
    <row r="2036" spans="1:13" x14ac:dyDescent="0.3">
      <c r="A2036" s="3">
        <v>101</v>
      </c>
      <c r="B2036" s="3">
        <v>101</v>
      </c>
      <c r="C2036" s="4">
        <v>922.80499999999995</v>
      </c>
      <c r="D2036" s="4">
        <v>922.55</v>
      </c>
      <c r="E2036" s="4">
        <v>923.06</v>
      </c>
      <c r="F2036" s="4"/>
      <c r="G2036" s="4"/>
      <c r="H2036" s="27" t="s">
        <v>3614</v>
      </c>
      <c r="I2036" s="4"/>
      <c r="J2036" s="6">
        <v>0</v>
      </c>
      <c r="K2036" s="30" t="s">
        <v>3207</v>
      </c>
      <c r="L2036" s="4"/>
      <c r="M2036" s="3"/>
    </row>
    <row r="2037" spans="1:13" x14ac:dyDescent="0.3">
      <c r="A2037" s="3">
        <v>101</v>
      </c>
      <c r="B2037" s="3">
        <v>101</v>
      </c>
      <c r="C2037" s="4">
        <v>923.2</v>
      </c>
      <c r="D2037" s="4">
        <v>923.06</v>
      </c>
      <c r="E2037" s="4">
        <v>923.34</v>
      </c>
      <c r="F2037" s="4"/>
      <c r="G2037" s="4"/>
      <c r="H2037" s="28" t="s">
        <v>3615</v>
      </c>
      <c r="I2037" s="4"/>
      <c r="J2037" s="6">
        <v>0</v>
      </c>
      <c r="K2037" s="29" t="s">
        <v>3207</v>
      </c>
      <c r="L2037" s="4"/>
      <c r="M2037" s="3"/>
    </row>
    <row r="2038" spans="1:13" x14ac:dyDescent="0.3">
      <c r="A2038" s="3">
        <v>101</v>
      </c>
      <c r="B2038" s="3">
        <v>101</v>
      </c>
      <c r="C2038" s="4">
        <v>923.56700000000001</v>
      </c>
      <c r="D2038" s="4">
        <v>923.34</v>
      </c>
      <c r="E2038" s="4">
        <v>923.79399999999998</v>
      </c>
      <c r="F2038" s="4"/>
      <c r="G2038" s="4"/>
      <c r="H2038" s="27" t="s">
        <v>3616</v>
      </c>
      <c r="I2038" s="4"/>
      <c r="J2038" s="6">
        <v>0</v>
      </c>
      <c r="K2038" s="30" t="s">
        <v>3207</v>
      </c>
      <c r="L2038" s="4"/>
      <c r="M2038" s="3"/>
    </row>
    <row r="2039" spans="1:13" x14ac:dyDescent="0.3">
      <c r="A2039" s="3">
        <v>101</v>
      </c>
      <c r="B2039" s="3">
        <v>101</v>
      </c>
      <c r="C2039" s="4">
        <v>924.19899999999996</v>
      </c>
      <c r="D2039" s="4">
        <v>923.79399999999998</v>
      </c>
      <c r="E2039" s="4">
        <v>924.60400000000004</v>
      </c>
      <c r="F2039" s="4"/>
      <c r="G2039" s="4"/>
      <c r="H2039" s="28" t="s">
        <v>3617</v>
      </c>
      <c r="I2039" s="4"/>
      <c r="J2039" s="6">
        <v>0</v>
      </c>
      <c r="K2039" s="29" t="s">
        <v>3207</v>
      </c>
      <c r="L2039" s="4"/>
      <c r="M2039" s="3"/>
    </row>
    <row r="2040" spans="1:13" x14ac:dyDescent="0.3">
      <c r="A2040" s="3">
        <v>101</v>
      </c>
      <c r="B2040" s="3">
        <v>101</v>
      </c>
      <c r="C2040" s="4">
        <v>924.7835</v>
      </c>
      <c r="D2040" s="4">
        <v>924.60400000000004</v>
      </c>
      <c r="E2040" s="4">
        <v>924.96299999999997</v>
      </c>
      <c r="F2040" s="4"/>
      <c r="G2040" s="4"/>
      <c r="H2040" s="27" t="s">
        <v>3618</v>
      </c>
      <c r="I2040" s="4"/>
      <c r="J2040" s="6">
        <v>0</v>
      </c>
      <c r="K2040" s="30" t="s">
        <v>3207</v>
      </c>
      <c r="L2040" s="4"/>
      <c r="M2040" s="3"/>
    </row>
    <row r="2041" spans="1:13" x14ac:dyDescent="0.3">
      <c r="A2041" s="3">
        <v>101</v>
      </c>
      <c r="B2041" s="3">
        <v>101</v>
      </c>
      <c r="C2041" s="4">
        <v>925.20600000000002</v>
      </c>
      <c r="D2041" s="4">
        <v>924.96299999999997</v>
      </c>
      <c r="E2041" s="4">
        <v>925.44899999999996</v>
      </c>
      <c r="F2041" s="4"/>
      <c r="G2041" s="4"/>
      <c r="H2041" s="28" t="s">
        <v>3619</v>
      </c>
      <c r="I2041" s="4"/>
      <c r="J2041" s="6">
        <v>0</v>
      </c>
      <c r="K2041" s="29" t="s">
        <v>3207</v>
      </c>
      <c r="L2041" s="4"/>
      <c r="M2041" s="3"/>
    </row>
    <row r="2042" spans="1:13" x14ac:dyDescent="0.3">
      <c r="A2042" s="3">
        <v>101</v>
      </c>
      <c r="B2042" s="3">
        <v>101</v>
      </c>
      <c r="C2042" s="4">
        <v>925.64850000000001</v>
      </c>
      <c r="D2042" s="4">
        <v>925.44899999999996</v>
      </c>
      <c r="E2042" s="4">
        <v>925.84799999999996</v>
      </c>
      <c r="F2042" s="4"/>
      <c r="G2042" s="4"/>
      <c r="H2042" s="27" t="s">
        <v>3620</v>
      </c>
      <c r="I2042" s="4"/>
      <c r="J2042" s="6">
        <v>0</v>
      </c>
      <c r="K2042" s="30" t="s">
        <v>3207</v>
      </c>
      <c r="L2042" s="4"/>
      <c r="M2042" s="3"/>
    </row>
    <row r="2043" spans="1:13" x14ac:dyDescent="0.3">
      <c r="A2043" s="3">
        <v>101</v>
      </c>
      <c r="B2043" s="3">
        <v>101</v>
      </c>
      <c r="C2043" s="4">
        <v>926.00450000000001</v>
      </c>
      <c r="D2043" s="4">
        <v>925.84799999999996</v>
      </c>
      <c r="E2043" s="4">
        <v>926.16099999999994</v>
      </c>
      <c r="F2043" s="4"/>
      <c r="G2043" s="4"/>
      <c r="H2043" s="28" t="s">
        <v>3621</v>
      </c>
      <c r="I2043" s="4"/>
      <c r="J2043" s="6">
        <v>0</v>
      </c>
      <c r="K2043" s="29" t="s">
        <v>3207</v>
      </c>
      <c r="L2043" s="4"/>
      <c r="M2043" s="3"/>
    </row>
    <row r="2044" spans="1:13" x14ac:dyDescent="0.3">
      <c r="A2044" s="3">
        <v>101</v>
      </c>
      <c r="B2044" s="3">
        <v>101</v>
      </c>
      <c r="C2044" s="4">
        <v>926.56349999999998</v>
      </c>
      <c r="D2044" s="4">
        <v>926.16099999999994</v>
      </c>
      <c r="E2044" s="4">
        <v>926.96600000000001</v>
      </c>
      <c r="F2044" s="4"/>
      <c r="G2044" s="4"/>
      <c r="H2044" s="27" t="s">
        <v>3622</v>
      </c>
      <c r="I2044" s="4"/>
      <c r="J2044" s="6">
        <v>0</v>
      </c>
      <c r="K2044" s="30" t="s">
        <v>3207</v>
      </c>
      <c r="L2044" s="4"/>
      <c r="M2044" s="3"/>
    </row>
    <row r="2045" spans="1:13" x14ac:dyDescent="0.3">
      <c r="A2045" s="3">
        <v>101</v>
      </c>
      <c r="B2045" s="3">
        <v>101</v>
      </c>
      <c r="C2045" s="4">
        <v>927.61099999999999</v>
      </c>
      <c r="D2045" s="4">
        <v>926.96600000000001</v>
      </c>
      <c r="E2045" s="4">
        <v>928.25599999999997</v>
      </c>
      <c r="F2045" s="4"/>
      <c r="G2045" s="4"/>
      <c r="H2045" s="28" t="s">
        <v>3623</v>
      </c>
      <c r="I2045" s="4"/>
      <c r="J2045" s="6">
        <v>0</v>
      </c>
      <c r="K2045" s="29" t="s">
        <v>3207</v>
      </c>
      <c r="L2045" s="4"/>
      <c r="M2045" s="3"/>
    </row>
    <row r="2046" spans="1:13" x14ac:dyDescent="0.3">
      <c r="A2046" s="3">
        <v>101</v>
      </c>
      <c r="B2046" s="3">
        <v>101</v>
      </c>
      <c r="C2046" s="4">
        <v>928.37249999999995</v>
      </c>
      <c r="D2046" s="4">
        <v>928.25599999999997</v>
      </c>
      <c r="E2046" s="4">
        <v>928.48900000000003</v>
      </c>
      <c r="F2046" s="4"/>
      <c r="G2046" s="4"/>
      <c r="H2046" s="27" t="s">
        <v>3624</v>
      </c>
      <c r="I2046" s="4"/>
      <c r="J2046" s="6">
        <v>0</v>
      </c>
      <c r="K2046" s="30" t="s">
        <v>3207</v>
      </c>
      <c r="L2046" s="4"/>
      <c r="M2046" s="3"/>
    </row>
    <row r="2047" spans="1:13" x14ac:dyDescent="0.3">
      <c r="A2047" s="3">
        <v>101</v>
      </c>
      <c r="B2047" s="3">
        <v>101</v>
      </c>
      <c r="C2047" s="4">
        <v>929.697</v>
      </c>
      <c r="D2047" s="4">
        <v>928.48900000000003</v>
      </c>
      <c r="E2047" s="4">
        <v>930.90499999999997</v>
      </c>
      <c r="F2047" s="4"/>
      <c r="G2047" s="4"/>
      <c r="H2047" s="28" t="s">
        <v>3625</v>
      </c>
      <c r="I2047" s="4"/>
      <c r="J2047" s="6">
        <v>0</v>
      </c>
      <c r="K2047" s="29" t="s">
        <v>3207</v>
      </c>
      <c r="L2047" s="4"/>
      <c r="M2047" s="3"/>
    </row>
    <row r="2048" spans="1:13" x14ac:dyDescent="0.3">
      <c r="A2048" s="3">
        <v>101</v>
      </c>
      <c r="B2048" s="3">
        <v>101</v>
      </c>
      <c r="C2048" s="4">
        <v>931.50900000000001</v>
      </c>
      <c r="D2048" s="4">
        <v>930.90499999999997</v>
      </c>
      <c r="E2048" s="4">
        <v>932.11300000000006</v>
      </c>
      <c r="F2048" s="4"/>
      <c r="G2048" s="4"/>
      <c r="H2048" s="27" t="s">
        <v>3626</v>
      </c>
      <c r="I2048" s="4"/>
      <c r="J2048" s="6">
        <v>0</v>
      </c>
      <c r="K2048" s="30" t="s">
        <v>3207</v>
      </c>
      <c r="L2048" s="4"/>
      <c r="M2048" s="3"/>
    </row>
    <row r="2049" spans="1:13" x14ac:dyDescent="0.3">
      <c r="A2049" s="3">
        <v>101</v>
      </c>
      <c r="B2049" s="3">
        <v>101</v>
      </c>
      <c r="C2049" s="4">
        <v>932.38549999999998</v>
      </c>
      <c r="D2049" s="4">
        <v>932.11300000000006</v>
      </c>
      <c r="E2049" s="4">
        <v>932.65800000000002</v>
      </c>
      <c r="F2049" s="4"/>
      <c r="G2049" s="4"/>
      <c r="H2049" s="28" t="s">
        <v>3627</v>
      </c>
      <c r="I2049" s="4"/>
      <c r="J2049" s="6">
        <v>0</v>
      </c>
      <c r="K2049" s="29" t="s">
        <v>3207</v>
      </c>
      <c r="L2049" s="4"/>
      <c r="M2049" s="3"/>
    </row>
    <row r="2050" spans="1:13" x14ac:dyDescent="0.3">
      <c r="A2050" s="3">
        <v>101</v>
      </c>
      <c r="B2050" s="3">
        <v>101</v>
      </c>
      <c r="C2050" s="4">
        <v>933.29250000000002</v>
      </c>
      <c r="D2050" s="4">
        <v>932.65800000000002</v>
      </c>
      <c r="E2050" s="4">
        <v>933.92700000000002</v>
      </c>
      <c r="F2050" s="4"/>
      <c r="G2050" s="4"/>
      <c r="H2050" s="27" t="s">
        <v>3628</v>
      </c>
      <c r="I2050" s="4"/>
      <c r="J2050" s="6">
        <v>0</v>
      </c>
      <c r="K2050" s="30" t="s">
        <v>3207</v>
      </c>
      <c r="L2050" s="4"/>
      <c r="M2050" s="3"/>
    </row>
    <row r="2051" spans="1:13" x14ac:dyDescent="0.3">
      <c r="A2051" s="3">
        <v>101</v>
      </c>
      <c r="B2051" s="3">
        <v>101</v>
      </c>
      <c r="C2051" s="4">
        <v>934.18700000000001</v>
      </c>
      <c r="D2051" s="4">
        <v>933.92700000000002</v>
      </c>
      <c r="E2051" s="4">
        <v>934.447</v>
      </c>
      <c r="F2051" s="4"/>
      <c r="G2051" s="4"/>
      <c r="H2051" s="28" t="s">
        <v>3629</v>
      </c>
      <c r="I2051" s="4"/>
      <c r="J2051" s="6">
        <v>0</v>
      </c>
      <c r="K2051" s="29" t="s">
        <v>3207</v>
      </c>
      <c r="L2051" s="4"/>
      <c r="M2051" s="3"/>
    </row>
    <row r="2052" spans="1:13" x14ac:dyDescent="0.3">
      <c r="A2052" s="3">
        <v>101</v>
      </c>
      <c r="B2052" s="3">
        <v>101</v>
      </c>
      <c r="C2052" s="4">
        <v>934.52</v>
      </c>
      <c r="D2052" s="4">
        <v>934.447</v>
      </c>
      <c r="E2052" s="4">
        <v>934.59299999999996</v>
      </c>
      <c r="F2052" s="4"/>
      <c r="G2052" s="4"/>
      <c r="H2052" s="27" t="s">
        <v>3630</v>
      </c>
      <c r="I2052" s="4"/>
      <c r="J2052" s="6">
        <v>0</v>
      </c>
      <c r="K2052" s="30" t="s">
        <v>3207</v>
      </c>
      <c r="L2052" s="4"/>
      <c r="M2052" s="3"/>
    </row>
    <row r="2053" spans="1:13" x14ac:dyDescent="0.3">
      <c r="A2053" s="3">
        <v>101</v>
      </c>
      <c r="B2053" s="3">
        <v>101</v>
      </c>
      <c r="C2053" s="4">
        <v>935.1875</v>
      </c>
      <c r="D2053" s="4">
        <v>934.59299999999996</v>
      </c>
      <c r="E2053" s="4">
        <v>935.78200000000004</v>
      </c>
      <c r="F2053" s="4"/>
      <c r="G2053" s="4"/>
      <c r="H2053" s="28" t="s">
        <v>3631</v>
      </c>
      <c r="I2053" s="4"/>
      <c r="J2053" s="6">
        <v>0</v>
      </c>
      <c r="K2053" s="29" t="s">
        <v>3207</v>
      </c>
      <c r="L2053" s="4"/>
      <c r="M2053" s="3"/>
    </row>
    <row r="2054" spans="1:13" x14ac:dyDescent="0.3">
      <c r="A2054" s="3">
        <v>101</v>
      </c>
      <c r="B2054" s="3">
        <v>101</v>
      </c>
      <c r="C2054" s="4">
        <v>935.93100000000004</v>
      </c>
      <c r="D2054" s="4">
        <v>935.78200000000004</v>
      </c>
      <c r="E2054" s="4">
        <v>936.08</v>
      </c>
      <c r="F2054" s="4"/>
      <c r="G2054" s="4"/>
      <c r="H2054" s="27" t="s">
        <v>3632</v>
      </c>
      <c r="I2054" s="4"/>
      <c r="J2054" s="6">
        <v>0</v>
      </c>
      <c r="K2054" s="30" t="s">
        <v>3207</v>
      </c>
      <c r="L2054" s="4"/>
      <c r="M2054" s="3"/>
    </row>
    <row r="2055" spans="1:13" x14ac:dyDescent="0.3">
      <c r="A2055" s="3">
        <v>101</v>
      </c>
      <c r="B2055" s="3">
        <v>101</v>
      </c>
      <c r="C2055" s="4">
        <v>936.34749999999997</v>
      </c>
      <c r="D2055" s="4">
        <v>936.08</v>
      </c>
      <c r="E2055" s="4">
        <v>936.61500000000001</v>
      </c>
      <c r="F2055" s="4"/>
      <c r="G2055" s="4"/>
      <c r="H2055" s="28" t="s">
        <v>3633</v>
      </c>
      <c r="I2055" s="4"/>
      <c r="J2055" s="6">
        <v>0</v>
      </c>
      <c r="K2055" s="29" t="s">
        <v>3207</v>
      </c>
      <c r="L2055" s="4"/>
      <c r="M2055" s="3"/>
    </row>
    <row r="2056" spans="1:13" x14ac:dyDescent="0.3">
      <c r="A2056" s="3">
        <v>101</v>
      </c>
      <c r="B2056" s="3">
        <v>101</v>
      </c>
      <c r="C2056" s="4">
        <v>936.77049999999997</v>
      </c>
      <c r="D2056" s="4">
        <v>936.61500000000001</v>
      </c>
      <c r="E2056" s="4">
        <v>936.92600000000004</v>
      </c>
      <c r="F2056" s="4"/>
      <c r="G2056" s="4"/>
      <c r="H2056" s="27" t="s">
        <v>3634</v>
      </c>
      <c r="I2056" s="4"/>
      <c r="J2056" s="6">
        <v>0</v>
      </c>
      <c r="K2056" s="30" t="s">
        <v>3207</v>
      </c>
      <c r="L2056" s="4"/>
      <c r="M2056" s="3"/>
    </row>
    <row r="2057" spans="1:13" x14ac:dyDescent="0.3">
      <c r="A2057" s="3">
        <v>101</v>
      </c>
      <c r="B2057" s="3">
        <v>101</v>
      </c>
      <c r="C2057" s="4">
        <v>937.17550000000006</v>
      </c>
      <c r="D2057" s="4">
        <v>936.92600000000004</v>
      </c>
      <c r="E2057" s="4">
        <v>937.42499999999995</v>
      </c>
      <c r="F2057" s="4"/>
      <c r="G2057" s="4"/>
      <c r="H2057" s="28" t="s">
        <v>3635</v>
      </c>
      <c r="I2057" s="4"/>
      <c r="J2057" s="6">
        <v>0</v>
      </c>
      <c r="K2057" s="29" t="s">
        <v>3207</v>
      </c>
      <c r="L2057" s="4"/>
      <c r="M2057" s="3"/>
    </row>
    <row r="2058" spans="1:13" x14ac:dyDescent="0.3">
      <c r="A2058" s="3">
        <v>101</v>
      </c>
      <c r="B2058" s="3">
        <v>101</v>
      </c>
      <c r="C2058" s="4">
        <v>937.8845</v>
      </c>
      <c r="D2058" s="4">
        <v>937.42499999999995</v>
      </c>
      <c r="E2058" s="4">
        <v>938.34400000000005</v>
      </c>
      <c r="F2058" s="4"/>
      <c r="G2058" s="4"/>
      <c r="H2058" s="27" t="s">
        <v>3636</v>
      </c>
      <c r="I2058" s="4"/>
      <c r="J2058" s="6">
        <v>0</v>
      </c>
      <c r="K2058" s="30" t="s">
        <v>3207</v>
      </c>
      <c r="L2058" s="4"/>
      <c r="M2058" s="3"/>
    </row>
    <row r="2059" spans="1:13" x14ac:dyDescent="0.3">
      <c r="A2059" s="3">
        <v>101</v>
      </c>
      <c r="B2059" s="3">
        <v>101</v>
      </c>
      <c r="C2059" s="4">
        <v>938.71550000000002</v>
      </c>
      <c r="D2059" s="4">
        <v>938.34400000000005</v>
      </c>
      <c r="E2059" s="4">
        <v>939.08699999999999</v>
      </c>
      <c r="F2059" s="4"/>
      <c r="G2059" s="4"/>
      <c r="H2059" s="28" t="s">
        <v>3637</v>
      </c>
      <c r="I2059" s="4"/>
      <c r="J2059" s="6">
        <v>0</v>
      </c>
      <c r="K2059" s="29" t="s">
        <v>3207</v>
      </c>
      <c r="L2059" s="4"/>
      <c r="M2059" s="3"/>
    </row>
    <row r="2060" spans="1:13" x14ac:dyDescent="0.3">
      <c r="A2060" s="3">
        <v>101</v>
      </c>
      <c r="B2060" s="3">
        <v>101</v>
      </c>
      <c r="C2060" s="4">
        <v>939.21550000000002</v>
      </c>
      <c r="D2060" s="4">
        <v>939.08699999999999</v>
      </c>
      <c r="E2060" s="4">
        <v>939.34400000000005</v>
      </c>
      <c r="F2060" s="4"/>
      <c r="G2060" s="4"/>
      <c r="H2060" s="27" t="s">
        <v>3638</v>
      </c>
      <c r="I2060" s="4"/>
      <c r="J2060" s="6">
        <v>0</v>
      </c>
      <c r="K2060" s="30" t="s">
        <v>3207</v>
      </c>
      <c r="L2060" s="4"/>
      <c r="M2060" s="3"/>
    </row>
    <row r="2061" spans="1:13" x14ac:dyDescent="0.3">
      <c r="A2061" s="3">
        <v>101</v>
      </c>
      <c r="B2061" s="3">
        <v>101</v>
      </c>
      <c r="C2061" s="4">
        <v>939.46849999999995</v>
      </c>
      <c r="D2061" s="4">
        <v>939.34400000000005</v>
      </c>
      <c r="E2061" s="4">
        <v>939.59299999999996</v>
      </c>
      <c r="F2061" s="4"/>
      <c r="G2061" s="4"/>
      <c r="H2061" s="28" t="s">
        <v>3639</v>
      </c>
      <c r="I2061" s="4"/>
      <c r="J2061" s="6">
        <v>0</v>
      </c>
      <c r="K2061" s="29" t="s">
        <v>3207</v>
      </c>
      <c r="L2061" s="4"/>
      <c r="M2061" s="3"/>
    </row>
    <row r="2062" spans="1:13" x14ac:dyDescent="0.3">
      <c r="A2062" s="3">
        <v>101</v>
      </c>
      <c r="B2062" s="3">
        <v>101</v>
      </c>
      <c r="C2062" s="4">
        <v>939.83699999999999</v>
      </c>
      <c r="D2062" s="4">
        <v>939.59299999999996</v>
      </c>
      <c r="E2062" s="4">
        <v>940.08100000000002</v>
      </c>
      <c r="F2062" s="4"/>
      <c r="G2062" s="4"/>
      <c r="H2062" s="27" t="s">
        <v>3640</v>
      </c>
      <c r="I2062" s="4"/>
      <c r="J2062" s="6">
        <v>0</v>
      </c>
      <c r="K2062" s="30" t="s">
        <v>3207</v>
      </c>
      <c r="L2062" s="4"/>
      <c r="M2062" s="3"/>
    </row>
    <row r="2063" spans="1:13" x14ac:dyDescent="0.3">
      <c r="A2063" s="3">
        <v>101</v>
      </c>
      <c r="B2063" s="3">
        <v>101</v>
      </c>
      <c r="C2063" s="4">
        <v>940.42250000000001</v>
      </c>
      <c r="D2063" s="4">
        <v>940.08100000000002</v>
      </c>
      <c r="E2063" s="4">
        <v>940.76400000000001</v>
      </c>
      <c r="F2063" s="4"/>
      <c r="G2063" s="4"/>
      <c r="H2063" s="28" t="s">
        <v>3641</v>
      </c>
      <c r="I2063" s="4"/>
      <c r="J2063" s="6">
        <v>0</v>
      </c>
      <c r="K2063" s="29" t="s">
        <v>3207</v>
      </c>
      <c r="L2063" s="4"/>
      <c r="M2063" s="3"/>
    </row>
    <row r="2064" spans="1:13" x14ac:dyDescent="0.3">
      <c r="A2064" s="3">
        <v>101</v>
      </c>
      <c r="B2064" s="3">
        <v>101</v>
      </c>
      <c r="C2064" s="4">
        <v>940.96900000000005</v>
      </c>
      <c r="D2064" s="4">
        <v>940.76400000000001</v>
      </c>
      <c r="E2064" s="4">
        <v>941.17399999999998</v>
      </c>
      <c r="F2064" s="4"/>
      <c r="G2064" s="4"/>
      <c r="H2064" s="27" t="s">
        <v>3642</v>
      </c>
      <c r="I2064" s="4"/>
      <c r="J2064" s="6">
        <v>0</v>
      </c>
      <c r="K2064" s="30" t="s">
        <v>3207</v>
      </c>
      <c r="L2064" s="4"/>
      <c r="M2064" s="3"/>
    </row>
    <row r="2065" spans="1:13" x14ac:dyDescent="0.3">
      <c r="A2065" s="3">
        <v>101</v>
      </c>
      <c r="B2065" s="3">
        <v>101</v>
      </c>
      <c r="C2065" s="4">
        <v>941.31200000000001</v>
      </c>
      <c r="D2065" s="4">
        <v>941.17399999999998</v>
      </c>
      <c r="E2065" s="4">
        <v>941.45</v>
      </c>
      <c r="F2065" s="4"/>
      <c r="G2065" s="4"/>
      <c r="H2065" s="28" t="s">
        <v>3643</v>
      </c>
      <c r="I2065" s="4"/>
      <c r="J2065" s="6">
        <v>0</v>
      </c>
      <c r="K2065" s="29" t="s">
        <v>3207</v>
      </c>
      <c r="L2065" s="4"/>
      <c r="M2065" s="3"/>
    </row>
    <row r="2066" spans="1:13" x14ac:dyDescent="0.3">
      <c r="A2066" s="3">
        <v>101</v>
      </c>
      <c r="B2066" s="3">
        <v>101</v>
      </c>
      <c r="C2066" s="4">
        <v>941.8895</v>
      </c>
      <c r="D2066" s="4">
        <v>941.45</v>
      </c>
      <c r="E2066" s="4">
        <v>942.32899999999995</v>
      </c>
      <c r="F2066" s="4"/>
      <c r="G2066" s="4"/>
      <c r="H2066" s="27" t="s">
        <v>3644</v>
      </c>
      <c r="I2066" s="4"/>
      <c r="J2066" s="6">
        <v>0</v>
      </c>
      <c r="K2066" s="30" t="s">
        <v>3207</v>
      </c>
      <c r="L2066" s="4"/>
      <c r="M2066" s="3"/>
    </row>
    <row r="2067" spans="1:13" x14ac:dyDescent="0.3">
      <c r="A2067" s="3">
        <v>101</v>
      </c>
      <c r="B2067" s="3">
        <v>101</v>
      </c>
      <c r="C2067" s="4">
        <v>943.7115</v>
      </c>
      <c r="D2067" s="4">
        <v>942.32899999999995</v>
      </c>
      <c r="E2067" s="4">
        <v>945.09400000000005</v>
      </c>
      <c r="F2067" s="4"/>
      <c r="G2067" s="4"/>
      <c r="H2067" s="28" t="s">
        <v>3645</v>
      </c>
      <c r="I2067" s="4"/>
      <c r="J2067" s="6">
        <v>0</v>
      </c>
      <c r="K2067" s="29" t="s">
        <v>3207</v>
      </c>
      <c r="L2067" s="4"/>
      <c r="M2067" s="3"/>
    </row>
    <row r="2068" spans="1:13" x14ac:dyDescent="0.3">
      <c r="A2068" s="3">
        <v>101</v>
      </c>
      <c r="B2068" s="3">
        <v>101</v>
      </c>
      <c r="C2068" s="4">
        <v>945.35799999999995</v>
      </c>
      <c r="D2068" s="4">
        <v>945.09400000000005</v>
      </c>
      <c r="E2068" s="4">
        <v>945.62199999999996</v>
      </c>
      <c r="F2068" s="4"/>
      <c r="G2068" s="4"/>
      <c r="H2068" s="27" t="s">
        <v>3646</v>
      </c>
      <c r="I2068" s="4"/>
      <c r="J2068" s="6">
        <v>0</v>
      </c>
      <c r="K2068" s="30" t="s">
        <v>3207</v>
      </c>
      <c r="L2068" s="4"/>
      <c r="M2068" s="3"/>
    </row>
    <row r="2069" spans="1:13" x14ac:dyDescent="0.3">
      <c r="A2069" s="3">
        <v>101</v>
      </c>
      <c r="B2069" s="3">
        <v>101</v>
      </c>
      <c r="C2069" s="4">
        <v>945.79600000000005</v>
      </c>
      <c r="D2069" s="4">
        <v>945.62199999999996</v>
      </c>
      <c r="E2069" s="4">
        <v>945.97</v>
      </c>
      <c r="F2069" s="4"/>
      <c r="G2069" s="4"/>
      <c r="H2069" s="28" t="s">
        <v>3647</v>
      </c>
      <c r="I2069" s="4"/>
      <c r="J2069" s="6">
        <v>0</v>
      </c>
      <c r="K2069" s="29" t="s">
        <v>3207</v>
      </c>
      <c r="L2069" s="4"/>
      <c r="M2069" s="3"/>
    </row>
    <row r="2070" spans="1:13" x14ac:dyDescent="0.3">
      <c r="A2070" s="3">
        <v>101</v>
      </c>
      <c r="B2070" s="3">
        <v>101</v>
      </c>
      <c r="C2070" s="4">
        <v>946.39099999999996</v>
      </c>
      <c r="D2070" s="4">
        <v>945.97</v>
      </c>
      <c r="E2070" s="4">
        <v>946.81200000000001</v>
      </c>
      <c r="F2070" s="4"/>
      <c r="G2070" s="4"/>
      <c r="H2070" s="27" t="s">
        <v>3648</v>
      </c>
      <c r="I2070" s="4"/>
      <c r="J2070" s="6">
        <v>0</v>
      </c>
      <c r="K2070" s="30" t="s">
        <v>3207</v>
      </c>
      <c r="L2070" s="4"/>
      <c r="M2070" s="3"/>
    </row>
    <row r="2071" spans="1:13" x14ac:dyDescent="0.3">
      <c r="A2071" s="3">
        <v>101</v>
      </c>
      <c r="B2071" s="3">
        <v>101</v>
      </c>
      <c r="C2071" s="4">
        <v>947.45600000000002</v>
      </c>
      <c r="D2071" s="4">
        <v>946.81200000000001</v>
      </c>
      <c r="E2071" s="4">
        <v>948.1</v>
      </c>
      <c r="F2071" s="4"/>
      <c r="G2071" s="4"/>
      <c r="H2071" s="28" t="s">
        <v>3649</v>
      </c>
      <c r="I2071" s="4"/>
      <c r="J2071" s="6">
        <v>0</v>
      </c>
      <c r="K2071" s="29" t="s">
        <v>3207</v>
      </c>
      <c r="L2071" s="4"/>
      <c r="M2071" s="3"/>
    </row>
    <row r="2072" spans="1:13" x14ac:dyDescent="0.3">
      <c r="A2072" s="3">
        <v>101</v>
      </c>
      <c r="B2072" s="3">
        <v>101</v>
      </c>
      <c r="C2072" s="4">
        <v>948.41</v>
      </c>
      <c r="D2072" s="4">
        <v>948.1</v>
      </c>
      <c r="E2072" s="4">
        <v>948.72</v>
      </c>
      <c r="F2072" s="4"/>
      <c r="G2072" s="4"/>
      <c r="H2072" s="27" t="s">
        <v>3650</v>
      </c>
      <c r="I2072" s="4"/>
      <c r="J2072" s="6">
        <v>0</v>
      </c>
      <c r="K2072" s="30" t="s">
        <v>3207</v>
      </c>
      <c r="L2072" s="4"/>
      <c r="M2072" s="3"/>
    </row>
    <row r="2073" spans="1:13" x14ac:dyDescent="0.3">
      <c r="A2073" s="3">
        <v>101</v>
      </c>
      <c r="B2073" s="3">
        <v>101</v>
      </c>
      <c r="C2073" s="4">
        <v>948.93899999999996</v>
      </c>
      <c r="D2073" s="4">
        <v>948.72</v>
      </c>
      <c r="E2073" s="4">
        <v>949.15800000000002</v>
      </c>
      <c r="F2073" s="4"/>
      <c r="G2073" s="4"/>
      <c r="H2073" s="28" t="s">
        <v>3651</v>
      </c>
      <c r="I2073" s="4"/>
      <c r="J2073" s="6">
        <v>0</v>
      </c>
      <c r="K2073" s="29" t="s">
        <v>3207</v>
      </c>
      <c r="L2073" s="4"/>
      <c r="M2073" s="3"/>
    </row>
    <row r="2074" spans="1:13" x14ac:dyDescent="0.3">
      <c r="A2074" s="3">
        <v>101</v>
      </c>
      <c r="B2074" s="3">
        <v>101</v>
      </c>
      <c r="C2074" s="4">
        <v>949.54949999999997</v>
      </c>
      <c r="D2074" s="4">
        <v>949.15800000000002</v>
      </c>
      <c r="E2074" s="4">
        <v>949.94100000000003</v>
      </c>
      <c r="F2074" s="4"/>
      <c r="G2074" s="4"/>
      <c r="H2074" s="27" t="s">
        <v>3652</v>
      </c>
      <c r="I2074" s="4"/>
      <c r="J2074" s="6">
        <v>0</v>
      </c>
      <c r="K2074" s="30" t="s">
        <v>3207</v>
      </c>
      <c r="L2074" s="4"/>
      <c r="M2074" s="3"/>
    </row>
    <row r="2075" spans="1:13" x14ac:dyDescent="0.3">
      <c r="A2075" s="3">
        <v>101</v>
      </c>
      <c r="B2075" s="3">
        <v>101</v>
      </c>
      <c r="C2075" s="4">
        <v>950.01750000000004</v>
      </c>
      <c r="D2075" s="4">
        <v>949.94100000000003</v>
      </c>
      <c r="E2075" s="4">
        <v>950.09400000000005</v>
      </c>
      <c r="F2075" s="4"/>
      <c r="G2075" s="4"/>
      <c r="H2075" s="28" t="s">
        <v>3653</v>
      </c>
      <c r="I2075" s="4"/>
      <c r="J2075" s="6">
        <v>0</v>
      </c>
      <c r="K2075" s="29" t="s">
        <v>3207</v>
      </c>
      <c r="L2075" s="4"/>
      <c r="M2075" s="3"/>
    </row>
    <row r="2076" spans="1:13" x14ac:dyDescent="0.3">
      <c r="A2076" s="3">
        <v>101</v>
      </c>
      <c r="B2076" s="3">
        <v>101</v>
      </c>
      <c r="C2076" s="4">
        <v>950.31449999999995</v>
      </c>
      <c r="D2076" s="4">
        <v>950.09400000000005</v>
      </c>
      <c r="E2076" s="4">
        <v>950.53499999999997</v>
      </c>
      <c r="F2076" s="4"/>
      <c r="G2076" s="4"/>
      <c r="H2076" s="27" t="s">
        <v>3654</v>
      </c>
      <c r="I2076" s="4"/>
      <c r="J2076" s="6">
        <v>0</v>
      </c>
      <c r="K2076" s="30" t="s">
        <v>3207</v>
      </c>
      <c r="L2076" s="4"/>
      <c r="M2076" s="3"/>
    </row>
    <row r="2077" spans="1:13" x14ac:dyDescent="0.3">
      <c r="A2077" s="3">
        <v>101</v>
      </c>
      <c r="B2077" s="3">
        <v>101</v>
      </c>
      <c r="C2077" s="4">
        <v>950.67250000000001</v>
      </c>
      <c r="D2077" s="4">
        <v>950.53499999999997</v>
      </c>
      <c r="E2077" s="4">
        <v>950.81</v>
      </c>
      <c r="F2077" s="4"/>
      <c r="G2077" s="4"/>
      <c r="H2077" s="28" t="s">
        <v>3655</v>
      </c>
      <c r="I2077" s="4"/>
      <c r="J2077" s="6">
        <v>0</v>
      </c>
      <c r="K2077" s="29" t="s">
        <v>3207</v>
      </c>
      <c r="L2077" s="4"/>
      <c r="M2077" s="3"/>
    </row>
    <row r="2078" spans="1:13" x14ac:dyDescent="0.3">
      <c r="A2078" s="3">
        <v>101</v>
      </c>
      <c r="B2078" s="3">
        <v>101</v>
      </c>
      <c r="C2078" s="4">
        <v>951.23050000000001</v>
      </c>
      <c r="D2078" s="4">
        <v>950.81</v>
      </c>
      <c r="E2078" s="4">
        <v>951.65099999999995</v>
      </c>
      <c r="F2078" s="4"/>
      <c r="G2078" s="4"/>
      <c r="H2078" s="27" t="s">
        <v>3656</v>
      </c>
      <c r="I2078" s="4"/>
      <c r="J2078" s="6">
        <v>0</v>
      </c>
      <c r="K2078" s="30" t="s">
        <v>3207</v>
      </c>
      <c r="L2078" s="4"/>
      <c r="M2078" s="3"/>
    </row>
    <row r="2079" spans="1:13" x14ac:dyDescent="0.3">
      <c r="A2079" s="3">
        <v>101</v>
      </c>
      <c r="B2079" s="3">
        <v>101</v>
      </c>
      <c r="C2079" s="4">
        <v>951.83849999999995</v>
      </c>
      <c r="D2079" s="4">
        <v>951.65099999999995</v>
      </c>
      <c r="E2079" s="4">
        <v>952.02599999999995</v>
      </c>
      <c r="F2079" s="4"/>
      <c r="G2079" s="4"/>
      <c r="H2079" s="28" t="s">
        <v>3657</v>
      </c>
      <c r="I2079" s="4"/>
      <c r="J2079" s="6">
        <v>0</v>
      </c>
      <c r="K2079" s="29" t="s">
        <v>3207</v>
      </c>
      <c r="L2079" s="4"/>
      <c r="M2079" s="3"/>
    </row>
    <row r="2080" spans="1:13" x14ac:dyDescent="0.3">
      <c r="A2080" s="3">
        <v>101</v>
      </c>
      <c r="B2080" s="3">
        <v>101</v>
      </c>
      <c r="C2080" s="4">
        <v>952.25900000000001</v>
      </c>
      <c r="D2080" s="4">
        <v>952.02599999999995</v>
      </c>
      <c r="E2080" s="4">
        <v>952.49199999999996</v>
      </c>
      <c r="F2080" s="4"/>
      <c r="G2080" s="4"/>
      <c r="H2080" s="27" t="s">
        <v>3658</v>
      </c>
      <c r="I2080" s="4"/>
      <c r="J2080" s="6">
        <v>0</v>
      </c>
      <c r="K2080" s="30" t="s">
        <v>3207</v>
      </c>
      <c r="L2080" s="4"/>
      <c r="M2080" s="3"/>
    </row>
    <row r="2081" spans="1:13" x14ac:dyDescent="0.3">
      <c r="A2081" s="3">
        <v>101</v>
      </c>
      <c r="B2081" s="3">
        <v>101</v>
      </c>
      <c r="C2081" s="4">
        <v>952.51549999999997</v>
      </c>
      <c r="D2081" s="4">
        <v>952.49199999999996</v>
      </c>
      <c r="E2081" s="4">
        <v>952.53899999999999</v>
      </c>
      <c r="F2081" s="4"/>
      <c r="G2081" s="4"/>
      <c r="H2081" s="28" t="s">
        <v>3659</v>
      </c>
      <c r="I2081" s="4"/>
      <c r="J2081" s="6">
        <v>0</v>
      </c>
      <c r="K2081" s="29" t="s">
        <v>3207</v>
      </c>
      <c r="L2081" s="4"/>
      <c r="M2081" s="3"/>
    </row>
    <row r="2082" spans="1:13" x14ac:dyDescent="0.3">
      <c r="A2082" s="3">
        <v>101</v>
      </c>
      <c r="B2082" s="3">
        <v>101</v>
      </c>
      <c r="C2082" s="4">
        <v>952.88599999999997</v>
      </c>
      <c r="D2082" s="4">
        <v>952.53899999999999</v>
      </c>
      <c r="E2082" s="4">
        <v>953.23299999999995</v>
      </c>
      <c r="F2082" s="4"/>
      <c r="G2082" s="4"/>
      <c r="H2082" s="27" t="s">
        <v>3660</v>
      </c>
      <c r="I2082" s="4"/>
      <c r="J2082" s="6">
        <v>0</v>
      </c>
      <c r="K2082" s="30" t="s">
        <v>3207</v>
      </c>
      <c r="L2082" s="4"/>
      <c r="M2082" s="3"/>
    </row>
    <row r="2083" spans="1:13" x14ac:dyDescent="0.3">
      <c r="A2083" s="3">
        <v>101</v>
      </c>
      <c r="B2083" s="3">
        <v>101</v>
      </c>
      <c r="C2083" s="4">
        <v>953.29200000000003</v>
      </c>
      <c r="D2083" s="4">
        <v>953.23299999999995</v>
      </c>
      <c r="E2083" s="4">
        <v>953.351</v>
      </c>
      <c r="F2083" s="4"/>
      <c r="G2083" s="4"/>
      <c r="H2083" s="28" t="s">
        <v>3661</v>
      </c>
      <c r="I2083" s="4"/>
      <c r="J2083" s="6">
        <v>0</v>
      </c>
      <c r="K2083" s="29" t="s">
        <v>3207</v>
      </c>
      <c r="L2083" s="4"/>
      <c r="M2083" s="3"/>
    </row>
    <row r="2084" spans="1:13" x14ac:dyDescent="0.3">
      <c r="A2084" s="3">
        <v>101</v>
      </c>
      <c r="B2084" s="3">
        <v>101</v>
      </c>
      <c r="C2084" s="4">
        <v>953.63400000000001</v>
      </c>
      <c r="D2084" s="4">
        <v>953.351</v>
      </c>
      <c r="E2084" s="4">
        <v>953.91700000000003</v>
      </c>
      <c r="F2084" s="4"/>
      <c r="G2084" s="4"/>
      <c r="H2084" s="27" t="s">
        <v>3662</v>
      </c>
      <c r="I2084" s="4"/>
      <c r="J2084" s="6">
        <v>0</v>
      </c>
      <c r="K2084" s="30" t="s">
        <v>3207</v>
      </c>
      <c r="L2084" s="4"/>
      <c r="M2084" s="3"/>
    </row>
    <row r="2085" spans="1:13" x14ac:dyDescent="0.3">
      <c r="A2085" s="3">
        <v>101</v>
      </c>
      <c r="B2085" s="3">
        <v>101</v>
      </c>
      <c r="C2085" s="4">
        <v>953.95849999999996</v>
      </c>
      <c r="D2085" s="4">
        <v>953.91700000000003</v>
      </c>
      <c r="E2085" s="4">
        <v>954</v>
      </c>
      <c r="F2085" s="4"/>
      <c r="G2085" s="4"/>
      <c r="H2085" s="28" t="s">
        <v>3663</v>
      </c>
      <c r="I2085" s="4"/>
      <c r="J2085" s="6">
        <v>0</v>
      </c>
      <c r="K2085" s="29" t="s">
        <v>3207</v>
      </c>
      <c r="L2085" s="4"/>
      <c r="M2085" s="3"/>
    </row>
    <row r="2086" spans="1:13" x14ac:dyDescent="0.3">
      <c r="A2086" s="3">
        <v>101</v>
      </c>
      <c r="B2086" s="3">
        <v>101</v>
      </c>
      <c r="C2086" s="4">
        <v>954.25549999999998</v>
      </c>
      <c r="D2086" s="4">
        <v>954</v>
      </c>
      <c r="E2086" s="4">
        <v>954.51099999999997</v>
      </c>
      <c r="F2086" s="4"/>
      <c r="G2086" s="4"/>
      <c r="H2086" s="27" t="s">
        <v>3664</v>
      </c>
      <c r="I2086" s="4"/>
      <c r="J2086" s="6">
        <v>0</v>
      </c>
      <c r="K2086" s="30" t="s">
        <v>3207</v>
      </c>
      <c r="L2086" s="4"/>
      <c r="M2086" s="3"/>
    </row>
    <row r="2087" spans="1:13" x14ac:dyDescent="0.3">
      <c r="A2087" s="3">
        <v>101</v>
      </c>
      <c r="B2087" s="3">
        <v>101</v>
      </c>
      <c r="C2087" s="4">
        <v>954.63649999999996</v>
      </c>
      <c r="D2087" s="4">
        <v>954.51099999999997</v>
      </c>
      <c r="E2087" s="4">
        <v>954.76199999999994</v>
      </c>
      <c r="F2087" s="4"/>
      <c r="G2087" s="4"/>
      <c r="H2087" s="28" t="s">
        <v>3665</v>
      </c>
      <c r="I2087" s="4"/>
      <c r="J2087" s="6">
        <v>0</v>
      </c>
      <c r="K2087" s="29" t="s">
        <v>3207</v>
      </c>
      <c r="L2087" s="4"/>
      <c r="M2087" s="3"/>
    </row>
    <row r="2088" spans="1:13" x14ac:dyDescent="0.3">
      <c r="A2088" s="3">
        <v>101</v>
      </c>
      <c r="B2088" s="3">
        <v>101</v>
      </c>
      <c r="C2088" s="4">
        <v>955.53049999999996</v>
      </c>
      <c r="D2088" s="4">
        <v>954.76199999999994</v>
      </c>
      <c r="E2088" s="4">
        <v>956.29899999999998</v>
      </c>
      <c r="F2088" s="4"/>
      <c r="G2088" s="4"/>
      <c r="H2088" s="27" t="s">
        <v>3666</v>
      </c>
      <c r="I2088" s="4"/>
      <c r="J2088" s="6">
        <v>0</v>
      </c>
      <c r="K2088" s="30" t="s">
        <v>3207</v>
      </c>
      <c r="L2088" s="4"/>
      <c r="M2088" s="3"/>
    </row>
    <row r="2089" spans="1:13" x14ac:dyDescent="0.3">
      <c r="A2089" s="3">
        <v>101</v>
      </c>
      <c r="B2089" s="3">
        <v>101</v>
      </c>
      <c r="C2089" s="4">
        <v>956.5575</v>
      </c>
      <c r="D2089" s="4">
        <v>956.29899999999998</v>
      </c>
      <c r="E2089" s="4">
        <v>956.81600000000003</v>
      </c>
      <c r="F2089" s="4"/>
      <c r="G2089" s="4"/>
      <c r="H2089" s="28" t="s">
        <v>3667</v>
      </c>
      <c r="I2089" s="4"/>
      <c r="J2089" s="6">
        <v>0</v>
      </c>
      <c r="K2089" s="29" t="s">
        <v>3207</v>
      </c>
      <c r="L2089" s="4"/>
      <c r="M2089" s="3"/>
    </row>
    <row r="2090" spans="1:13" x14ac:dyDescent="0.3">
      <c r="A2090" s="3">
        <v>101</v>
      </c>
      <c r="B2090" s="3">
        <v>101</v>
      </c>
      <c r="C2090" s="4">
        <v>957.00250000000005</v>
      </c>
      <c r="D2090" s="4">
        <v>956.81600000000003</v>
      </c>
      <c r="E2090" s="4">
        <v>957.18899999999996</v>
      </c>
      <c r="F2090" s="4"/>
      <c r="G2090" s="4"/>
      <c r="H2090" s="27" t="s">
        <v>3668</v>
      </c>
      <c r="I2090" s="4"/>
      <c r="J2090" s="6">
        <v>0</v>
      </c>
      <c r="K2090" s="30" t="s">
        <v>3207</v>
      </c>
      <c r="L2090" s="4"/>
      <c r="M2090" s="3"/>
    </row>
    <row r="2091" spans="1:13" x14ac:dyDescent="0.3">
      <c r="A2091" s="3">
        <v>101</v>
      </c>
      <c r="B2091" s="3">
        <v>101</v>
      </c>
      <c r="C2091" s="4">
        <v>958.03899999999999</v>
      </c>
      <c r="D2091" s="4">
        <v>957.18899999999996</v>
      </c>
      <c r="E2091" s="4">
        <v>958.88900000000001</v>
      </c>
      <c r="F2091" s="4"/>
      <c r="G2091" s="4"/>
      <c r="H2091" s="28" t="s">
        <v>3669</v>
      </c>
      <c r="I2091" s="4"/>
      <c r="J2091" s="6">
        <v>0</v>
      </c>
      <c r="K2091" s="29" t="s">
        <v>3207</v>
      </c>
      <c r="L2091" s="4"/>
      <c r="M2091" s="3"/>
    </row>
    <row r="2092" spans="1:13" x14ac:dyDescent="0.3">
      <c r="A2092" s="3">
        <v>101</v>
      </c>
      <c r="B2092" s="3">
        <v>101</v>
      </c>
      <c r="C2092" s="4">
        <v>959.42899999999997</v>
      </c>
      <c r="D2092" s="4">
        <v>958.88900000000001</v>
      </c>
      <c r="E2092" s="4">
        <v>959.96900000000005</v>
      </c>
      <c r="F2092" s="4"/>
      <c r="G2092" s="4"/>
      <c r="H2092" s="27" t="s">
        <v>3670</v>
      </c>
      <c r="I2092" s="4"/>
      <c r="J2092" s="6">
        <v>0</v>
      </c>
      <c r="K2092" s="30" t="s">
        <v>3207</v>
      </c>
      <c r="L2092" s="4"/>
      <c r="M2092" s="3"/>
    </row>
    <row r="2093" spans="1:13" x14ac:dyDescent="0.3">
      <c r="A2093" s="3">
        <v>101</v>
      </c>
      <c r="B2093" s="3">
        <v>101</v>
      </c>
      <c r="C2093" s="4">
        <v>960.34199999999998</v>
      </c>
      <c r="D2093" s="4">
        <v>959.96900000000005</v>
      </c>
      <c r="E2093" s="4">
        <v>960.71500000000003</v>
      </c>
      <c r="F2093" s="4"/>
      <c r="G2093" s="4"/>
      <c r="H2093" s="28" t="s">
        <v>3671</v>
      </c>
      <c r="I2093" s="4"/>
      <c r="J2093" s="6">
        <v>0</v>
      </c>
      <c r="K2093" s="29" t="s">
        <v>3207</v>
      </c>
      <c r="L2093" s="4"/>
      <c r="M2093" s="3"/>
    </row>
    <row r="2094" spans="1:13" x14ac:dyDescent="0.3">
      <c r="A2094" s="3">
        <v>101</v>
      </c>
      <c r="B2094" s="3">
        <v>101</v>
      </c>
      <c r="C2094" s="4">
        <v>960.91099999999994</v>
      </c>
      <c r="D2094" s="4">
        <v>960.71500000000003</v>
      </c>
      <c r="E2094" s="4">
        <v>961.10699999999997</v>
      </c>
      <c r="F2094" s="4"/>
      <c r="G2094" s="4"/>
      <c r="H2094" s="27" t="s">
        <v>3672</v>
      </c>
      <c r="I2094" s="4"/>
      <c r="J2094" s="6">
        <v>0</v>
      </c>
      <c r="K2094" s="30" t="s">
        <v>3207</v>
      </c>
      <c r="L2094" s="4"/>
      <c r="M2094" s="3"/>
    </row>
    <row r="2095" spans="1:13" x14ac:dyDescent="0.3">
      <c r="A2095" s="3">
        <v>101</v>
      </c>
      <c r="B2095" s="3">
        <v>101</v>
      </c>
      <c r="C2095" s="4">
        <v>961.29750000000001</v>
      </c>
      <c r="D2095" s="4">
        <v>961.10699999999997</v>
      </c>
      <c r="E2095" s="4">
        <v>961.48800000000006</v>
      </c>
      <c r="F2095" s="4"/>
      <c r="G2095" s="4"/>
      <c r="H2095" s="28" t="s">
        <v>3673</v>
      </c>
      <c r="I2095" s="4"/>
      <c r="J2095" s="6">
        <v>0</v>
      </c>
      <c r="K2095" s="29" t="s">
        <v>3207</v>
      </c>
      <c r="L2095" s="4"/>
      <c r="M2095" s="3"/>
    </row>
    <row r="2096" spans="1:13" x14ac:dyDescent="0.3">
      <c r="A2096" s="3">
        <v>101</v>
      </c>
      <c r="B2096" s="3">
        <v>101</v>
      </c>
      <c r="C2096" s="4">
        <v>961.88499999999999</v>
      </c>
      <c r="D2096" s="4">
        <v>961.48800000000006</v>
      </c>
      <c r="E2096" s="4">
        <v>962.28200000000004</v>
      </c>
      <c r="F2096" s="4"/>
      <c r="G2096" s="4"/>
      <c r="H2096" s="27" t="s">
        <v>3674</v>
      </c>
      <c r="I2096" s="4"/>
      <c r="J2096" s="6">
        <v>0</v>
      </c>
      <c r="K2096" s="30" t="s">
        <v>3207</v>
      </c>
      <c r="L2096" s="4"/>
      <c r="M2096" s="3"/>
    </row>
    <row r="2097" spans="1:13" x14ac:dyDescent="0.3">
      <c r="A2097" s="3">
        <v>101</v>
      </c>
      <c r="B2097" s="3">
        <v>101</v>
      </c>
      <c r="C2097" s="4">
        <v>962.39350000000002</v>
      </c>
      <c r="D2097" s="4">
        <v>962.28200000000004</v>
      </c>
      <c r="E2097" s="4">
        <v>962.505</v>
      </c>
      <c r="F2097" s="4"/>
      <c r="G2097" s="4"/>
      <c r="H2097" s="28" t="s">
        <v>3675</v>
      </c>
      <c r="I2097" s="4"/>
      <c r="J2097" s="6">
        <v>0</v>
      </c>
      <c r="K2097" s="29" t="s">
        <v>3207</v>
      </c>
      <c r="L2097" s="4"/>
      <c r="M2097" s="3"/>
    </row>
    <row r="2098" spans="1:13" x14ac:dyDescent="0.3">
      <c r="A2098" s="3">
        <v>101</v>
      </c>
      <c r="B2098" s="3">
        <v>101</v>
      </c>
      <c r="C2098" s="4">
        <v>962.85050000000001</v>
      </c>
      <c r="D2098" s="4">
        <v>962.505</v>
      </c>
      <c r="E2098" s="4">
        <v>963.19600000000003</v>
      </c>
      <c r="F2098" s="4"/>
      <c r="G2098" s="4"/>
      <c r="H2098" s="27" t="s">
        <v>3676</v>
      </c>
      <c r="I2098" s="4"/>
      <c r="J2098" s="6">
        <v>0</v>
      </c>
      <c r="K2098" s="30" t="s">
        <v>3207</v>
      </c>
      <c r="L2098" s="4"/>
      <c r="M2098" s="3"/>
    </row>
    <row r="2099" spans="1:13" x14ac:dyDescent="0.3">
      <c r="A2099" s="3">
        <v>101</v>
      </c>
      <c r="B2099" s="3">
        <v>101</v>
      </c>
      <c r="C2099" s="4">
        <v>963.37450000000001</v>
      </c>
      <c r="D2099" s="4">
        <v>963.19600000000003</v>
      </c>
      <c r="E2099" s="4">
        <v>963.553</v>
      </c>
      <c r="F2099" s="4"/>
      <c r="G2099" s="4"/>
      <c r="H2099" s="28" t="s">
        <v>3677</v>
      </c>
      <c r="I2099" s="4"/>
      <c r="J2099" s="6">
        <v>0</v>
      </c>
      <c r="K2099" s="29" t="s">
        <v>3207</v>
      </c>
      <c r="L2099" s="4"/>
      <c r="M2099" s="3"/>
    </row>
    <row r="2100" spans="1:13" x14ac:dyDescent="0.3">
      <c r="A2100" s="3">
        <v>101</v>
      </c>
      <c r="B2100" s="3">
        <v>101</v>
      </c>
      <c r="C2100" s="4">
        <v>963.83699999999999</v>
      </c>
      <c r="D2100" s="4">
        <v>963.553</v>
      </c>
      <c r="E2100" s="4">
        <v>964.12099999999998</v>
      </c>
      <c r="F2100" s="4"/>
      <c r="G2100" s="4"/>
      <c r="H2100" s="27" t="s">
        <v>3678</v>
      </c>
      <c r="I2100" s="4"/>
      <c r="J2100" s="6">
        <v>0</v>
      </c>
      <c r="K2100" s="30" t="s">
        <v>3207</v>
      </c>
      <c r="L2100" s="4"/>
      <c r="M2100" s="3"/>
    </row>
    <row r="2101" spans="1:13" x14ac:dyDescent="0.3">
      <c r="A2101" s="3">
        <v>101</v>
      </c>
      <c r="B2101" s="3">
        <v>101</v>
      </c>
      <c r="C2101" s="4">
        <v>964.73050000000001</v>
      </c>
      <c r="D2101" s="4">
        <v>964.12099999999998</v>
      </c>
      <c r="E2101" s="4">
        <v>965.34</v>
      </c>
      <c r="F2101" s="4"/>
      <c r="G2101" s="4"/>
      <c r="H2101" s="28" t="s">
        <v>3679</v>
      </c>
      <c r="I2101" s="4"/>
      <c r="J2101" s="6">
        <v>0</v>
      </c>
      <c r="K2101" s="29" t="s">
        <v>3207</v>
      </c>
      <c r="L2101" s="4"/>
      <c r="M2101" s="3"/>
    </row>
    <row r="2102" spans="1:13" x14ac:dyDescent="0.3">
      <c r="A2102" s="3">
        <v>101</v>
      </c>
      <c r="B2102" s="3">
        <v>101</v>
      </c>
      <c r="C2102" s="4">
        <v>965.58900000000006</v>
      </c>
      <c r="D2102" s="4">
        <v>965.34</v>
      </c>
      <c r="E2102" s="4">
        <v>965.83799999999997</v>
      </c>
      <c r="F2102" s="4"/>
      <c r="G2102" s="4"/>
      <c r="H2102" s="27" t="s">
        <v>3680</v>
      </c>
      <c r="I2102" s="4"/>
      <c r="J2102" s="6">
        <v>0</v>
      </c>
      <c r="K2102" s="30" t="s">
        <v>3207</v>
      </c>
      <c r="L2102" s="4"/>
      <c r="M2102" s="3"/>
    </row>
    <row r="2103" spans="1:13" x14ac:dyDescent="0.3">
      <c r="A2103" s="3">
        <v>101</v>
      </c>
      <c r="B2103" s="3">
        <v>101</v>
      </c>
      <c r="C2103" s="4">
        <v>965.95699999999999</v>
      </c>
      <c r="D2103" s="4">
        <v>965.83799999999997</v>
      </c>
      <c r="E2103" s="4">
        <v>966.07600000000002</v>
      </c>
      <c r="F2103" s="4"/>
      <c r="G2103" s="4"/>
      <c r="H2103" s="28" t="s">
        <v>3681</v>
      </c>
      <c r="I2103" s="4"/>
      <c r="J2103" s="6">
        <v>0</v>
      </c>
      <c r="K2103" s="29" t="s">
        <v>3207</v>
      </c>
      <c r="L2103" s="4"/>
      <c r="M2103" s="3"/>
    </row>
    <row r="2104" spans="1:13" x14ac:dyDescent="0.3">
      <c r="A2104" s="3">
        <v>101</v>
      </c>
      <c r="B2104" s="3">
        <v>101</v>
      </c>
      <c r="C2104" s="4">
        <v>966.45150000000001</v>
      </c>
      <c r="D2104" s="4">
        <v>966.07600000000002</v>
      </c>
      <c r="E2104" s="4">
        <v>966.827</v>
      </c>
      <c r="F2104" s="4"/>
      <c r="G2104" s="4"/>
      <c r="H2104" s="27" t="s">
        <v>3682</v>
      </c>
      <c r="I2104" s="4"/>
      <c r="J2104" s="6">
        <v>0</v>
      </c>
      <c r="K2104" s="30" t="s">
        <v>3207</v>
      </c>
      <c r="L2104" s="4"/>
      <c r="M2104" s="3"/>
    </row>
    <row r="2105" spans="1:13" x14ac:dyDescent="0.3">
      <c r="A2105" s="3">
        <v>101</v>
      </c>
      <c r="B2105" s="3">
        <v>101</v>
      </c>
      <c r="C2105" s="4">
        <v>967.46450000000004</v>
      </c>
      <c r="D2105" s="4">
        <v>966.827</v>
      </c>
      <c r="E2105" s="4">
        <v>968.10199999999998</v>
      </c>
      <c r="F2105" s="4"/>
      <c r="G2105" s="4"/>
      <c r="H2105" s="28" t="s">
        <v>3683</v>
      </c>
      <c r="I2105" s="4"/>
      <c r="J2105" s="6">
        <v>0</v>
      </c>
      <c r="K2105" s="29" t="s">
        <v>3207</v>
      </c>
      <c r="L2105" s="4"/>
      <c r="M2105" s="3"/>
    </row>
    <row r="2106" spans="1:13" x14ac:dyDescent="0.3">
      <c r="A2106" s="3">
        <v>101</v>
      </c>
      <c r="B2106" s="3">
        <v>101</v>
      </c>
      <c r="C2106" s="4">
        <v>969.11850000000004</v>
      </c>
      <c r="D2106" s="4">
        <v>968.10199999999998</v>
      </c>
      <c r="E2106" s="4">
        <v>970.13499999999999</v>
      </c>
      <c r="F2106" s="4"/>
      <c r="G2106" s="4"/>
      <c r="H2106" s="27" t="s">
        <v>3684</v>
      </c>
      <c r="I2106" s="4"/>
      <c r="J2106" s="6">
        <v>0</v>
      </c>
      <c r="K2106" s="30" t="s">
        <v>3207</v>
      </c>
      <c r="L2106" s="4"/>
      <c r="M2106" s="3"/>
    </row>
    <row r="2107" spans="1:13" x14ac:dyDescent="0.3">
      <c r="A2107" s="3">
        <v>101</v>
      </c>
      <c r="B2107" s="3">
        <v>101</v>
      </c>
      <c r="C2107" s="4">
        <v>970.822</v>
      </c>
      <c r="D2107" s="4">
        <v>970.13499999999999</v>
      </c>
      <c r="E2107" s="4">
        <v>971.50900000000001</v>
      </c>
      <c r="F2107" s="4"/>
      <c r="G2107" s="4"/>
      <c r="H2107" s="28" t="s">
        <v>3685</v>
      </c>
      <c r="I2107" s="4"/>
      <c r="J2107" s="6">
        <v>0</v>
      </c>
      <c r="K2107" s="29" t="s">
        <v>3207</v>
      </c>
      <c r="L2107" s="4"/>
      <c r="M2107" s="3"/>
    </row>
    <row r="2108" spans="1:13" x14ac:dyDescent="0.3">
      <c r="A2108" s="3">
        <v>101</v>
      </c>
      <c r="B2108" s="3">
        <v>101</v>
      </c>
      <c r="C2108" s="4">
        <v>971.64700000000005</v>
      </c>
      <c r="D2108" s="4">
        <v>971.50900000000001</v>
      </c>
      <c r="E2108" s="4">
        <v>971.78499999999997</v>
      </c>
      <c r="F2108" s="4"/>
      <c r="G2108" s="4"/>
      <c r="H2108" s="27" t="s">
        <v>3686</v>
      </c>
      <c r="I2108" s="4"/>
      <c r="J2108" s="6">
        <v>0</v>
      </c>
      <c r="K2108" s="30" t="s">
        <v>3207</v>
      </c>
      <c r="L2108" s="4"/>
      <c r="M2108" s="3"/>
    </row>
    <row r="2109" spans="1:13" x14ac:dyDescent="0.3">
      <c r="A2109" s="3">
        <v>101</v>
      </c>
      <c r="B2109" s="3">
        <v>101</v>
      </c>
      <c r="C2109" s="4">
        <v>972.88649999999996</v>
      </c>
      <c r="D2109" s="4">
        <v>971.78499999999997</v>
      </c>
      <c r="E2109" s="4">
        <v>973.98800000000006</v>
      </c>
      <c r="F2109" s="4"/>
      <c r="G2109" s="4"/>
      <c r="H2109" s="28" t="s">
        <v>3687</v>
      </c>
      <c r="I2109" s="4"/>
      <c r="J2109" s="6">
        <v>0</v>
      </c>
      <c r="K2109" s="29" t="s">
        <v>3207</v>
      </c>
      <c r="L2109" s="4"/>
      <c r="M2109" s="3"/>
    </row>
    <row r="2110" spans="1:13" x14ac:dyDescent="0.3">
      <c r="A2110" s="3">
        <v>101</v>
      </c>
      <c r="B2110" s="3">
        <v>101</v>
      </c>
      <c r="C2110" s="4">
        <v>974.32799999999997</v>
      </c>
      <c r="D2110" s="4">
        <v>973.98800000000006</v>
      </c>
      <c r="E2110" s="4">
        <v>974.66800000000001</v>
      </c>
      <c r="F2110" s="4"/>
      <c r="G2110" s="4"/>
      <c r="H2110" s="27" t="s">
        <v>3688</v>
      </c>
      <c r="I2110" s="4"/>
      <c r="J2110" s="6">
        <v>0</v>
      </c>
      <c r="K2110" s="30" t="s">
        <v>3207</v>
      </c>
      <c r="L2110" s="4"/>
      <c r="M2110" s="3"/>
    </row>
    <row r="2111" spans="1:13" x14ac:dyDescent="0.3">
      <c r="A2111" s="3">
        <v>101</v>
      </c>
      <c r="B2111" s="3">
        <v>101</v>
      </c>
      <c r="C2111" s="4">
        <v>976.52149999999995</v>
      </c>
      <c r="D2111" s="4">
        <v>974.66800000000001</v>
      </c>
      <c r="E2111" s="4">
        <v>978.375</v>
      </c>
      <c r="F2111" s="4"/>
      <c r="G2111" s="4"/>
      <c r="H2111" s="28" t="s">
        <v>3689</v>
      </c>
      <c r="I2111" s="4"/>
      <c r="J2111" s="6">
        <v>0</v>
      </c>
      <c r="K2111" s="29" t="s">
        <v>3207</v>
      </c>
      <c r="L2111" s="4"/>
      <c r="M2111" s="3"/>
    </row>
    <row r="2112" spans="1:13" x14ac:dyDescent="0.3">
      <c r="A2112" s="3">
        <v>101</v>
      </c>
      <c r="B2112" s="3">
        <v>101</v>
      </c>
      <c r="C2112" s="4">
        <v>978.53949999999998</v>
      </c>
      <c r="D2112" s="4">
        <v>978.375</v>
      </c>
      <c r="E2112" s="4">
        <v>978.70399999999995</v>
      </c>
      <c r="F2112" s="4"/>
      <c r="G2112" s="4"/>
      <c r="H2112" s="27" t="s">
        <v>3690</v>
      </c>
      <c r="I2112" s="4"/>
      <c r="J2112" s="6">
        <v>0</v>
      </c>
      <c r="K2112" s="30" t="s">
        <v>3207</v>
      </c>
      <c r="L2112" s="4"/>
      <c r="M2112" s="3"/>
    </row>
    <row r="2113" spans="1:13" x14ac:dyDescent="0.3">
      <c r="A2113" s="3">
        <v>101</v>
      </c>
      <c r="B2113" s="3">
        <v>101</v>
      </c>
      <c r="C2113" s="4">
        <v>978.76</v>
      </c>
      <c r="D2113" s="4">
        <v>978.70399999999995</v>
      </c>
      <c r="E2113" s="4">
        <v>978.81600000000003</v>
      </c>
      <c r="F2113" s="4"/>
      <c r="G2113" s="4"/>
      <c r="H2113" s="28" t="s">
        <v>3691</v>
      </c>
      <c r="I2113" s="4"/>
      <c r="J2113" s="6">
        <v>0</v>
      </c>
      <c r="K2113" s="29" t="s">
        <v>3207</v>
      </c>
      <c r="L2113" s="4"/>
      <c r="M2113" s="3"/>
    </row>
    <row r="2114" spans="1:13" x14ac:dyDescent="0.3">
      <c r="A2114" s="3">
        <v>101</v>
      </c>
      <c r="B2114" s="3">
        <v>101</v>
      </c>
      <c r="C2114" s="4">
        <v>979.07050000000004</v>
      </c>
      <c r="D2114" s="4">
        <v>978.81600000000003</v>
      </c>
      <c r="E2114" s="4">
        <v>979.32500000000005</v>
      </c>
      <c r="F2114" s="4"/>
      <c r="G2114" s="4"/>
      <c r="H2114" s="27" t="s">
        <v>3692</v>
      </c>
      <c r="I2114" s="4"/>
      <c r="J2114" s="6">
        <v>0</v>
      </c>
      <c r="K2114" s="30" t="s">
        <v>3207</v>
      </c>
      <c r="L2114" s="4"/>
      <c r="M2114" s="3"/>
    </row>
    <row r="2115" spans="1:13" x14ac:dyDescent="0.3">
      <c r="A2115" s="3">
        <v>101</v>
      </c>
      <c r="B2115" s="3">
        <v>101</v>
      </c>
      <c r="C2115" s="4">
        <v>979.48500000000001</v>
      </c>
      <c r="D2115" s="4">
        <v>979.32500000000005</v>
      </c>
      <c r="E2115" s="4">
        <v>979.64499999999998</v>
      </c>
      <c r="F2115" s="4"/>
      <c r="G2115" s="4"/>
      <c r="H2115" s="28" t="s">
        <v>3693</v>
      </c>
      <c r="I2115" s="4"/>
      <c r="J2115" s="6">
        <v>0</v>
      </c>
      <c r="K2115" s="29" t="s">
        <v>3207</v>
      </c>
      <c r="L2115" s="4"/>
      <c r="M2115" s="3"/>
    </row>
    <row r="2116" spans="1:13" x14ac:dyDescent="0.3">
      <c r="A2116" s="3">
        <v>101</v>
      </c>
      <c r="B2116" s="3">
        <v>101</v>
      </c>
      <c r="C2116" s="4">
        <v>980.33950000000004</v>
      </c>
      <c r="D2116" s="4">
        <v>979.64499999999998</v>
      </c>
      <c r="E2116" s="4">
        <v>981.03399999999999</v>
      </c>
      <c r="F2116" s="4"/>
      <c r="G2116" s="4"/>
      <c r="H2116" s="27" t="s">
        <v>3694</v>
      </c>
      <c r="I2116" s="4"/>
      <c r="J2116" s="6">
        <v>0</v>
      </c>
      <c r="K2116" s="30" t="s">
        <v>3207</v>
      </c>
      <c r="L2116" s="4"/>
      <c r="M2116" s="3"/>
    </row>
    <row r="2117" spans="1:13" x14ac:dyDescent="0.3">
      <c r="A2117" s="3">
        <v>101</v>
      </c>
      <c r="B2117" s="3">
        <v>101</v>
      </c>
      <c r="C2117" s="4">
        <v>982.46100000000001</v>
      </c>
      <c r="D2117" s="4">
        <v>981.03399999999999</v>
      </c>
      <c r="E2117" s="4">
        <v>983.88800000000003</v>
      </c>
      <c r="F2117" s="4"/>
      <c r="G2117" s="4"/>
      <c r="H2117" s="28" t="s">
        <v>3695</v>
      </c>
      <c r="I2117" s="4"/>
      <c r="J2117" s="6">
        <v>0</v>
      </c>
      <c r="K2117" s="29" t="s">
        <v>3207</v>
      </c>
      <c r="L2117" s="4"/>
      <c r="M2117" s="3"/>
    </row>
    <row r="2118" spans="1:13" x14ac:dyDescent="0.3">
      <c r="A2118" s="3">
        <v>101</v>
      </c>
      <c r="B2118" s="3">
        <v>101</v>
      </c>
      <c r="C2118" s="4">
        <v>984.32100000000003</v>
      </c>
      <c r="D2118" s="4">
        <v>983.88800000000003</v>
      </c>
      <c r="E2118" s="4">
        <v>984.75400000000002</v>
      </c>
      <c r="F2118" s="4"/>
      <c r="G2118" s="4"/>
      <c r="H2118" s="27" t="s">
        <v>3696</v>
      </c>
      <c r="I2118" s="4"/>
      <c r="J2118" s="6">
        <v>0</v>
      </c>
      <c r="K2118" s="30" t="s">
        <v>3207</v>
      </c>
      <c r="L2118" s="4"/>
      <c r="M2118" s="3"/>
    </row>
    <row r="2119" spans="1:13" x14ac:dyDescent="0.3">
      <c r="A2119" s="3">
        <v>101</v>
      </c>
      <c r="B2119" s="3">
        <v>101</v>
      </c>
      <c r="C2119" s="4">
        <v>984.82849999999996</v>
      </c>
      <c r="D2119" s="4">
        <v>984.75400000000002</v>
      </c>
      <c r="E2119" s="4">
        <v>984.90300000000002</v>
      </c>
      <c r="F2119" s="4"/>
      <c r="G2119" s="4"/>
      <c r="H2119" s="28" t="s">
        <v>3697</v>
      </c>
      <c r="I2119" s="4"/>
      <c r="J2119" s="6">
        <v>0</v>
      </c>
      <c r="K2119" s="29" t="s">
        <v>3207</v>
      </c>
      <c r="L2119" s="4"/>
      <c r="M2119" s="3"/>
    </row>
    <row r="2120" spans="1:13" x14ac:dyDescent="0.3">
      <c r="A2120" s="3">
        <v>101</v>
      </c>
      <c r="B2120" s="3">
        <v>101</v>
      </c>
      <c r="C2120" s="4">
        <v>985.11699999999996</v>
      </c>
      <c r="D2120" s="4">
        <v>984.90300000000002</v>
      </c>
      <c r="E2120" s="4">
        <v>985.33100000000002</v>
      </c>
      <c r="F2120" s="4"/>
      <c r="G2120" s="4"/>
      <c r="H2120" s="27" t="s">
        <v>3698</v>
      </c>
      <c r="I2120" s="4"/>
      <c r="J2120" s="6">
        <v>0</v>
      </c>
      <c r="K2120" s="30" t="s">
        <v>3207</v>
      </c>
      <c r="L2120" s="4"/>
      <c r="M2120" s="3"/>
    </row>
    <row r="2121" spans="1:13" x14ac:dyDescent="0.3">
      <c r="A2121" s="3">
        <v>101</v>
      </c>
      <c r="B2121" s="3">
        <v>101</v>
      </c>
      <c r="C2121" s="4">
        <v>985.40899999999999</v>
      </c>
      <c r="D2121" s="4">
        <v>985.33100000000002</v>
      </c>
      <c r="E2121" s="4">
        <v>985.48699999999997</v>
      </c>
      <c r="F2121" s="4"/>
      <c r="G2121" s="4"/>
      <c r="H2121" s="28" t="s">
        <v>3699</v>
      </c>
      <c r="I2121" s="4"/>
      <c r="J2121" s="6">
        <v>0</v>
      </c>
      <c r="K2121" s="29" t="s">
        <v>3207</v>
      </c>
      <c r="L2121" s="4"/>
      <c r="M2121" s="3"/>
    </row>
    <row r="2122" spans="1:13" x14ac:dyDescent="0.3">
      <c r="A2122" s="3">
        <v>101</v>
      </c>
      <c r="B2122" s="3">
        <v>101</v>
      </c>
      <c r="C2122" s="4">
        <v>985.82100000000003</v>
      </c>
      <c r="D2122" s="4">
        <v>985.48699999999997</v>
      </c>
      <c r="E2122" s="4">
        <v>986.15499999999997</v>
      </c>
      <c r="F2122" s="4"/>
      <c r="G2122" s="4"/>
      <c r="H2122" s="27" t="s">
        <v>3700</v>
      </c>
      <c r="I2122" s="4"/>
      <c r="J2122" s="6">
        <v>0</v>
      </c>
      <c r="K2122" s="30" t="s">
        <v>3207</v>
      </c>
      <c r="L2122" s="4"/>
      <c r="M2122" s="3"/>
    </row>
    <row r="2123" spans="1:13" x14ac:dyDescent="0.3">
      <c r="A2123" s="3">
        <v>101</v>
      </c>
      <c r="B2123" s="3">
        <v>101</v>
      </c>
      <c r="C2123" s="4">
        <v>986.32</v>
      </c>
      <c r="D2123" s="4">
        <v>986.15499999999997</v>
      </c>
      <c r="E2123" s="4">
        <v>986.48500000000001</v>
      </c>
      <c r="F2123" s="4"/>
      <c r="G2123" s="4"/>
      <c r="H2123" s="28" t="s">
        <v>3701</v>
      </c>
      <c r="I2123" s="4"/>
      <c r="J2123" s="6">
        <v>0</v>
      </c>
      <c r="K2123" s="29" t="s">
        <v>3207</v>
      </c>
      <c r="L2123" s="4"/>
      <c r="M2123" s="3"/>
    </row>
    <row r="2124" spans="1:13" x14ac:dyDescent="0.3">
      <c r="A2124" s="3">
        <v>101</v>
      </c>
      <c r="B2124" s="3">
        <v>101</v>
      </c>
      <c r="C2124" s="4">
        <v>986.77099999999996</v>
      </c>
      <c r="D2124" s="4">
        <v>986.48500000000001</v>
      </c>
      <c r="E2124" s="4">
        <v>987.05700000000002</v>
      </c>
      <c r="F2124" s="4"/>
      <c r="G2124" s="4"/>
      <c r="H2124" s="27" t="s">
        <v>3702</v>
      </c>
      <c r="I2124" s="4"/>
      <c r="J2124" s="6">
        <v>0</v>
      </c>
      <c r="K2124" s="30" t="s">
        <v>3207</v>
      </c>
      <c r="L2124" s="4"/>
      <c r="M2124" s="3"/>
    </row>
    <row r="2125" spans="1:13" x14ac:dyDescent="0.3">
      <c r="A2125" s="3">
        <v>101</v>
      </c>
      <c r="B2125" s="3">
        <v>101</v>
      </c>
      <c r="C2125" s="4">
        <v>987.41750000000002</v>
      </c>
      <c r="D2125" s="4">
        <v>987.05700000000002</v>
      </c>
      <c r="E2125" s="4">
        <v>987.77800000000002</v>
      </c>
      <c r="F2125" s="4"/>
      <c r="G2125" s="4"/>
      <c r="H2125" s="28" t="s">
        <v>3703</v>
      </c>
      <c r="I2125" s="4"/>
      <c r="J2125" s="6">
        <v>0</v>
      </c>
      <c r="K2125" s="29" t="s">
        <v>3207</v>
      </c>
      <c r="L2125" s="4"/>
      <c r="M2125" s="3"/>
    </row>
    <row r="2126" spans="1:13" x14ac:dyDescent="0.3">
      <c r="A2126" s="3">
        <v>101</v>
      </c>
      <c r="B2126" s="3">
        <v>101</v>
      </c>
      <c r="C2126" s="4">
        <v>988.07299999999998</v>
      </c>
      <c r="D2126" s="4">
        <v>987.77800000000002</v>
      </c>
      <c r="E2126" s="4">
        <v>988.36800000000005</v>
      </c>
      <c r="F2126" s="4"/>
      <c r="G2126" s="4"/>
      <c r="H2126" s="27" t="s">
        <v>3704</v>
      </c>
      <c r="I2126" s="4"/>
      <c r="J2126" s="6">
        <v>0</v>
      </c>
      <c r="K2126" s="30" t="s">
        <v>3207</v>
      </c>
      <c r="L2126" s="4"/>
      <c r="M2126" s="3"/>
    </row>
    <row r="2127" spans="1:13" x14ac:dyDescent="0.3">
      <c r="A2127" s="3">
        <v>101</v>
      </c>
      <c r="B2127" s="3">
        <v>101</v>
      </c>
      <c r="C2127" s="4">
        <v>988.61450000000002</v>
      </c>
      <c r="D2127" s="4">
        <v>988.36800000000005</v>
      </c>
      <c r="E2127" s="4">
        <v>988.86099999999999</v>
      </c>
      <c r="F2127" s="4"/>
      <c r="G2127" s="4"/>
      <c r="H2127" s="28" t="s">
        <v>3705</v>
      </c>
      <c r="I2127" s="4"/>
      <c r="J2127" s="6">
        <v>0</v>
      </c>
      <c r="K2127" s="29" t="s">
        <v>3207</v>
      </c>
      <c r="L2127" s="4"/>
      <c r="M2127" s="3"/>
    </row>
    <row r="2128" spans="1:13" x14ac:dyDescent="0.3">
      <c r="A2128" s="3">
        <v>101</v>
      </c>
      <c r="B2128" s="3">
        <v>101</v>
      </c>
      <c r="C2128" s="4">
        <v>989.06799999999998</v>
      </c>
      <c r="D2128" s="4">
        <v>988.86099999999999</v>
      </c>
      <c r="E2128" s="4">
        <v>989.27499999999998</v>
      </c>
      <c r="F2128" s="4"/>
      <c r="G2128" s="4"/>
      <c r="H2128" s="27" t="s">
        <v>3706</v>
      </c>
      <c r="I2128" s="4"/>
      <c r="J2128" s="6">
        <v>0</v>
      </c>
      <c r="K2128" s="30" t="s">
        <v>3207</v>
      </c>
      <c r="L2128" s="4"/>
      <c r="M2128" s="3"/>
    </row>
    <row r="2129" spans="1:13" x14ac:dyDescent="0.3">
      <c r="A2129" s="3">
        <v>101</v>
      </c>
      <c r="B2129" s="3">
        <v>101</v>
      </c>
      <c r="C2129" s="4">
        <v>989.88</v>
      </c>
      <c r="D2129" s="4">
        <v>989.27499999999998</v>
      </c>
      <c r="E2129" s="4">
        <v>990.48500000000001</v>
      </c>
      <c r="F2129" s="4"/>
      <c r="G2129" s="4"/>
      <c r="H2129" s="28" t="s">
        <v>3707</v>
      </c>
      <c r="I2129" s="4"/>
      <c r="J2129" s="6">
        <v>0</v>
      </c>
      <c r="K2129" s="29" t="s">
        <v>3207</v>
      </c>
      <c r="L2129" s="4"/>
      <c r="M2129" s="3"/>
    </row>
    <row r="2130" spans="1:13" x14ac:dyDescent="0.3">
      <c r="A2130" s="3">
        <v>101</v>
      </c>
      <c r="B2130" s="3">
        <v>101</v>
      </c>
      <c r="C2130" s="4">
        <v>990.62850000000003</v>
      </c>
      <c r="D2130" s="4">
        <v>990.48500000000001</v>
      </c>
      <c r="E2130" s="4">
        <v>990.77200000000005</v>
      </c>
      <c r="F2130" s="4"/>
      <c r="G2130" s="4"/>
      <c r="H2130" s="27" t="s">
        <v>3708</v>
      </c>
      <c r="I2130" s="4"/>
      <c r="J2130" s="6">
        <v>0</v>
      </c>
      <c r="K2130" s="30" t="s">
        <v>3207</v>
      </c>
      <c r="L2130" s="4"/>
      <c r="M2130" s="3"/>
    </row>
    <row r="2131" spans="1:13" x14ac:dyDescent="0.3">
      <c r="A2131" s="3">
        <v>101</v>
      </c>
      <c r="B2131" s="3">
        <v>101</v>
      </c>
      <c r="C2131" s="4">
        <v>991.44500000000005</v>
      </c>
      <c r="D2131" s="4">
        <v>990.77200000000005</v>
      </c>
      <c r="E2131" s="4">
        <v>992.11800000000005</v>
      </c>
      <c r="F2131" s="4"/>
      <c r="G2131" s="4"/>
      <c r="H2131" s="28" t="s">
        <v>3709</v>
      </c>
      <c r="I2131" s="4"/>
      <c r="J2131" s="6">
        <v>0</v>
      </c>
      <c r="K2131" s="29" t="s">
        <v>3207</v>
      </c>
      <c r="L2131" s="4"/>
      <c r="M2131" s="3"/>
    </row>
    <row r="2132" spans="1:13" x14ac:dyDescent="0.3">
      <c r="A2132" s="3">
        <v>101</v>
      </c>
      <c r="B2132" s="3">
        <v>101</v>
      </c>
      <c r="C2132" s="4">
        <v>992.24699999999996</v>
      </c>
      <c r="D2132" s="4">
        <v>992.11800000000005</v>
      </c>
      <c r="E2132" s="4">
        <v>992.37599999999998</v>
      </c>
      <c r="F2132" s="4"/>
      <c r="G2132" s="4"/>
      <c r="H2132" s="27" t="s">
        <v>3710</v>
      </c>
      <c r="I2132" s="4"/>
      <c r="J2132" s="6">
        <v>0</v>
      </c>
      <c r="K2132" s="30" t="s">
        <v>3207</v>
      </c>
      <c r="L2132" s="4"/>
      <c r="M2132" s="3"/>
    </row>
    <row r="2133" spans="1:13" x14ac:dyDescent="0.3">
      <c r="A2133" s="3">
        <v>101</v>
      </c>
      <c r="B2133" s="3">
        <v>101</v>
      </c>
      <c r="C2133" s="4">
        <v>992.92499999999995</v>
      </c>
      <c r="D2133" s="4">
        <v>992.37599999999998</v>
      </c>
      <c r="E2133" s="4">
        <v>993.47400000000005</v>
      </c>
      <c r="F2133" s="4"/>
      <c r="G2133" s="4"/>
      <c r="H2133" s="28" t="s">
        <v>3711</v>
      </c>
      <c r="I2133" s="4"/>
      <c r="J2133" s="6">
        <v>0</v>
      </c>
      <c r="K2133" s="29" t="s">
        <v>3207</v>
      </c>
      <c r="L2133" s="4"/>
      <c r="M2133" s="3"/>
    </row>
    <row r="2134" spans="1:13" x14ac:dyDescent="0.3">
      <c r="A2134" s="3">
        <v>101</v>
      </c>
      <c r="B2134" s="3">
        <v>101</v>
      </c>
      <c r="C2134" s="4">
        <v>993.8415</v>
      </c>
      <c r="D2134" s="4">
        <v>993.47400000000005</v>
      </c>
      <c r="E2134" s="4">
        <v>994.20899999999995</v>
      </c>
      <c r="F2134" s="4"/>
      <c r="G2134" s="4"/>
      <c r="H2134" s="27" t="s">
        <v>3712</v>
      </c>
      <c r="I2134" s="4"/>
      <c r="J2134" s="6">
        <v>0</v>
      </c>
      <c r="K2134" s="30" t="s">
        <v>3207</v>
      </c>
      <c r="L2134" s="4"/>
      <c r="M2134" s="3"/>
    </row>
    <row r="2135" spans="1:13" x14ac:dyDescent="0.3">
      <c r="A2135" s="3">
        <v>101</v>
      </c>
      <c r="B2135" s="3">
        <v>101</v>
      </c>
      <c r="C2135" s="4">
        <v>994.37149999999997</v>
      </c>
      <c r="D2135" s="4">
        <v>994.20899999999995</v>
      </c>
      <c r="E2135" s="4">
        <v>994.53399999999999</v>
      </c>
      <c r="F2135" s="4"/>
      <c r="G2135" s="4"/>
      <c r="H2135" s="28" t="s">
        <v>3713</v>
      </c>
      <c r="I2135" s="4"/>
      <c r="J2135" s="6">
        <v>0</v>
      </c>
      <c r="K2135" s="29" t="s">
        <v>3207</v>
      </c>
      <c r="L2135" s="4"/>
      <c r="M2135" s="3"/>
    </row>
    <row r="2136" spans="1:13" x14ac:dyDescent="0.3">
      <c r="A2136" s="3">
        <v>101</v>
      </c>
      <c r="B2136" s="3">
        <v>101</v>
      </c>
      <c r="C2136" s="4">
        <v>994.83900000000006</v>
      </c>
      <c r="D2136" s="4">
        <v>994.53399999999999</v>
      </c>
      <c r="E2136" s="4">
        <v>995.14400000000001</v>
      </c>
      <c r="F2136" s="4"/>
      <c r="G2136" s="4"/>
      <c r="H2136" s="27" t="s">
        <v>3714</v>
      </c>
      <c r="I2136" s="4"/>
      <c r="J2136" s="6">
        <v>0</v>
      </c>
      <c r="K2136" s="30" t="s">
        <v>3207</v>
      </c>
      <c r="L2136" s="4"/>
      <c r="M2136" s="3"/>
    </row>
    <row r="2137" spans="1:13" x14ac:dyDescent="0.3">
      <c r="A2137" s="3">
        <v>101</v>
      </c>
      <c r="B2137" s="3">
        <v>101</v>
      </c>
      <c r="C2137" s="4">
        <v>995.57050000000004</v>
      </c>
      <c r="D2137" s="4">
        <v>995.14400000000001</v>
      </c>
      <c r="E2137" s="4">
        <v>995.99699999999996</v>
      </c>
      <c r="F2137" s="4"/>
      <c r="G2137" s="4"/>
      <c r="H2137" s="28" t="s">
        <v>3715</v>
      </c>
      <c r="I2137" s="4"/>
      <c r="J2137" s="6">
        <v>0</v>
      </c>
      <c r="K2137" s="29" t="s">
        <v>3207</v>
      </c>
      <c r="L2137" s="4"/>
      <c r="M2137" s="3"/>
    </row>
    <row r="2138" spans="1:13" x14ac:dyDescent="0.3">
      <c r="A2138" s="3">
        <v>101</v>
      </c>
      <c r="B2138" s="3">
        <v>101</v>
      </c>
      <c r="C2138" s="4">
        <v>996.40049999999997</v>
      </c>
      <c r="D2138" s="4">
        <v>995.99699999999996</v>
      </c>
      <c r="E2138" s="4">
        <v>996.80399999999997</v>
      </c>
      <c r="F2138" s="4"/>
      <c r="G2138" s="4"/>
      <c r="H2138" s="27" t="s">
        <v>3716</v>
      </c>
      <c r="I2138" s="4"/>
      <c r="J2138" s="6">
        <v>0</v>
      </c>
      <c r="K2138" s="30" t="s">
        <v>3207</v>
      </c>
      <c r="L2138" s="4"/>
      <c r="M2138" s="3"/>
    </row>
    <row r="2139" spans="1:13" x14ac:dyDescent="0.3">
      <c r="A2139" s="3">
        <v>101</v>
      </c>
      <c r="B2139" s="3">
        <v>101</v>
      </c>
      <c r="C2139" s="4">
        <v>996.86900000000003</v>
      </c>
      <c r="D2139" s="4">
        <v>996.80399999999997</v>
      </c>
      <c r="E2139" s="4">
        <v>996.93399999999997</v>
      </c>
      <c r="F2139" s="4"/>
      <c r="G2139" s="4"/>
      <c r="H2139" s="28" t="s">
        <v>3717</v>
      </c>
      <c r="I2139" s="4"/>
      <c r="J2139" s="6">
        <v>0</v>
      </c>
      <c r="K2139" s="29" t="s">
        <v>3207</v>
      </c>
      <c r="L2139" s="4"/>
      <c r="M2139" s="3"/>
    </row>
    <row r="2140" spans="1:13" x14ac:dyDescent="0.3">
      <c r="A2140" s="3">
        <v>101</v>
      </c>
      <c r="B2140" s="3">
        <v>101</v>
      </c>
      <c r="C2140" s="4">
        <v>997.25350000000003</v>
      </c>
      <c r="D2140" s="4">
        <v>996.93399999999997</v>
      </c>
      <c r="E2140" s="4">
        <v>997.57299999999998</v>
      </c>
      <c r="F2140" s="4"/>
      <c r="G2140" s="4"/>
      <c r="H2140" s="27" t="s">
        <v>3718</v>
      </c>
      <c r="I2140" s="4"/>
      <c r="J2140" s="6">
        <v>0</v>
      </c>
      <c r="K2140" s="30" t="s">
        <v>3207</v>
      </c>
      <c r="L2140" s="4"/>
      <c r="M2140" s="3"/>
    </row>
    <row r="2141" spans="1:13" x14ac:dyDescent="0.3">
      <c r="A2141" s="3">
        <v>101</v>
      </c>
      <c r="B2141" s="3">
        <v>101</v>
      </c>
      <c r="C2141" s="4">
        <v>997.63350000000003</v>
      </c>
      <c r="D2141" s="4">
        <v>997.57299999999998</v>
      </c>
      <c r="E2141" s="4">
        <v>997.69399999999996</v>
      </c>
      <c r="F2141" s="4"/>
      <c r="G2141" s="4"/>
      <c r="H2141" s="28" t="s">
        <v>3719</v>
      </c>
      <c r="I2141" s="4"/>
      <c r="J2141" s="6">
        <v>0</v>
      </c>
      <c r="K2141" s="29" t="s">
        <v>3207</v>
      </c>
      <c r="L2141" s="4"/>
      <c r="M2141" s="3"/>
    </row>
    <row r="2142" spans="1:13" x14ac:dyDescent="0.3">
      <c r="A2142" s="3">
        <v>101</v>
      </c>
      <c r="B2142" s="3">
        <v>101</v>
      </c>
      <c r="C2142" s="4">
        <v>998.15250000000003</v>
      </c>
      <c r="D2142" s="4">
        <v>997.69399999999996</v>
      </c>
      <c r="E2142" s="4">
        <v>998.61099999999999</v>
      </c>
      <c r="F2142" s="4"/>
      <c r="G2142" s="4"/>
      <c r="H2142" s="27" t="s">
        <v>3720</v>
      </c>
      <c r="I2142" s="4"/>
      <c r="J2142" s="6">
        <v>0</v>
      </c>
      <c r="K2142" s="30" t="s">
        <v>3207</v>
      </c>
      <c r="L2142" s="4"/>
      <c r="M2142" s="3"/>
    </row>
    <row r="2143" spans="1:13" x14ac:dyDescent="0.3">
      <c r="A2143" s="3">
        <v>101</v>
      </c>
      <c r="B2143" s="3">
        <v>101</v>
      </c>
      <c r="C2143" s="4">
        <v>998.62800000000004</v>
      </c>
      <c r="D2143" s="4">
        <v>998.61099999999999</v>
      </c>
      <c r="E2143" s="4">
        <v>998.64499999999998</v>
      </c>
      <c r="F2143" s="4"/>
      <c r="G2143" s="4"/>
      <c r="H2143" s="28" t="s">
        <v>3721</v>
      </c>
      <c r="I2143" s="4"/>
      <c r="J2143" s="6">
        <v>0</v>
      </c>
      <c r="K2143" s="29" t="s">
        <v>3207</v>
      </c>
      <c r="L2143" s="4"/>
      <c r="M2143" s="3"/>
    </row>
    <row r="2144" spans="1:13" x14ac:dyDescent="0.3">
      <c r="A2144" s="3">
        <v>101</v>
      </c>
      <c r="B2144" s="3">
        <v>101</v>
      </c>
      <c r="C2144" s="4">
        <v>999.09649999999999</v>
      </c>
      <c r="D2144" s="4">
        <v>998.64499999999998</v>
      </c>
      <c r="E2144" s="4">
        <v>999.548</v>
      </c>
      <c r="F2144" s="4"/>
      <c r="G2144" s="4"/>
      <c r="H2144" s="27" t="s">
        <v>3722</v>
      </c>
      <c r="I2144" s="4"/>
      <c r="J2144" s="6">
        <v>0</v>
      </c>
      <c r="K2144" s="30" t="s">
        <v>3207</v>
      </c>
      <c r="L2144" s="4"/>
      <c r="M2144" s="3"/>
    </row>
    <row r="2145" spans="1:13" x14ac:dyDescent="0.3">
      <c r="A2145" s="3">
        <v>101</v>
      </c>
      <c r="B2145" s="3">
        <v>101</v>
      </c>
      <c r="C2145" s="4">
        <v>999.73749999999995</v>
      </c>
      <c r="D2145" s="4">
        <v>999.548</v>
      </c>
      <c r="E2145" s="4">
        <v>999.92700000000002</v>
      </c>
      <c r="F2145" s="4"/>
      <c r="G2145" s="4"/>
      <c r="H2145" s="28" t="s">
        <v>3723</v>
      </c>
      <c r="I2145" s="4"/>
      <c r="J2145" s="6">
        <v>0</v>
      </c>
      <c r="K2145" s="29" t="s">
        <v>3207</v>
      </c>
      <c r="L2145" s="4"/>
      <c r="M2145" s="3"/>
    </row>
    <row r="2146" spans="1:13" x14ac:dyDescent="0.3">
      <c r="A2146" s="3">
        <v>101</v>
      </c>
      <c r="B2146" s="3">
        <v>101</v>
      </c>
      <c r="C2146" s="4">
        <v>1000.085</v>
      </c>
      <c r="D2146" s="4">
        <v>999.92700000000002</v>
      </c>
      <c r="E2146" s="4">
        <v>1000.2430000000001</v>
      </c>
      <c r="F2146" s="4"/>
      <c r="G2146" s="4"/>
      <c r="H2146" s="27" t="s">
        <v>3724</v>
      </c>
      <c r="I2146" s="4"/>
      <c r="J2146" s="6">
        <v>0</v>
      </c>
      <c r="K2146" s="30" t="s">
        <v>3207</v>
      </c>
      <c r="L2146" s="4"/>
      <c r="M2146" s="3"/>
    </row>
    <row r="2147" spans="1:13" x14ac:dyDescent="0.3">
      <c r="A2147" s="3">
        <v>101</v>
      </c>
      <c r="B2147" s="3">
        <v>101</v>
      </c>
      <c r="C2147" s="4">
        <v>1000.419</v>
      </c>
      <c r="D2147" s="4">
        <v>1000.2430000000001</v>
      </c>
      <c r="E2147" s="4">
        <v>1000.5940000000001</v>
      </c>
      <c r="F2147" s="4"/>
      <c r="G2147" s="4"/>
      <c r="H2147" s="28" t="s">
        <v>3725</v>
      </c>
      <c r="I2147" s="4"/>
      <c r="J2147" s="6">
        <v>0</v>
      </c>
      <c r="K2147" s="29" t="s">
        <v>3207</v>
      </c>
      <c r="L2147" s="4"/>
      <c r="M2147" s="3"/>
    </row>
    <row r="2148" spans="1:13" x14ac:dyDescent="0.3">
      <c r="A2148" s="3">
        <v>101</v>
      </c>
      <c r="B2148" s="3">
        <v>101</v>
      </c>
      <c r="C2148" s="4">
        <v>1000.933</v>
      </c>
      <c r="D2148" s="4">
        <v>1000.5940000000001</v>
      </c>
      <c r="E2148" s="4">
        <v>1001.271</v>
      </c>
      <c r="F2148" s="4"/>
      <c r="G2148" s="4"/>
      <c r="H2148" s="27" t="s">
        <v>3726</v>
      </c>
      <c r="I2148" s="4"/>
      <c r="J2148" s="6">
        <v>0</v>
      </c>
      <c r="K2148" s="30" t="s">
        <v>3207</v>
      </c>
      <c r="L2148" s="4"/>
      <c r="M2148" s="3"/>
    </row>
    <row r="2149" spans="1:13" x14ac:dyDescent="0.3">
      <c r="A2149" s="3">
        <v>101</v>
      </c>
      <c r="B2149" s="3">
        <v>101</v>
      </c>
      <c r="C2149" s="4">
        <v>1001.801</v>
      </c>
      <c r="D2149" s="4">
        <v>1001.271</v>
      </c>
      <c r="E2149" s="4">
        <v>1002.331</v>
      </c>
      <c r="F2149" s="4"/>
      <c r="G2149" s="4"/>
      <c r="H2149" s="28" t="s">
        <v>3727</v>
      </c>
      <c r="I2149" s="4"/>
      <c r="J2149" s="6">
        <v>0</v>
      </c>
      <c r="K2149" s="29" t="s">
        <v>3207</v>
      </c>
      <c r="L2149" s="4"/>
      <c r="M2149" s="3"/>
    </row>
    <row r="2150" spans="1:13" x14ac:dyDescent="0.3">
      <c r="A2150" s="3">
        <v>101</v>
      </c>
      <c r="B2150" s="3">
        <v>101</v>
      </c>
      <c r="C2150" s="4">
        <v>1002.605</v>
      </c>
      <c r="D2150" s="4">
        <v>1002.331</v>
      </c>
      <c r="E2150" s="4">
        <v>1002.878</v>
      </c>
      <c r="F2150" s="4"/>
      <c r="G2150" s="4"/>
      <c r="H2150" s="27" t="s">
        <v>3728</v>
      </c>
      <c r="I2150" s="4"/>
      <c r="J2150" s="6">
        <v>0</v>
      </c>
      <c r="K2150" s="30" t="s">
        <v>3207</v>
      </c>
      <c r="L2150" s="4"/>
      <c r="M2150" s="3"/>
    </row>
    <row r="2151" spans="1:13" x14ac:dyDescent="0.3">
      <c r="A2151" s="3">
        <v>101</v>
      </c>
      <c r="B2151" s="3">
        <v>101</v>
      </c>
      <c r="C2151" s="4">
        <v>1003.0410000000001</v>
      </c>
      <c r="D2151" s="4">
        <v>1002.878</v>
      </c>
      <c r="E2151" s="4">
        <v>1003.204</v>
      </c>
      <c r="F2151" s="4"/>
      <c r="G2151" s="4"/>
      <c r="H2151" s="28" t="s">
        <v>3729</v>
      </c>
      <c r="I2151" s="4"/>
      <c r="J2151" s="6">
        <v>0</v>
      </c>
      <c r="K2151" s="29" t="s">
        <v>3207</v>
      </c>
      <c r="L2151" s="4"/>
      <c r="M2151" s="3"/>
    </row>
    <row r="2152" spans="1:13" x14ac:dyDescent="0.3">
      <c r="A2152" s="3">
        <v>101</v>
      </c>
      <c r="B2152" s="3">
        <v>101</v>
      </c>
      <c r="C2152" s="4">
        <v>1003.5839999999999</v>
      </c>
      <c r="D2152" s="4">
        <v>1003.204</v>
      </c>
      <c r="E2152" s="4">
        <v>1003.963</v>
      </c>
      <c r="F2152" s="4"/>
      <c r="G2152" s="4"/>
      <c r="H2152" s="27" t="s">
        <v>3730</v>
      </c>
      <c r="I2152" s="4"/>
      <c r="J2152" s="6">
        <v>0</v>
      </c>
      <c r="K2152" s="30" t="s">
        <v>3207</v>
      </c>
      <c r="L2152" s="4"/>
      <c r="M2152" s="3"/>
    </row>
    <row r="2153" spans="1:13" x14ac:dyDescent="0.3">
      <c r="A2153" s="3">
        <v>101</v>
      </c>
      <c r="B2153" s="3">
        <v>101</v>
      </c>
      <c r="C2153" s="4">
        <v>1004.224</v>
      </c>
      <c r="D2153" s="4">
        <v>1003.963</v>
      </c>
      <c r="E2153" s="4">
        <v>1004.484</v>
      </c>
      <c r="F2153" s="4"/>
      <c r="G2153" s="4"/>
      <c r="H2153" s="28" t="s">
        <v>3731</v>
      </c>
      <c r="I2153" s="4"/>
      <c r="J2153" s="6">
        <v>0</v>
      </c>
      <c r="K2153" s="29" t="s">
        <v>3207</v>
      </c>
      <c r="L2153" s="4"/>
      <c r="M2153" s="3"/>
    </row>
    <row r="2154" spans="1:13" x14ac:dyDescent="0.3">
      <c r="A2154" s="3">
        <v>101</v>
      </c>
      <c r="B2154" s="3">
        <v>101</v>
      </c>
      <c r="C2154" s="4">
        <v>1004.7569999999999</v>
      </c>
      <c r="D2154" s="4">
        <v>1004.484</v>
      </c>
      <c r="E2154" s="4">
        <v>1005.029</v>
      </c>
      <c r="F2154" s="4"/>
      <c r="G2154" s="4"/>
      <c r="H2154" s="27" t="s">
        <v>3732</v>
      </c>
      <c r="I2154" s="4"/>
      <c r="J2154" s="6">
        <v>0</v>
      </c>
      <c r="K2154" s="30" t="s">
        <v>3207</v>
      </c>
      <c r="L2154" s="4"/>
      <c r="M2154" s="3"/>
    </row>
    <row r="2155" spans="1:13" x14ac:dyDescent="0.3">
      <c r="A2155" s="3">
        <v>101</v>
      </c>
      <c r="B2155" s="3">
        <v>101</v>
      </c>
      <c r="C2155" s="4">
        <v>1005.112</v>
      </c>
      <c r="D2155" s="4">
        <v>1005.029</v>
      </c>
      <c r="E2155" s="4">
        <v>1005.1950000000001</v>
      </c>
      <c r="F2155" s="4"/>
      <c r="G2155" s="4"/>
      <c r="H2155" s="28" t="s">
        <v>3733</v>
      </c>
      <c r="I2155" s="4"/>
      <c r="J2155" s="6">
        <v>0</v>
      </c>
      <c r="K2155" s="29" t="s">
        <v>3207</v>
      </c>
      <c r="L2155" s="4"/>
      <c r="M2155" s="3"/>
    </row>
    <row r="2156" spans="1:13" x14ac:dyDescent="0.3">
      <c r="A2156" s="3">
        <v>101</v>
      </c>
      <c r="B2156" s="3">
        <v>101</v>
      </c>
      <c r="C2156" s="4">
        <v>1005.518</v>
      </c>
      <c r="D2156" s="4">
        <v>1005.1950000000001</v>
      </c>
      <c r="E2156" s="4">
        <v>1005.841</v>
      </c>
      <c r="F2156" s="4"/>
      <c r="G2156" s="4"/>
      <c r="H2156" s="27" t="s">
        <v>3734</v>
      </c>
      <c r="I2156" s="4"/>
      <c r="J2156" s="6">
        <v>0</v>
      </c>
      <c r="K2156" s="30" t="s">
        <v>3207</v>
      </c>
      <c r="L2156" s="4"/>
      <c r="M2156" s="3"/>
    </row>
    <row r="2157" spans="1:13" x14ac:dyDescent="0.3">
      <c r="A2157" s="3">
        <v>101</v>
      </c>
      <c r="B2157" s="3">
        <v>101</v>
      </c>
      <c r="C2157" s="4">
        <v>1005.896</v>
      </c>
      <c r="D2157" s="4">
        <v>1005.841</v>
      </c>
      <c r="E2157" s="4">
        <v>1005.95</v>
      </c>
      <c r="F2157" s="4"/>
      <c r="G2157" s="4"/>
      <c r="H2157" s="28" t="s">
        <v>3735</v>
      </c>
      <c r="I2157" s="4"/>
      <c r="J2157" s="6">
        <v>0</v>
      </c>
      <c r="K2157" s="29" t="s">
        <v>3207</v>
      </c>
      <c r="L2157" s="4"/>
      <c r="M2157" s="3"/>
    </row>
    <row r="2158" spans="1:13" x14ac:dyDescent="0.3">
      <c r="A2158" s="3">
        <v>101</v>
      </c>
      <c r="B2158" s="3">
        <v>101</v>
      </c>
      <c r="C2158" s="4">
        <v>1006.207</v>
      </c>
      <c r="D2158" s="4">
        <v>1005.95</v>
      </c>
      <c r="E2158" s="4">
        <v>1006.4640000000001</v>
      </c>
      <c r="F2158" s="4"/>
      <c r="G2158" s="4"/>
      <c r="H2158" s="27" t="s">
        <v>3736</v>
      </c>
      <c r="I2158" s="4"/>
      <c r="J2158" s="6">
        <v>0</v>
      </c>
      <c r="K2158" s="30" t="s">
        <v>3207</v>
      </c>
      <c r="L2158" s="4"/>
      <c r="M2158" s="3"/>
    </row>
    <row r="2159" spans="1:13" x14ac:dyDescent="0.3">
      <c r="A2159" s="3">
        <v>101</v>
      </c>
      <c r="B2159" s="3">
        <v>101</v>
      </c>
      <c r="C2159" s="4">
        <v>1007.498</v>
      </c>
      <c r="D2159" s="4">
        <v>1006.4640000000001</v>
      </c>
      <c r="E2159" s="4">
        <v>1008.532</v>
      </c>
      <c r="F2159" s="4"/>
      <c r="G2159" s="4"/>
      <c r="H2159" s="28" t="s">
        <v>3737</v>
      </c>
      <c r="I2159" s="4"/>
      <c r="J2159" s="6">
        <v>0</v>
      </c>
      <c r="K2159" s="29" t="s">
        <v>3207</v>
      </c>
      <c r="L2159" s="4"/>
      <c r="M2159" s="3"/>
    </row>
    <row r="2160" spans="1:13" x14ac:dyDescent="0.3">
      <c r="A2160" s="3">
        <v>101</v>
      </c>
      <c r="B2160" s="3">
        <v>101</v>
      </c>
      <c r="C2160" s="4">
        <v>1008.92</v>
      </c>
      <c r="D2160" s="4">
        <v>1008.532</v>
      </c>
      <c r="E2160" s="4">
        <v>1009.307</v>
      </c>
      <c r="F2160" s="4"/>
      <c r="G2160" s="4"/>
      <c r="H2160" s="27" t="s">
        <v>3738</v>
      </c>
      <c r="I2160" s="4"/>
      <c r="J2160" s="6">
        <v>0</v>
      </c>
      <c r="K2160" s="30" t="s">
        <v>3207</v>
      </c>
      <c r="L2160" s="4"/>
      <c r="M2160" s="3"/>
    </row>
    <row r="2161" spans="1:13" x14ac:dyDescent="0.3">
      <c r="A2161" s="3">
        <v>101</v>
      </c>
      <c r="B2161" s="3">
        <v>101</v>
      </c>
      <c r="C2161" s="4">
        <v>1009.961</v>
      </c>
      <c r="D2161" s="4">
        <v>1009.307</v>
      </c>
      <c r="E2161" s="4">
        <v>1010.614</v>
      </c>
      <c r="F2161" s="4"/>
      <c r="G2161" s="4"/>
      <c r="H2161" s="28" t="s">
        <v>3739</v>
      </c>
      <c r="I2161" s="4"/>
      <c r="J2161" s="6">
        <v>0</v>
      </c>
      <c r="K2161" s="29" t="s">
        <v>3207</v>
      </c>
      <c r="L2161" s="4"/>
      <c r="M2161" s="3"/>
    </row>
    <row r="2162" spans="1:13" x14ac:dyDescent="0.3">
      <c r="A2162" s="3">
        <v>101</v>
      </c>
      <c r="B2162" s="3">
        <v>101</v>
      </c>
      <c r="C2162" s="4">
        <v>1011.184</v>
      </c>
      <c r="D2162" s="4">
        <v>1010.614</v>
      </c>
      <c r="E2162" s="4">
        <v>1011.753</v>
      </c>
      <c r="F2162" s="4"/>
      <c r="G2162" s="4"/>
      <c r="H2162" s="27" t="s">
        <v>3740</v>
      </c>
      <c r="I2162" s="4"/>
      <c r="J2162" s="6">
        <v>0</v>
      </c>
      <c r="K2162" s="30" t="s">
        <v>3207</v>
      </c>
      <c r="L2162" s="4"/>
      <c r="M2162" s="3"/>
    </row>
    <row r="2163" spans="1:13" x14ac:dyDescent="0.3">
      <c r="A2163" s="3">
        <v>101</v>
      </c>
      <c r="B2163" s="3">
        <v>101</v>
      </c>
      <c r="C2163" s="4">
        <v>1011.932</v>
      </c>
      <c r="D2163" s="4">
        <v>1011.753</v>
      </c>
      <c r="E2163" s="4">
        <v>1012.11</v>
      </c>
      <c r="F2163" s="4"/>
      <c r="G2163" s="4"/>
      <c r="H2163" s="28" t="s">
        <v>3741</v>
      </c>
      <c r="I2163" s="4"/>
      <c r="J2163" s="6">
        <v>0</v>
      </c>
      <c r="K2163" s="29" t="s">
        <v>3207</v>
      </c>
      <c r="L2163" s="4"/>
      <c r="M2163" s="3"/>
    </row>
    <row r="2164" spans="1:13" x14ac:dyDescent="0.3">
      <c r="A2164" s="3">
        <v>101</v>
      </c>
      <c r="B2164" s="3">
        <v>101</v>
      </c>
      <c r="C2164" s="4">
        <v>1012.693</v>
      </c>
      <c r="D2164" s="4">
        <v>1012.11</v>
      </c>
      <c r="E2164" s="4">
        <v>1013.275</v>
      </c>
      <c r="F2164" s="4"/>
      <c r="G2164" s="4"/>
      <c r="H2164" s="27" t="s">
        <v>3742</v>
      </c>
      <c r="I2164" s="4"/>
      <c r="J2164" s="6">
        <v>0</v>
      </c>
      <c r="K2164" s="30" t="s">
        <v>3207</v>
      </c>
      <c r="L2164" s="4"/>
      <c r="M2164" s="3"/>
    </row>
    <row r="2165" spans="1:13" x14ac:dyDescent="0.3">
      <c r="A2165" s="3">
        <v>101</v>
      </c>
      <c r="B2165" s="3">
        <v>101</v>
      </c>
      <c r="C2165" s="4">
        <v>1013.841</v>
      </c>
      <c r="D2165" s="4">
        <v>1013.275</v>
      </c>
      <c r="E2165" s="4">
        <v>1014.407</v>
      </c>
      <c r="F2165" s="4"/>
      <c r="G2165" s="4"/>
      <c r="H2165" s="28" t="s">
        <v>3743</v>
      </c>
      <c r="I2165" s="4"/>
      <c r="J2165" s="6">
        <v>0</v>
      </c>
      <c r="K2165" s="29" t="s">
        <v>3207</v>
      </c>
      <c r="L2165" s="4"/>
      <c r="M2165" s="3"/>
    </row>
    <row r="2166" spans="1:13" x14ac:dyDescent="0.3">
      <c r="A2166" s="3">
        <v>101</v>
      </c>
      <c r="B2166" s="3">
        <v>101</v>
      </c>
      <c r="C2166" s="4">
        <v>1014.978</v>
      </c>
      <c r="D2166" s="4">
        <v>1014.407</v>
      </c>
      <c r="E2166" s="4">
        <v>1015.548</v>
      </c>
      <c r="F2166" s="4"/>
      <c r="G2166" s="4"/>
      <c r="H2166" s="27" t="s">
        <v>3744</v>
      </c>
      <c r="I2166" s="4"/>
      <c r="J2166" s="6">
        <v>0</v>
      </c>
      <c r="K2166" s="30" t="s">
        <v>3207</v>
      </c>
      <c r="L2166" s="4"/>
      <c r="M2166" s="3"/>
    </row>
    <row r="2167" spans="1:13" x14ac:dyDescent="0.3">
      <c r="A2167" s="3">
        <v>101</v>
      </c>
      <c r="B2167" s="3">
        <v>101</v>
      </c>
      <c r="C2167" s="4">
        <v>1015.57</v>
      </c>
      <c r="D2167" s="4">
        <v>1015.548</v>
      </c>
      <c r="E2167" s="4">
        <v>1015.592</v>
      </c>
      <c r="F2167" s="4"/>
      <c r="G2167" s="4"/>
      <c r="H2167" s="28" t="s">
        <v>3745</v>
      </c>
      <c r="I2167" s="4"/>
      <c r="J2167" s="6">
        <v>0</v>
      </c>
      <c r="K2167" s="29" t="s">
        <v>3207</v>
      </c>
      <c r="L2167" s="4"/>
      <c r="M2167" s="3"/>
    </row>
    <row r="2168" spans="1:13" x14ac:dyDescent="0.3">
      <c r="A2168" s="3">
        <v>101</v>
      </c>
      <c r="B2168" s="3">
        <v>101</v>
      </c>
      <c r="C2168" s="4">
        <v>1016.0309999999999</v>
      </c>
      <c r="D2168" s="4">
        <v>1015.592</v>
      </c>
      <c r="E2168" s="4">
        <v>1016.47</v>
      </c>
      <c r="F2168" s="4"/>
      <c r="G2168" s="4"/>
      <c r="H2168" s="27" t="s">
        <v>3746</v>
      </c>
      <c r="I2168" s="4"/>
      <c r="J2168" s="6">
        <v>0</v>
      </c>
      <c r="K2168" s="30" t="s">
        <v>3207</v>
      </c>
      <c r="L2168" s="4"/>
      <c r="M2168" s="3"/>
    </row>
    <row r="2169" spans="1:13" x14ac:dyDescent="0.3">
      <c r="A2169" s="3">
        <v>101</v>
      </c>
      <c r="B2169" s="3">
        <v>101</v>
      </c>
      <c r="C2169" s="4">
        <v>1018.0359999999999</v>
      </c>
      <c r="D2169" s="4">
        <v>1016.47</v>
      </c>
      <c r="E2169" s="4">
        <v>1019.601</v>
      </c>
      <c r="F2169" s="4"/>
      <c r="G2169" s="4"/>
      <c r="H2169" s="28" t="s">
        <v>3747</v>
      </c>
      <c r="I2169" s="4"/>
      <c r="J2169" s="6">
        <v>0</v>
      </c>
      <c r="K2169" s="29" t="s">
        <v>3207</v>
      </c>
      <c r="L2169" s="4"/>
      <c r="M2169" s="3"/>
    </row>
    <row r="2170" spans="1:13" x14ac:dyDescent="0.3">
      <c r="A2170" s="3">
        <v>101</v>
      </c>
      <c r="B2170" s="3">
        <v>101</v>
      </c>
      <c r="C2170" s="4">
        <v>1019.954</v>
      </c>
      <c r="D2170" s="4">
        <v>1019.601</v>
      </c>
      <c r="E2170" s="4">
        <v>1020.306</v>
      </c>
      <c r="F2170" s="4"/>
      <c r="G2170" s="4"/>
      <c r="H2170" s="27" t="s">
        <v>3748</v>
      </c>
      <c r="I2170" s="4"/>
      <c r="J2170" s="6">
        <v>0</v>
      </c>
      <c r="K2170" s="30" t="s">
        <v>3207</v>
      </c>
      <c r="L2170" s="4"/>
      <c r="M2170" s="3"/>
    </row>
    <row r="2171" spans="1:13" x14ac:dyDescent="0.3">
      <c r="A2171" s="3">
        <v>101</v>
      </c>
      <c r="B2171" s="3">
        <v>101</v>
      </c>
      <c r="C2171" s="4">
        <v>1020.434</v>
      </c>
      <c r="D2171" s="4">
        <v>1020.306</v>
      </c>
      <c r="E2171" s="4">
        <v>1020.561</v>
      </c>
      <c r="F2171" s="4"/>
      <c r="G2171" s="4"/>
      <c r="H2171" s="28" t="s">
        <v>3749</v>
      </c>
      <c r="I2171" s="4"/>
      <c r="J2171" s="6">
        <v>0</v>
      </c>
      <c r="K2171" s="29" t="s">
        <v>3207</v>
      </c>
      <c r="L2171" s="4"/>
      <c r="M2171" s="3"/>
    </row>
    <row r="2172" spans="1:13" x14ac:dyDescent="0.3">
      <c r="A2172" s="3">
        <v>101</v>
      </c>
      <c r="B2172" s="3">
        <v>101</v>
      </c>
      <c r="C2172" s="4">
        <v>1021.186</v>
      </c>
      <c r="D2172" s="4">
        <v>1020.561</v>
      </c>
      <c r="E2172" s="4">
        <v>1021.81</v>
      </c>
      <c r="F2172" s="4"/>
      <c r="G2172" s="4"/>
      <c r="H2172" s="27" t="s">
        <v>3750</v>
      </c>
      <c r="I2172" s="4"/>
      <c r="J2172" s="6">
        <v>0</v>
      </c>
      <c r="K2172" s="30" t="s">
        <v>3207</v>
      </c>
      <c r="L2172" s="4"/>
      <c r="M2172" s="3"/>
    </row>
    <row r="2173" spans="1:13" x14ac:dyDescent="0.3">
      <c r="A2173" s="3">
        <v>101</v>
      </c>
      <c r="B2173" s="3">
        <v>101</v>
      </c>
      <c r="C2173" s="4">
        <v>1021.973</v>
      </c>
      <c r="D2173" s="4">
        <v>1021.81</v>
      </c>
      <c r="E2173" s="4">
        <v>1022.136</v>
      </c>
      <c r="F2173" s="4"/>
      <c r="G2173" s="4"/>
      <c r="H2173" s="28" t="s">
        <v>3751</v>
      </c>
      <c r="I2173" s="4"/>
      <c r="J2173" s="6">
        <v>0</v>
      </c>
      <c r="K2173" s="29" t="s">
        <v>3207</v>
      </c>
      <c r="L2173" s="4"/>
      <c r="M2173" s="3"/>
    </row>
    <row r="2174" spans="1:13" x14ac:dyDescent="0.3">
      <c r="A2174" s="3">
        <v>101</v>
      </c>
      <c r="B2174" s="3">
        <v>101</v>
      </c>
      <c r="C2174" s="4">
        <v>1022.571</v>
      </c>
      <c r="D2174" s="4">
        <v>1022.136</v>
      </c>
      <c r="E2174" s="4">
        <v>1023.005</v>
      </c>
      <c r="F2174" s="4"/>
      <c r="G2174" s="4"/>
      <c r="H2174" s="27" t="s">
        <v>3752</v>
      </c>
      <c r="I2174" s="4"/>
      <c r="J2174" s="6">
        <v>0</v>
      </c>
      <c r="K2174" s="30" t="s">
        <v>3207</v>
      </c>
      <c r="L2174" s="4"/>
      <c r="M2174" s="3"/>
    </row>
    <row r="2175" spans="1:13" x14ac:dyDescent="0.3">
      <c r="A2175" s="3">
        <v>101</v>
      </c>
      <c r="B2175" s="3">
        <v>101</v>
      </c>
      <c r="C2175" s="4">
        <v>1023.1849999999999</v>
      </c>
      <c r="D2175" s="4">
        <v>1023.005</v>
      </c>
      <c r="E2175" s="4">
        <v>1023.365</v>
      </c>
      <c r="F2175" s="4"/>
      <c r="G2175" s="4"/>
      <c r="H2175" s="28" t="s">
        <v>3753</v>
      </c>
      <c r="I2175" s="4"/>
      <c r="J2175" s="6">
        <v>0</v>
      </c>
      <c r="K2175" s="29" t="s">
        <v>3207</v>
      </c>
      <c r="L2175" s="4"/>
      <c r="M2175" s="3"/>
    </row>
    <row r="2176" spans="1:13" x14ac:dyDescent="0.3">
      <c r="A2176" s="3">
        <v>101</v>
      </c>
      <c r="B2176" s="3">
        <v>101</v>
      </c>
      <c r="C2176" s="4">
        <v>1023.66</v>
      </c>
      <c r="D2176" s="4">
        <v>1023.365</v>
      </c>
      <c r="E2176" s="4">
        <v>1023.954</v>
      </c>
      <c r="F2176" s="4"/>
      <c r="G2176" s="4"/>
      <c r="H2176" s="27" t="s">
        <v>3754</v>
      </c>
      <c r="I2176" s="4"/>
      <c r="J2176" s="6">
        <v>0</v>
      </c>
      <c r="K2176" s="30" t="s">
        <v>3207</v>
      </c>
      <c r="L2176" s="4"/>
      <c r="M2176" s="3"/>
    </row>
    <row r="2177" spans="1:13" x14ac:dyDescent="0.3">
      <c r="A2177" s="3">
        <v>101</v>
      </c>
      <c r="B2177" s="3">
        <v>101</v>
      </c>
      <c r="C2177" s="4">
        <v>1024.145</v>
      </c>
      <c r="D2177" s="4">
        <v>1023.954</v>
      </c>
      <c r="E2177" s="4">
        <v>1024.336</v>
      </c>
      <c r="F2177" s="4"/>
      <c r="G2177" s="4"/>
      <c r="H2177" s="28" t="s">
        <v>3755</v>
      </c>
      <c r="I2177" s="4"/>
      <c r="J2177" s="6">
        <v>0</v>
      </c>
      <c r="K2177" s="29" t="s">
        <v>3207</v>
      </c>
      <c r="L2177" s="4"/>
      <c r="M2177" s="3"/>
    </row>
    <row r="2178" spans="1:13" x14ac:dyDescent="0.3">
      <c r="A2178" s="3">
        <v>101</v>
      </c>
      <c r="B2178" s="3">
        <v>101</v>
      </c>
      <c r="C2178" s="4">
        <v>1024.595</v>
      </c>
      <c r="D2178" s="4">
        <v>1024.336</v>
      </c>
      <c r="E2178" s="4">
        <v>1024.8530000000001</v>
      </c>
      <c r="F2178" s="4"/>
      <c r="G2178" s="4"/>
      <c r="H2178" s="27" t="s">
        <v>3756</v>
      </c>
      <c r="I2178" s="4"/>
      <c r="J2178" s="6">
        <v>0</v>
      </c>
      <c r="K2178" s="30" t="s">
        <v>3207</v>
      </c>
      <c r="L2178" s="4"/>
      <c r="M2178" s="3"/>
    </row>
    <row r="2179" spans="1:13" x14ac:dyDescent="0.3">
      <c r="A2179" s="3">
        <v>101</v>
      </c>
      <c r="B2179" s="3">
        <v>101</v>
      </c>
      <c r="C2179" s="4">
        <v>1025.1610000000001</v>
      </c>
      <c r="D2179" s="4">
        <v>1024.8530000000001</v>
      </c>
      <c r="E2179" s="4">
        <v>1025.4690000000001</v>
      </c>
      <c r="F2179" s="4"/>
      <c r="G2179" s="4"/>
      <c r="H2179" s="28" t="s">
        <v>3757</v>
      </c>
      <c r="I2179" s="4"/>
      <c r="J2179" s="6">
        <v>0</v>
      </c>
      <c r="K2179" s="29" t="s">
        <v>3207</v>
      </c>
      <c r="L2179" s="4"/>
      <c r="M2179" s="3"/>
    </row>
    <row r="2180" spans="1:13" x14ac:dyDescent="0.3">
      <c r="A2180" s="3">
        <v>101</v>
      </c>
      <c r="B2180" s="3">
        <v>101</v>
      </c>
      <c r="C2180" s="4">
        <v>1025.7629999999999</v>
      </c>
      <c r="D2180" s="4">
        <v>1025.4690000000001</v>
      </c>
      <c r="E2180" s="4">
        <v>1026.057</v>
      </c>
      <c r="F2180" s="4"/>
      <c r="G2180" s="4"/>
      <c r="H2180" s="27" t="s">
        <v>3758</v>
      </c>
      <c r="I2180" s="4"/>
      <c r="J2180" s="6">
        <v>0</v>
      </c>
      <c r="K2180" s="30" t="s">
        <v>3207</v>
      </c>
      <c r="L2180" s="4"/>
      <c r="M2180" s="3"/>
    </row>
    <row r="2181" spans="1:13" x14ac:dyDescent="0.3">
      <c r="A2181" s="3">
        <v>101</v>
      </c>
      <c r="B2181" s="3">
        <v>101</v>
      </c>
      <c r="C2181" s="4">
        <v>1026.28</v>
      </c>
      <c r="D2181" s="4">
        <v>1026.057</v>
      </c>
      <c r="E2181" s="4">
        <v>1026.5029999999999</v>
      </c>
      <c r="F2181" s="4"/>
      <c r="G2181" s="4"/>
      <c r="H2181" s="28" t="s">
        <v>3759</v>
      </c>
      <c r="I2181" s="4"/>
      <c r="J2181" s="6">
        <v>0</v>
      </c>
      <c r="K2181" s="29" t="s">
        <v>3207</v>
      </c>
      <c r="L2181" s="4"/>
      <c r="M2181" s="3"/>
    </row>
    <row r="2182" spans="1:13" x14ac:dyDescent="0.3">
      <c r="A2182" s="3">
        <v>101</v>
      </c>
      <c r="B2182" s="3">
        <v>101</v>
      </c>
      <c r="C2182" s="4">
        <v>1026.7429999999999</v>
      </c>
      <c r="D2182" s="4">
        <v>1026.5029999999999</v>
      </c>
      <c r="E2182" s="4">
        <v>1026.9829999999999</v>
      </c>
      <c r="F2182" s="4"/>
      <c r="G2182" s="4"/>
      <c r="H2182" s="27" t="s">
        <v>3760</v>
      </c>
      <c r="I2182" s="4"/>
      <c r="J2182" s="6">
        <v>0</v>
      </c>
      <c r="K2182" s="30" t="s">
        <v>3207</v>
      </c>
      <c r="L2182" s="4"/>
      <c r="M2182" s="3"/>
    </row>
    <row r="2183" spans="1:13" x14ac:dyDescent="0.3">
      <c r="A2183" s="3">
        <v>101</v>
      </c>
      <c r="B2183" s="3">
        <v>101</v>
      </c>
      <c r="C2183" s="4">
        <v>1027.4870000000001</v>
      </c>
      <c r="D2183" s="4">
        <v>1026.9829999999999</v>
      </c>
      <c r="E2183" s="4">
        <v>1027.991</v>
      </c>
      <c r="F2183" s="4"/>
      <c r="G2183" s="4"/>
      <c r="H2183" s="28" t="s">
        <v>3761</v>
      </c>
      <c r="I2183" s="4"/>
      <c r="J2183" s="6">
        <v>0</v>
      </c>
      <c r="K2183" s="29" t="s">
        <v>3207</v>
      </c>
      <c r="L2183" s="4"/>
      <c r="M2183" s="3"/>
    </row>
    <row r="2184" spans="1:13" x14ac:dyDescent="0.3">
      <c r="A2184" s="3">
        <v>101</v>
      </c>
      <c r="B2184" s="3">
        <v>101</v>
      </c>
      <c r="C2184" s="4">
        <v>1028.097</v>
      </c>
      <c r="D2184" s="4">
        <v>1027.991</v>
      </c>
      <c r="E2184" s="4">
        <v>1028.203</v>
      </c>
      <c r="F2184" s="4"/>
      <c r="G2184" s="4"/>
      <c r="H2184" s="27" t="s">
        <v>3762</v>
      </c>
      <c r="I2184" s="4"/>
      <c r="J2184" s="6">
        <v>0</v>
      </c>
      <c r="K2184" s="30" t="s">
        <v>3207</v>
      </c>
      <c r="L2184" s="4"/>
      <c r="M2184" s="3"/>
    </row>
    <row r="2185" spans="1:13" x14ac:dyDescent="0.3">
      <c r="A2185" s="3">
        <v>101</v>
      </c>
      <c r="B2185" s="3">
        <v>101</v>
      </c>
      <c r="C2185" s="4">
        <v>1028.7650000000001</v>
      </c>
      <c r="D2185" s="4">
        <v>1028.203</v>
      </c>
      <c r="E2185" s="4">
        <v>1029.326</v>
      </c>
      <c r="F2185" s="4"/>
      <c r="G2185" s="4"/>
      <c r="H2185" s="28" t="s">
        <v>3763</v>
      </c>
      <c r="I2185" s="4"/>
      <c r="J2185" s="6">
        <v>0</v>
      </c>
      <c r="K2185" s="29" t="s">
        <v>3207</v>
      </c>
      <c r="L2185" s="4"/>
      <c r="M2185" s="3"/>
    </row>
    <row r="2186" spans="1:13" x14ac:dyDescent="0.3">
      <c r="A2186" s="3">
        <v>101</v>
      </c>
      <c r="B2186" s="3">
        <v>101</v>
      </c>
      <c r="C2186" s="4">
        <v>1029.75</v>
      </c>
      <c r="D2186" s="4">
        <v>1029.326</v>
      </c>
      <c r="E2186" s="4">
        <v>1030.174</v>
      </c>
      <c r="F2186" s="4"/>
      <c r="G2186" s="4"/>
      <c r="H2186" s="27" t="s">
        <v>3764</v>
      </c>
      <c r="I2186" s="4"/>
      <c r="J2186" s="6">
        <v>0</v>
      </c>
      <c r="K2186" s="30" t="s">
        <v>3207</v>
      </c>
      <c r="L2186" s="4"/>
      <c r="M2186" s="3"/>
    </row>
    <row r="2187" spans="1:13" x14ac:dyDescent="0.3">
      <c r="A2187" s="3">
        <v>101</v>
      </c>
      <c r="B2187" s="3">
        <v>101</v>
      </c>
      <c r="C2187" s="4">
        <v>1030.366</v>
      </c>
      <c r="D2187" s="4">
        <v>1030.174</v>
      </c>
      <c r="E2187" s="4">
        <v>1030.558</v>
      </c>
      <c r="F2187" s="4"/>
      <c r="G2187" s="4"/>
      <c r="H2187" s="28" t="s">
        <v>3765</v>
      </c>
      <c r="I2187" s="4"/>
      <c r="J2187" s="6">
        <v>0</v>
      </c>
      <c r="K2187" s="29" t="s">
        <v>3207</v>
      </c>
      <c r="L2187" s="4"/>
      <c r="M2187" s="3"/>
    </row>
    <row r="2188" spans="1:13" x14ac:dyDescent="0.3">
      <c r="A2188" s="3">
        <v>101</v>
      </c>
      <c r="B2188" s="3">
        <v>101</v>
      </c>
      <c r="C2188" s="4">
        <v>1031.3019999999999</v>
      </c>
      <c r="D2188" s="4">
        <v>1030.558</v>
      </c>
      <c r="E2188" s="4">
        <v>1032.0450000000001</v>
      </c>
      <c r="F2188" s="4"/>
      <c r="G2188" s="4"/>
      <c r="H2188" s="27" t="s">
        <v>3766</v>
      </c>
      <c r="I2188" s="4"/>
      <c r="J2188" s="6">
        <v>0</v>
      </c>
      <c r="K2188" s="30" t="s">
        <v>3207</v>
      </c>
      <c r="L2188" s="4"/>
      <c r="M2188" s="3"/>
    </row>
    <row r="2189" spans="1:13" x14ac:dyDescent="0.3">
      <c r="A2189" s="3">
        <v>101</v>
      </c>
      <c r="B2189" s="3">
        <v>101</v>
      </c>
      <c r="C2189" s="4">
        <v>1032.7270000000001</v>
      </c>
      <c r="D2189" s="4">
        <v>1032.0450000000001</v>
      </c>
      <c r="E2189" s="4">
        <v>1033.4079999999999</v>
      </c>
      <c r="F2189" s="4"/>
      <c r="G2189" s="4"/>
      <c r="H2189" s="28" t="s">
        <v>3767</v>
      </c>
      <c r="I2189" s="4"/>
      <c r="J2189" s="6">
        <v>0</v>
      </c>
      <c r="K2189" s="29" t="s">
        <v>3207</v>
      </c>
      <c r="L2189" s="4"/>
      <c r="M2189" s="3"/>
    </row>
    <row r="2190" spans="1:13" x14ac:dyDescent="0.3">
      <c r="A2190" s="3">
        <v>101</v>
      </c>
      <c r="B2190" s="3">
        <v>101</v>
      </c>
      <c r="C2190" s="4">
        <v>1033.6210000000001</v>
      </c>
      <c r="D2190" s="4">
        <v>1033.4079999999999</v>
      </c>
      <c r="E2190" s="4">
        <v>1033.8330000000001</v>
      </c>
      <c r="F2190" s="4"/>
      <c r="G2190" s="4"/>
      <c r="H2190" s="27" t="s">
        <v>3768</v>
      </c>
      <c r="I2190" s="4"/>
      <c r="J2190" s="6">
        <v>0</v>
      </c>
      <c r="K2190" s="30" t="s">
        <v>3207</v>
      </c>
      <c r="L2190" s="4"/>
      <c r="M2190" s="3"/>
    </row>
    <row r="2191" spans="1:13" x14ac:dyDescent="0.3">
      <c r="A2191" s="3">
        <v>101</v>
      </c>
      <c r="B2191" s="3">
        <v>101</v>
      </c>
      <c r="C2191" s="4">
        <v>1034.0409999999999</v>
      </c>
      <c r="D2191" s="4">
        <v>1033.8330000000001</v>
      </c>
      <c r="E2191" s="4">
        <v>1034.249</v>
      </c>
      <c r="F2191" s="4"/>
      <c r="G2191" s="4"/>
      <c r="H2191" s="28" t="s">
        <v>3769</v>
      </c>
      <c r="I2191" s="4"/>
      <c r="J2191" s="6">
        <v>0</v>
      </c>
      <c r="K2191" s="29" t="s">
        <v>3207</v>
      </c>
      <c r="L2191" s="4"/>
      <c r="M2191" s="3"/>
    </row>
    <row r="2192" spans="1:13" x14ac:dyDescent="0.3">
      <c r="A2192" s="3">
        <v>101</v>
      </c>
      <c r="B2192" s="3">
        <v>101</v>
      </c>
      <c r="C2192" s="4">
        <v>1034.5509999999999</v>
      </c>
      <c r="D2192" s="4">
        <v>1034.249</v>
      </c>
      <c r="E2192" s="4">
        <v>1034.8520000000001</v>
      </c>
      <c r="F2192" s="4"/>
      <c r="G2192" s="4"/>
      <c r="H2192" s="27" t="s">
        <v>3770</v>
      </c>
      <c r="I2192" s="4"/>
      <c r="J2192" s="6">
        <v>0</v>
      </c>
      <c r="K2192" s="30" t="s">
        <v>3207</v>
      </c>
      <c r="L2192" s="4"/>
      <c r="M2192" s="3"/>
    </row>
    <row r="2193" spans="1:13" x14ac:dyDescent="0.3">
      <c r="A2193" s="3">
        <v>101</v>
      </c>
      <c r="B2193" s="3">
        <v>101</v>
      </c>
      <c r="C2193" s="4">
        <v>1035.25</v>
      </c>
      <c r="D2193" s="4">
        <v>1034.8520000000001</v>
      </c>
      <c r="E2193" s="4">
        <v>1035.6469999999999</v>
      </c>
      <c r="F2193" s="4"/>
      <c r="G2193" s="4"/>
      <c r="H2193" s="28" t="s">
        <v>3771</v>
      </c>
      <c r="I2193" s="4"/>
      <c r="J2193" s="6">
        <v>0</v>
      </c>
      <c r="K2193" s="29" t="s">
        <v>3207</v>
      </c>
      <c r="L2193" s="4"/>
      <c r="M2193" s="3"/>
    </row>
    <row r="2194" spans="1:13" x14ac:dyDescent="0.3">
      <c r="A2194" s="3">
        <v>101</v>
      </c>
      <c r="B2194" s="3">
        <v>101</v>
      </c>
      <c r="C2194" s="4">
        <v>1036.1420000000001</v>
      </c>
      <c r="D2194" s="4">
        <v>1035.6469999999999</v>
      </c>
      <c r="E2194" s="4">
        <v>1036.6369999999999</v>
      </c>
      <c r="F2194" s="4"/>
      <c r="G2194" s="4"/>
      <c r="H2194" s="27" t="s">
        <v>3772</v>
      </c>
      <c r="I2194" s="4"/>
      <c r="J2194" s="6">
        <v>0</v>
      </c>
      <c r="K2194" s="30" t="s">
        <v>3207</v>
      </c>
      <c r="L2194" s="4"/>
      <c r="M2194" s="3"/>
    </row>
    <row r="2195" spans="1:13" x14ac:dyDescent="0.3">
      <c r="A2195" s="3">
        <v>101</v>
      </c>
      <c r="B2195" s="3">
        <v>101</v>
      </c>
      <c r="C2195" s="4">
        <v>1036.9649999999999</v>
      </c>
      <c r="D2195" s="4">
        <v>1036.6369999999999</v>
      </c>
      <c r="E2195" s="4">
        <v>1037.2919999999999</v>
      </c>
      <c r="F2195" s="4"/>
      <c r="G2195" s="4"/>
      <c r="H2195" s="28" t="s">
        <v>3773</v>
      </c>
      <c r="I2195" s="4"/>
      <c r="J2195" s="6">
        <v>0</v>
      </c>
      <c r="K2195" s="29" t="s">
        <v>3207</v>
      </c>
      <c r="L2195" s="4"/>
      <c r="M2195" s="3"/>
    </row>
    <row r="2196" spans="1:13" x14ac:dyDescent="0.3">
      <c r="A2196" s="3">
        <v>101</v>
      </c>
      <c r="B2196" s="3">
        <v>101</v>
      </c>
      <c r="C2196" s="4">
        <v>1038.1379999999999</v>
      </c>
      <c r="D2196" s="4">
        <v>1037.2919999999999</v>
      </c>
      <c r="E2196" s="4">
        <v>1038.9829999999999</v>
      </c>
      <c r="F2196" s="4"/>
      <c r="G2196" s="4"/>
      <c r="H2196" s="27" t="s">
        <v>3774</v>
      </c>
      <c r="I2196" s="4"/>
      <c r="J2196" s="6">
        <v>0</v>
      </c>
      <c r="K2196" s="30" t="s">
        <v>3207</v>
      </c>
      <c r="L2196" s="4"/>
      <c r="M2196" s="3"/>
    </row>
    <row r="2197" spans="1:13" x14ac:dyDescent="0.3">
      <c r="A2197" s="3">
        <v>101</v>
      </c>
      <c r="B2197" s="3">
        <v>101</v>
      </c>
      <c r="C2197" s="4">
        <v>1039.489</v>
      </c>
      <c r="D2197" s="4">
        <v>1038.9829999999999</v>
      </c>
      <c r="E2197" s="4">
        <v>1039.9949999999999</v>
      </c>
      <c r="F2197" s="4"/>
      <c r="G2197" s="4"/>
      <c r="H2197" s="28" t="s">
        <v>3775</v>
      </c>
      <c r="I2197" s="4"/>
      <c r="J2197" s="6">
        <v>0</v>
      </c>
      <c r="K2197" s="29" t="s">
        <v>3207</v>
      </c>
      <c r="L2197" s="4"/>
      <c r="M2197" s="3"/>
    </row>
    <row r="2198" spans="1:13" x14ac:dyDescent="0.3">
      <c r="A2198" s="3">
        <v>101</v>
      </c>
      <c r="B2198" s="3">
        <v>101</v>
      </c>
      <c r="C2198" s="4">
        <v>1040.2170000000001</v>
      </c>
      <c r="D2198" s="4">
        <v>1039.9949999999999</v>
      </c>
      <c r="E2198" s="4">
        <v>1040.4390000000001</v>
      </c>
      <c r="F2198" s="4"/>
      <c r="G2198" s="4"/>
      <c r="H2198" s="27" t="s">
        <v>3776</v>
      </c>
      <c r="I2198" s="4"/>
      <c r="J2198" s="6">
        <v>0</v>
      </c>
      <c r="K2198" s="30" t="s">
        <v>3207</v>
      </c>
      <c r="L2198" s="4"/>
      <c r="M2198" s="3"/>
    </row>
    <row r="2199" spans="1:13" x14ac:dyDescent="0.3">
      <c r="A2199" s="3">
        <v>101</v>
      </c>
      <c r="B2199" s="3">
        <v>101</v>
      </c>
      <c r="C2199" s="4">
        <v>1040.4680000000001</v>
      </c>
      <c r="D2199" s="4">
        <v>1040.4390000000001</v>
      </c>
      <c r="E2199" s="4">
        <v>1040.4970000000001</v>
      </c>
      <c r="F2199" s="4"/>
      <c r="G2199" s="4"/>
      <c r="H2199" s="28" t="s">
        <v>3777</v>
      </c>
      <c r="I2199" s="4"/>
      <c r="J2199" s="6">
        <v>0</v>
      </c>
      <c r="K2199" s="29" t="s">
        <v>3207</v>
      </c>
      <c r="L2199" s="4"/>
      <c r="M2199" s="3"/>
    </row>
    <row r="2200" spans="1:13" x14ac:dyDescent="0.3">
      <c r="A2200" s="3">
        <v>101</v>
      </c>
      <c r="B2200" s="3">
        <v>101</v>
      </c>
      <c r="C2200" s="4">
        <v>1040.827</v>
      </c>
      <c r="D2200" s="4">
        <v>1040.4970000000001</v>
      </c>
      <c r="E2200" s="4">
        <v>1041.1559999999999</v>
      </c>
      <c r="F2200" s="4"/>
      <c r="G2200" s="4"/>
      <c r="H2200" s="27" t="s">
        <v>3778</v>
      </c>
      <c r="I2200" s="4"/>
      <c r="J2200" s="6">
        <v>0</v>
      </c>
      <c r="K2200" s="30" t="s">
        <v>3207</v>
      </c>
      <c r="L2200" s="4"/>
      <c r="M2200" s="3"/>
    </row>
    <row r="2201" spans="1:13" x14ac:dyDescent="0.3">
      <c r="A2201" s="3">
        <v>101</v>
      </c>
      <c r="B2201" s="3">
        <v>101</v>
      </c>
      <c r="C2201" s="4">
        <v>1041.3209999999999</v>
      </c>
      <c r="D2201" s="4">
        <v>1041.1559999999999</v>
      </c>
      <c r="E2201" s="4">
        <v>1041.4860000000001</v>
      </c>
      <c r="F2201" s="4"/>
      <c r="G2201" s="4"/>
      <c r="H2201" s="28" t="s">
        <v>3779</v>
      </c>
      <c r="I2201" s="4"/>
      <c r="J2201" s="6">
        <v>0</v>
      </c>
      <c r="K2201" s="29" t="s">
        <v>3207</v>
      </c>
      <c r="L2201" s="4"/>
      <c r="M2201" s="3"/>
    </row>
    <row r="2202" spans="1:13" x14ac:dyDescent="0.3">
      <c r="A2202" s="3">
        <v>101</v>
      </c>
      <c r="B2202" s="3">
        <v>101</v>
      </c>
      <c r="C2202" s="4">
        <v>1041.7570000000001</v>
      </c>
      <c r="D2202" s="4">
        <v>1041.4860000000001</v>
      </c>
      <c r="E2202" s="4">
        <v>1042.028</v>
      </c>
      <c r="F2202" s="4"/>
      <c r="G2202" s="4"/>
      <c r="H2202" s="27" t="s">
        <v>3780</v>
      </c>
      <c r="I2202" s="4"/>
      <c r="J2202" s="6">
        <v>0</v>
      </c>
      <c r="K2202" s="30" t="s">
        <v>3207</v>
      </c>
      <c r="L2202" s="4"/>
      <c r="M2202" s="3"/>
    </row>
    <row r="2203" spans="1:13" x14ac:dyDescent="0.3">
      <c r="A2203" s="3">
        <v>101</v>
      </c>
      <c r="B2203" s="3">
        <v>101</v>
      </c>
      <c r="C2203" s="4">
        <v>1042.67</v>
      </c>
      <c r="D2203" s="4">
        <v>1042.028</v>
      </c>
      <c r="E2203" s="4">
        <v>1043.3119999999999</v>
      </c>
      <c r="F2203" s="4"/>
      <c r="G2203" s="4"/>
      <c r="H2203" s="28" t="s">
        <v>3781</v>
      </c>
      <c r="I2203" s="4"/>
      <c r="J2203" s="6">
        <v>0</v>
      </c>
      <c r="K2203" s="29" t="s">
        <v>3207</v>
      </c>
      <c r="L2203" s="4"/>
      <c r="M2203" s="3"/>
    </row>
    <row r="2204" spans="1:13" x14ac:dyDescent="0.3">
      <c r="A2204" s="3">
        <v>101</v>
      </c>
      <c r="B2204" s="3">
        <v>101</v>
      </c>
      <c r="C2204" s="4">
        <v>1043.838</v>
      </c>
      <c r="D2204" s="4">
        <v>1043.3119999999999</v>
      </c>
      <c r="E2204" s="4">
        <v>1044.364</v>
      </c>
      <c r="F2204" s="4"/>
      <c r="G2204" s="4"/>
      <c r="H2204" s="27" t="s">
        <v>3782</v>
      </c>
      <c r="I2204" s="4"/>
      <c r="J2204" s="6">
        <v>0</v>
      </c>
      <c r="K2204" s="30" t="s">
        <v>3207</v>
      </c>
      <c r="L2204" s="4"/>
      <c r="M2204" s="3"/>
    </row>
    <row r="2205" spans="1:13" x14ac:dyDescent="0.3">
      <c r="A2205" s="3">
        <v>101</v>
      </c>
      <c r="B2205" s="3">
        <v>101</v>
      </c>
      <c r="C2205" s="4">
        <v>1045.1980000000001</v>
      </c>
      <c r="D2205" s="4">
        <v>1044.364</v>
      </c>
      <c r="E2205" s="4">
        <v>1046.0309999999999</v>
      </c>
      <c r="F2205" s="4"/>
      <c r="G2205" s="4"/>
      <c r="H2205" s="28" t="s">
        <v>3783</v>
      </c>
      <c r="I2205" s="4"/>
      <c r="J2205" s="6">
        <v>0</v>
      </c>
      <c r="K2205" s="29" t="s">
        <v>3207</v>
      </c>
      <c r="L2205" s="4"/>
      <c r="M2205" s="3"/>
    </row>
    <row r="2206" spans="1:13" x14ac:dyDescent="0.3">
      <c r="A2206" s="3">
        <v>101</v>
      </c>
      <c r="B2206" s="3">
        <v>101</v>
      </c>
      <c r="C2206" s="4">
        <v>1046.3240000000001</v>
      </c>
      <c r="D2206" s="4">
        <v>1046.0309999999999</v>
      </c>
      <c r="E2206" s="4">
        <v>1046.616</v>
      </c>
      <c r="F2206" s="4"/>
      <c r="G2206" s="4"/>
      <c r="H2206" s="27" t="s">
        <v>3784</v>
      </c>
      <c r="I2206" s="4"/>
      <c r="J2206" s="6">
        <v>0</v>
      </c>
      <c r="K2206" s="30" t="s">
        <v>3207</v>
      </c>
      <c r="L2206" s="4"/>
      <c r="M2206" s="3"/>
    </row>
    <row r="2207" spans="1:13" x14ac:dyDescent="0.3">
      <c r="A2207" s="3">
        <v>101</v>
      </c>
      <c r="B2207" s="3">
        <v>101</v>
      </c>
      <c r="C2207" s="4">
        <v>1047.597</v>
      </c>
      <c r="D2207" s="4">
        <v>1046.616</v>
      </c>
      <c r="E2207" s="4">
        <v>1048.578</v>
      </c>
      <c r="F2207" s="4"/>
      <c r="G2207" s="4"/>
      <c r="H2207" s="28" t="s">
        <v>3785</v>
      </c>
      <c r="I2207" s="4"/>
      <c r="J2207" s="6">
        <v>0</v>
      </c>
      <c r="K2207" s="29" t="s">
        <v>3207</v>
      </c>
      <c r="L2207" s="4"/>
      <c r="M2207" s="3"/>
    </row>
    <row r="2208" spans="1:13" x14ac:dyDescent="0.3">
      <c r="A2208" s="3">
        <v>101</v>
      </c>
      <c r="B2208" s="3">
        <v>101</v>
      </c>
      <c r="C2208" s="4">
        <v>1049.0719999999999</v>
      </c>
      <c r="D2208" s="4">
        <v>1048.578</v>
      </c>
      <c r="E2208" s="4">
        <v>1049.5650000000001</v>
      </c>
      <c r="F2208" s="4"/>
      <c r="G2208" s="4"/>
      <c r="H2208" s="27" t="s">
        <v>3786</v>
      </c>
      <c r="I2208" s="4"/>
      <c r="J2208" s="6">
        <v>0</v>
      </c>
      <c r="K2208" s="30" t="s">
        <v>3207</v>
      </c>
      <c r="L2208" s="4"/>
      <c r="M2208" s="3"/>
    </row>
    <row r="2209" spans="1:13" x14ac:dyDescent="0.3">
      <c r="A2209" s="3">
        <v>101</v>
      </c>
      <c r="B2209" s="3">
        <v>101</v>
      </c>
      <c r="C2209" s="4">
        <v>1049.6279999999999</v>
      </c>
      <c r="D2209" s="4">
        <v>1049.5650000000001</v>
      </c>
      <c r="E2209" s="4">
        <v>1049.691</v>
      </c>
      <c r="F2209" s="4"/>
      <c r="G2209" s="4"/>
      <c r="H2209" s="28" t="s">
        <v>3787</v>
      </c>
      <c r="I2209" s="4"/>
      <c r="J2209" s="6">
        <v>0</v>
      </c>
      <c r="K2209" s="29" t="s">
        <v>3207</v>
      </c>
      <c r="L2209" s="4"/>
      <c r="M2209" s="3"/>
    </row>
    <row r="2210" spans="1:13" x14ac:dyDescent="0.3">
      <c r="A2210" s="3">
        <v>101</v>
      </c>
      <c r="B2210" s="3">
        <v>101</v>
      </c>
      <c r="C2210" s="4">
        <v>1049.999</v>
      </c>
      <c r="D2210" s="4">
        <v>1049.691</v>
      </c>
      <c r="E2210" s="4">
        <v>1050.306</v>
      </c>
      <c r="F2210" s="4"/>
      <c r="G2210" s="4"/>
      <c r="H2210" s="27" t="s">
        <v>3788</v>
      </c>
      <c r="I2210" s="4"/>
      <c r="J2210" s="6">
        <v>0</v>
      </c>
      <c r="K2210" s="30" t="s">
        <v>3207</v>
      </c>
      <c r="L2210" s="4"/>
      <c r="M2210" s="3"/>
    </row>
    <row r="2211" spans="1:13" x14ac:dyDescent="0.3">
      <c r="A2211" s="3">
        <v>101</v>
      </c>
      <c r="B2211" s="3">
        <v>101</v>
      </c>
      <c r="C2211" s="4">
        <v>1050.4110000000001</v>
      </c>
      <c r="D2211" s="4">
        <v>1050.306</v>
      </c>
      <c r="E2211" s="4">
        <v>1050.5150000000001</v>
      </c>
      <c r="F2211" s="4"/>
      <c r="G2211" s="4"/>
      <c r="H2211" s="28" t="s">
        <v>3789</v>
      </c>
      <c r="I2211" s="4"/>
      <c r="J2211" s="6">
        <v>0</v>
      </c>
      <c r="K2211" s="29" t="s">
        <v>3207</v>
      </c>
      <c r="L2211" s="4"/>
      <c r="M2211" s="3"/>
    </row>
    <row r="2212" spans="1:13" x14ac:dyDescent="0.3">
      <c r="A2212" s="3">
        <v>101</v>
      </c>
      <c r="B2212" s="3">
        <v>101</v>
      </c>
      <c r="C2212" s="4">
        <v>1050.7570000000001</v>
      </c>
      <c r="D2212" s="4">
        <v>1050.5150000000001</v>
      </c>
      <c r="E2212" s="4">
        <v>1050.999</v>
      </c>
      <c r="F2212" s="4"/>
      <c r="G2212" s="4"/>
      <c r="H2212" s="27" t="s">
        <v>3790</v>
      </c>
      <c r="I2212" s="4"/>
      <c r="J2212" s="6">
        <v>0</v>
      </c>
      <c r="K2212" s="30" t="s">
        <v>3207</v>
      </c>
      <c r="L2212" s="4"/>
      <c r="M2212" s="3"/>
    </row>
    <row r="2213" spans="1:13" x14ac:dyDescent="0.3">
      <c r="A2213" s="3">
        <v>101</v>
      </c>
      <c r="B2213" s="3">
        <v>101</v>
      </c>
      <c r="C2213" s="4">
        <v>1051.326</v>
      </c>
      <c r="D2213" s="4">
        <v>1050.999</v>
      </c>
      <c r="E2213" s="4">
        <v>1051.652</v>
      </c>
      <c r="F2213" s="4"/>
      <c r="G2213" s="4"/>
      <c r="H2213" s="28" t="s">
        <v>3791</v>
      </c>
      <c r="I2213" s="4"/>
      <c r="J2213" s="6">
        <v>0</v>
      </c>
      <c r="K2213" s="29" t="s">
        <v>3207</v>
      </c>
      <c r="L2213" s="4"/>
      <c r="M2213" s="3"/>
    </row>
    <row r="2214" spans="1:13" x14ac:dyDescent="0.3">
      <c r="A2214" s="3">
        <v>101</v>
      </c>
      <c r="B2214" s="3">
        <v>101</v>
      </c>
      <c r="C2214" s="4">
        <v>1052.1600000000001</v>
      </c>
      <c r="D2214" s="4">
        <v>1051.652</v>
      </c>
      <c r="E2214" s="4">
        <v>1052.6669999999999</v>
      </c>
      <c r="F2214" s="4"/>
      <c r="G2214" s="4"/>
      <c r="H2214" s="27" t="s">
        <v>3792</v>
      </c>
      <c r="I2214" s="4"/>
      <c r="J2214" s="6">
        <v>0</v>
      </c>
      <c r="K2214" s="30" t="s">
        <v>3207</v>
      </c>
      <c r="L2214" s="4"/>
      <c r="M2214" s="3"/>
    </row>
    <row r="2215" spans="1:13" x14ac:dyDescent="0.3">
      <c r="A2215" s="3">
        <v>101</v>
      </c>
      <c r="B2215" s="3">
        <v>101</v>
      </c>
      <c r="C2215" s="4">
        <v>1052.9970000000001</v>
      </c>
      <c r="D2215" s="4">
        <v>1052.6669999999999</v>
      </c>
      <c r="E2215" s="4">
        <v>1053.326</v>
      </c>
      <c r="F2215" s="4"/>
      <c r="G2215" s="4"/>
      <c r="H2215" s="28" t="s">
        <v>3793</v>
      </c>
      <c r="I2215" s="4"/>
      <c r="J2215" s="6">
        <v>0</v>
      </c>
      <c r="K2215" s="29" t="s">
        <v>3207</v>
      </c>
      <c r="L2215" s="4"/>
      <c r="M2215" s="3"/>
    </row>
    <row r="2216" spans="1:13" x14ac:dyDescent="0.3">
      <c r="A2216" s="3">
        <v>101</v>
      </c>
      <c r="B2216" s="3">
        <v>101</v>
      </c>
      <c r="C2216" s="4">
        <v>1054.0119999999999</v>
      </c>
      <c r="D2216" s="4">
        <v>1053.326</v>
      </c>
      <c r="E2216" s="4">
        <v>1054.6969999999999</v>
      </c>
      <c r="F2216" s="4"/>
      <c r="G2216" s="4"/>
      <c r="H2216" s="27" t="s">
        <v>3794</v>
      </c>
      <c r="I2216" s="4"/>
      <c r="J2216" s="6">
        <v>0</v>
      </c>
      <c r="K2216" s="30" t="s">
        <v>3207</v>
      </c>
      <c r="L2216" s="4"/>
      <c r="M2216" s="3"/>
    </row>
    <row r="2217" spans="1:13" x14ac:dyDescent="0.3">
      <c r="A2217" s="3">
        <v>101</v>
      </c>
      <c r="B2217" s="3">
        <v>101</v>
      </c>
      <c r="C2217" s="4">
        <v>1054.9549999999999</v>
      </c>
      <c r="D2217" s="4">
        <v>1054.6969999999999</v>
      </c>
      <c r="E2217" s="4">
        <v>1055.212</v>
      </c>
      <c r="F2217" s="4"/>
      <c r="G2217" s="4"/>
      <c r="H2217" s="28" t="s">
        <v>3795</v>
      </c>
      <c r="I2217" s="4"/>
      <c r="J2217" s="6">
        <v>0</v>
      </c>
      <c r="K2217" s="29" t="s">
        <v>3207</v>
      </c>
      <c r="L2217" s="4"/>
      <c r="M2217" s="3"/>
    </row>
    <row r="2218" spans="1:13" x14ac:dyDescent="0.3">
      <c r="A2218" s="3">
        <v>101</v>
      </c>
      <c r="B2218" s="3">
        <v>101</v>
      </c>
      <c r="C2218" s="4">
        <v>1055.5519999999999</v>
      </c>
      <c r="D2218" s="4">
        <v>1055.212</v>
      </c>
      <c r="E2218" s="4">
        <v>1055.8910000000001</v>
      </c>
      <c r="F2218" s="4"/>
      <c r="G2218" s="4"/>
      <c r="H2218" s="27" t="s">
        <v>3796</v>
      </c>
      <c r="I2218" s="4"/>
      <c r="J2218" s="6">
        <v>0</v>
      </c>
      <c r="K2218" s="30" t="s">
        <v>3207</v>
      </c>
      <c r="L2218" s="4"/>
      <c r="M2218" s="3"/>
    </row>
    <row r="2219" spans="1:13" x14ac:dyDescent="0.3">
      <c r="A2219" s="3">
        <v>101</v>
      </c>
      <c r="B2219" s="3">
        <v>101</v>
      </c>
      <c r="C2219" s="4">
        <v>1056.8489999999999</v>
      </c>
      <c r="D2219" s="4">
        <v>1055.8910000000001</v>
      </c>
      <c r="E2219" s="4">
        <v>1057.806</v>
      </c>
      <c r="F2219" s="4"/>
      <c r="G2219" s="4"/>
      <c r="H2219" s="28" t="s">
        <v>3797</v>
      </c>
      <c r="I2219" s="4"/>
      <c r="J2219" s="6">
        <v>0</v>
      </c>
      <c r="K2219" s="29" t="s">
        <v>3207</v>
      </c>
      <c r="L2219" s="4"/>
      <c r="M2219" s="3"/>
    </row>
    <row r="2220" spans="1:13" x14ac:dyDescent="0.3">
      <c r="A2220" s="3">
        <v>101</v>
      </c>
      <c r="B2220" s="3">
        <v>101</v>
      </c>
      <c r="C2220" s="4">
        <v>1058.3050000000001</v>
      </c>
      <c r="D2220" s="4">
        <v>1057.806</v>
      </c>
      <c r="E2220" s="4">
        <v>1058.8040000000001</v>
      </c>
      <c r="F2220" s="4"/>
      <c r="G2220" s="4"/>
      <c r="H2220" s="27" t="s">
        <v>3798</v>
      </c>
      <c r="I2220" s="4"/>
      <c r="J2220" s="6">
        <v>0</v>
      </c>
      <c r="K2220" s="30" t="s">
        <v>3207</v>
      </c>
      <c r="L2220" s="4"/>
      <c r="M2220" s="3"/>
    </row>
    <row r="2221" spans="1:13" x14ac:dyDescent="0.3">
      <c r="A2221" s="3">
        <v>101</v>
      </c>
      <c r="B2221" s="3">
        <v>101</v>
      </c>
      <c r="C2221" s="4">
        <v>1059.6189999999999</v>
      </c>
      <c r="D2221" s="4">
        <v>1058.8040000000001</v>
      </c>
      <c r="E2221" s="4">
        <v>1060.434</v>
      </c>
      <c r="F2221" s="4"/>
      <c r="G2221" s="4"/>
      <c r="H2221" s="28" t="s">
        <v>3799</v>
      </c>
      <c r="I2221" s="4"/>
      <c r="J2221" s="6">
        <v>0</v>
      </c>
      <c r="K2221" s="29" t="s">
        <v>3207</v>
      </c>
      <c r="L2221" s="4"/>
      <c r="M2221" s="3"/>
    </row>
    <row r="2222" spans="1:13" x14ac:dyDescent="0.3">
      <c r="A2222" s="3">
        <v>101</v>
      </c>
      <c r="B2222" s="3">
        <v>101</v>
      </c>
      <c r="C2222" s="4">
        <v>1060.952</v>
      </c>
      <c r="D2222" s="4">
        <v>1060.434</v>
      </c>
      <c r="E2222" s="4">
        <v>1061.4690000000001</v>
      </c>
      <c r="F2222" s="4"/>
      <c r="G2222" s="4"/>
      <c r="H2222" s="27" t="s">
        <v>3800</v>
      </c>
      <c r="I2222" s="4"/>
      <c r="J2222" s="6">
        <v>0</v>
      </c>
      <c r="K2222" s="30" t="s">
        <v>3207</v>
      </c>
      <c r="L2222" s="4"/>
      <c r="M2222" s="3"/>
    </row>
    <row r="2223" spans="1:13" x14ac:dyDescent="0.3">
      <c r="A2223" s="3">
        <v>101</v>
      </c>
      <c r="B2223" s="3">
        <v>101</v>
      </c>
      <c r="C2223" s="4">
        <v>1061.7139999999999</v>
      </c>
      <c r="D2223" s="4">
        <v>1061.4690000000001</v>
      </c>
      <c r="E2223" s="4">
        <v>1061.9580000000001</v>
      </c>
      <c r="F2223" s="4"/>
      <c r="G2223" s="4"/>
      <c r="H2223" s="28" t="s">
        <v>3801</v>
      </c>
      <c r="I2223" s="4"/>
      <c r="J2223" s="6">
        <v>0</v>
      </c>
      <c r="K2223" s="29" t="s">
        <v>3207</v>
      </c>
      <c r="L2223" s="4"/>
      <c r="M2223" s="3"/>
    </row>
    <row r="2224" spans="1:13" x14ac:dyDescent="0.3">
      <c r="A2224" s="3">
        <v>101</v>
      </c>
      <c r="B2224" s="3">
        <v>101</v>
      </c>
      <c r="C2224" s="4">
        <v>1062.674</v>
      </c>
      <c r="D2224" s="4">
        <v>1061.9580000000001</v>
      </c>
      <c r="E2224" s="4">
        <v>1063.3900000000001</v>
      </c>
      <c r="F2224" s="4"/>
      <c r="G2224" s="4"/>
      <c r="H2224" s="27" t="s">
        <v>3802</v>
      </c>
      <c r="I2224" s="4"/>
      <c r="J2224" s="6">
        <v>0</v>
      </c>
      <c r="K2224" s="30" t="s">
        <v>3207</v>
      </c>
      <c r="L2224" s="4"/>
      <c r="M2224" s="3"/>
    </row>
    <row r="2225" spans="1:13" x14ac:dyDescent="0.3">
      <c r="A2225" s="3">
        <v>101</v>
      </c>
      <c r="B2225" s="3">
        <v>101</v>
      </c>
      <c r="C2225" s="4">
        <v>1064.1510000000001</v>
      </c>
      <c r="D2225" s="4">
        <v>1063.3900000000001</v>
      </c>
      <c r="E2225" s="4">
        <v>1064.912</v>
      </c>
      <c r="F2225" s="4"/>
      <c r="G2225" s="4"/>
      <c r="H2225" s="28" t="s">
        <v>3803</v>
      </c>
      <c r="I2225" s="4"/>
      <c r="J2225" s="6">
        <v>0</v>
      </c>
      <c r="K2225" s="29" t="s">
        <v>3207</v>
      </c>
      <c r="L2225" s="4"/>
      <c r="M2225" s="3"/>
    </row>
    <row r="2226" spans="1:13" x14ac:dyDescent="0.3">
      <c r="A2226" s="3">
        <v>101</v>
      </c>
      <c r="B2226" s="3">
        <v>101</v>
      </c>
      <c r="C2226" s="4">
        <v>1065.1610000000001</v>
      </c>
      <c r="D2226" s="4">
        <v>1064.912</v>
      </c>
      <c r="E2226" s="4">
        <v>1065.4090000000001</v>
      </c>
      <c r="F2226" s="4"/>
      <c r="G2226" s="4"/>
      <c r="H2226" s="27" t="s">
        <v>3804</v>
      </c>
      <c r="I2226" s="4"/>
      <c r="J2226" s="6">
        <v>0</v>
      </c>
      <c r="K2226" s="30" t="s">
        <v>3207</v>
      </c>
      <c r="L2226" s="4"/>
      <c r="M2226" s="3"/>
    </row>
    <row r="2227" spans="1:13" x14ac:dyDescent="0.3">
      <c r="A2227" s="3">
        <v>101</v>
      </c>
      <c r="B2227" s="3">
        <v>101</v>
      </c>
      <c r="C2227" s="4">
        <v>1065.5139999999999</v>
      </c>
      <c r="D2227" s="4">
        <v>1065.4090000000001</v>
      </c>
      <c r="E2227" s="4">
        <v>1065.6179999999999</v>
      </c>
      <c r="F2227" s="4"/>
      <c r="G2227" s="4"/>
      <c r="H2227" s="28" t="s">
        <v>3805</v>
      </c>
      <c r="I2227" s="4"/>
      <c r="J2227" s="6">
        <v>0</v>
      </c>
      <c r="K2227" s="29" t="s">
        <v>3207</v>
      </c>
      <c r="L2227" s="4"/>
      <c r="M2227" s="3"/>
    </row>
    <row r="2228" spans="1:13" x14ac:dyDescent="0.3">
      <c r="A2228" s="3">
        <v>101</v>
      </c>
      <c r="B2228" s="3">
        <v>101</v>
      </c>
      <c r="C2228" s="4">
        <v>1066.0070000000001</v>
      </c>
      <c r="D2228" s="4">
        <v>1065.6179999999999</v>
      </c>
      <c r="E2228" s="4">
        <v>1066.395</v>
      </c>
      <c r="F2228" s="4"/>
      <c r="G2228" s="4"/>
      <c r="H2228" s="27" t="s">
        <v>3806</v>
      </c>
      <c r="I2228" s="4"/>
      <c r="J2228" s="6">
        <v>0</v>
      </c>
      <c r="K2228" s="30" t="s">
        <v>3207</v>
      </c>
      <c r="L2228" s="4"/>
      <c r="M2228" s="3"/>
    </row>
    <row r="2229" spans="1:13" x14ac:dyDescent="0.3">
      <c r="A2229" s="3">
        <v>101</v>
      </c>
      <c r="B2229" s="3">
        <v>101</v>
      </c>
      <c r="C2229" s="4">
        <v>1066.97</v>
      </c>
      <c r="D2229" s="4">
        <v>1066.395</v>
      </c>
      <c r="E2229" s="4">
        <v>1067.5450000000001</v>
      </c>
      <c r="F2229" s="4"/>
      <c r="G2229" s="4"/>
      <c r="H2229" s="28" t="s">
        <v>3807</v>
      </c>
      <c r="I2229" s="4"/>
      <c r="J2229" s="6">
        <v>0</v>
      </c>
      <c r="K2229" s="29" t="s">
        <v>3207</v>
      </c>
      <c r="L2229" s="4"/>
      <c r="M2229" s="3"/>
    </row>
    <row r="2230" spans="1:13" x14ac:dyDescent="0.3">
      <c r="A2230" s="3">
        <v>101</v>
      </c>
      <c r="B2230" s="3">
        <v>101</v>
      </c>
      <c r="C2230" s="4">
        <v>1067.9670000000001</v>
      </c>
      <c r="D2230" s="4">
        <v>1067.5450000000001</v>
      </c>
      <c r="E2230" s="4">
        <v>1068.3879999999999</v>
      </c>
      <c r="F2230" s="4"/>
      <c r="G2230" s="4"/>
      <c r="H2230" s="27" t="s">
        <v>3808</v>
      </c>
      <c r="I2230" s="4"/>
      <c r="J2230" s="6">
        <v>0</v>
      </c>
      <c r="K2230" s="30" t="s">
        <v>3207</v>
      </c>
      <c r="L2230" s="4"/>
      <c r="M2230" s="3"/>
    </row>
    <row r="2231" spans="1:13" x14ac:dyDescent="0.3">
      <c r="A2231" s="3">
        <v>101</v>
      </c>
      <c r="B2231" s="3">
        <v>101</v>
      </c>
      <c r="C2231" s="4">
        <v>1068.587</v>
      </c>
      <c r="D2231" s="4">
        <v>1068.3879999999999</v>
      </c>
      <c r="E2231" s="4">
        <v>1068.7850000000001</v>
      </c>
      <c r="F2231" s="4"/>
      <c r="G2231" s="4"/>
      <c r="H2231" s="28" t="s">
        <v>3809</v>
      </c>
      <c r="I2231" s="4"/>
      <c r="J2231" s="6">
        <v>0</v>
      </c>
      <c r="K2231" s="29" t="s">
        <v>3207</v>
      </c>
      <c r="L2231" s="4"/>
      <c r="M2231" s="3"/>
    </row>
    <row r="2232" spans="1:13" x14ac:dyDescent="0.3">
      <c r="A2232" s="3">
        <v>101</v>
      </c>
      <c r="B2232" s="3">
        <v>101</v>
      </c>
      <c r="C2232" s="4">
        <v>1069.0029999999999</v>
      </c>
      <c r="D2232" s="4">
        <v>1068.7850000000001</v>
      </c>
      <c r="E2232" s="4">
        <v>1069.22</v>
      </c>
      <c r="F2232" s="4"/>
      <c r="G2232" s="4"/>
      <c r="H2232" s="27" t="s">
        <v>3810</v>
      </c>
      <c r="I2232" s="4"/>
      <c r="J2232" s="6">
        <v>0</v>
      </c>
      <c r="K2232" s="30" t="s">
        <v>3207</v>
      </c>
      <c r="L2232" s="4"/>
      <c r="M2232" s="3"/>
    </row>
    <row r="2233" spans="1:13" x14ac:dyDescent="0.3">
      <c r="A2233" s="3">
        <v>101</v>
      </c>
      <c r="B2233" s="3">
        <v>101</v>
      </c>
      <c r="C2233" s="4">
        <v>1070.336</v>
      </c>
      <c r="D2233" s="4">
        <v>1069.22</v>
      </c>
      <c r="E2233" s="4">
        <v>1071.451</v>
      </c>
      <c r="F2233" s="4"/>
      <c r="G2233" s="4"/>
      <c r="H2233" s="28" t="s">
        <v>3811</v>
      </c>
      <c r="I2233" s="4"/>
      <c r="J2233" s="6">
        <v>0</v>
      </c>
      <c r="K2233" s="29" t="s">
        <v>3207</v>
      </c>
      <c r="L2233" s="4"/>
      <c r="M2233" s="3"/>
    </row>
    <row r="2234" spans="1:13" x14ac:dyDescent="0.3">
      <c r="A2234" s="3">
        <v>101</v>
      </c>
      <c r="B2234" s="3">
        <v>101</v>
      </c>
      <c r="C2234" s="4">
        <v>1071.607</v>
      </c>
      <c r="D2234" s="4">
        <v>1071.451</v>
      </c>
      <c r="E2234" s="4">
        <v>1071.7619999999999</v>
      </c>
      <c r="F2234" s="4"/>
      <c r="G2234" s="4"/>
      <c r="H2234" s="27" t="s">
        <v>3812</v>
      </c>
      <c r="I2234" s="4"/>
      <c r="J2234" s="6">
        <v>0</v>
      </c>
      <c r="K2234" s="30" t="s">
        <v>3207</v>
      </c>
      <c r="L2234" s="4"/>
      <c r="M2234" s="3"/>
    </row>
    <row r="2235" spans="1:13" x14ac:dyDescent="0.3">
      <c r="A2235" s="3">
        <v>101</v>
      </c>
      <c r="B2235" s="3">
        <v>101</v>
      </c>
      <c r="C2235" s="4">
        <v>1072.04</v>
      </c>
      <c r="D2235" s="4">
        <v>1071.7619999999999</v>
      </c>
      <c r="E2235" s="4">
        <v>1072.318</v>
      </c>
      <c r="F2235" s="4"/>
      <c r="G2235" s="4"/>
      <c r="H2235" s="28" t="s">
        <v>3813</v>
      </c>
      <c r="I2235" s="4"/>
      <c r="J2235" s="6">
        <v>0</v>
      </c>
      <c r="K2235" s="29" t="s">
        <v>3207</v>
      </c>
      <c r="L2235" s="4"/>
      <c r="M2235" s="3"/>
    </row>
    <row r="2236" spans="1:13" x14ac:dyDescent="0.3">
      <c r="A2236" s="3">
        <v>101</v>
      </c>
      <c r="B2236" s="3">
        <v>101</v>
      </c>
      <c r="C2236" s="4">
        <v>1072.6210000000001</v>
      </c>
      <c r="D2236" s="4">
        <v>1072.318</v>
      </c>
      <c r="E2236" s="4">
        <v>1072.923</v>
      </c>
      <c r="F2236" s="4"/>
      <c r="G2236" s="4"/>
      <c r="H2236" s="27" t="s">
        <v>3814</v>
      </c>
      <c r="I2236" s="4"/>
      <c r="J2236" s="6">
        <v>0</v>
      </c>
      <c r="K2236" s="30" t="s">
        <v>3207</v>
      </c>
      <c r="L2236" s="4"/>
      <c r="M2236" s="3"/>
    </row>
    <row r="2237" spans="1:13" x14ac:dyDescent="0.3">
      <c r="A2237" s="3">
        <v>101</v>
      </c>
      <c r="B2237" s="3">
        <v>101</v>
      </c>
      <c r="C2237" s="4">
        <v>1072.9690000000001</v>
      </c>
      <c r="D2237" s="4">
        <v>1072.923</v>
      </c>
      <c r="E2237" s="4">
        <v>1073.0150000000001</v>
      </c>
      <c r="F2237" s="4"/>
      <c r="G2237" s="4"/>
      <c r="H2237" s="28" t="s">
        <v>3815</v>
      </c>
      <c r="I2237" s="4"/>
      <c r="J2237" s="6">
        <v>0</v>
      </c>
      <c r="K2237" s="29" t="s">
        <v>3207</v>
      </c>
      <c r="L2237" s="4"/>
      <c r="M2237" s="3"/>
    </row>
    <row r="2238" spans="1:13" x14ac:dyDescent="0.3">
      <c r="A2238" s="3">
        <v>101</v>
      </c>
      <c r="B2238" s="3">
        <v>101</v>
      </c>
      <c r="C2238" s="4">
        <v>1073.3699999999999</v>
      </c>
      <c r="D2238" s="4">
        <v>1073.0150000000001</v>
      </c>
      <c r="E2238" s="4">
        <v>1073.7249999999999</v>
      </c>
      <c r="F2238" s="4"/>
      <c r="G2238" s="4"/>
      <c r="H2238" s="27" t="s">
        <v>3816</v>
      </c>
      <c r="I2238" s="4"/>
      <c r="J2238" s="6">
        <v>0</v>
      </c>
      <c r="K2238" s="30" t="s">
        <v>3207</v>
      </c>
      <c r="L2238" s="4"/>
      <c r="M2238" s="3"/>
    </row>
    <row r="2239" spans="1:13" x14ac:dyDescent="0.3">
      <c r="A2239" s="3">
        <v>101</v>
      </c>
      <c r="B2239" s="3">
        <v>101</v>
      </c>
      <c r="C2239" s="4">
        <v>1073.8710000000001</v>
      </c>
      <c r="D2239" s="4">
        <v>1073.7249999999999</v>
      </c>
      <c r="E2239" s="4">
        <v>1074.0170000000001</v>
      </c>
      <c r="F2239" s="4"/>
      <c r="G2239" s="4"/>
      <c r="H2239" s="28" t="s">
        <v>3817</v>
      </c>
      <c r="I2239" s="4"/>
      <c r="J2239" s="6">
        <v>0</v>
      </c>
      <c r="K2239" s="29" t="s">
        <v>3207</v>
      </c>
      <c r="L2239" s="4"/>
      <c r="M2239" s="3"/>
    </row>
    <row r="2240" spans="1:13" x14ac:dyDescent="0.3">
      <c r="A2240" s="3">
        <v>101</v>
      </c>
      <c r="B2240" s="3">
        <v>101</v>
      </c>
      <c r="C2240" s="4">
        <v>1074.1859999999999</v>
      </c>
      <c r="D2240" s="4">
        <v>1074.0170000000001</v>
      </c>
      <c r="E2240" s="4">
        <v>1074.355</v>
      </c>
      <c r="F2240" s="4"/>
      <c r="G2240" s="4"/>
      <c r="H2240" s="27" t="s">
        <v>3818</v>
      </c>
      <c r="I2240" s="4"/>
      <c r="J2240" s="6">
        <v>0</v>
      </c>
      <c r="K2240" s="30" t="s">
        <v>3207</v>
      </c>
      <c r="L2240" s="4"/>
      <c r="M2240" s="3"/>
    </row>
    <row r="2241" spans="1:13" x14ac:dyDescent="0.3">
      <c r="A2241" s="3">
        <v>101</v>
      </c>
      <c r="B2241" s="3">
        <v>101</v>
      </c>
      <c r="C2241" s="4">
        <v>1074.502</v>
      </c>
      <c r="D2241" s="4">
        <v>1074.355</v>
      </c>
      <c r="E2241" s="4">
        <v>1074.6489999999999</v>
      </c>
      <c r="F2241" s="4"/>
      <c r="G2241" s="4"/>
      <c r="H2241" s="28" t="s">
        <v>3819</v>
      </c>
      <c r="I2241" s="4"/>
      <c r="J2241" s="6">
        <v>0</v>
      </c>
      <c r="K2241" s="29" t="s">
        <v>3207</v>
      </c>
      <c r="L2241" s="4"/>
      <c r="M2241" s="3"/>
    </row>
    <row r="2242" spans="1:13" x14ac:dyDescent="0.3">
      <c r="A2242" s="3">
        <v>101</v>
      </c>
      <c r="B2242" s="3">
        <v>101</v>
      </c>
      <c r="C2242" s="4">
        <v>1074.885</v>
      </c>
      <c r="D2242" s="4">
        <v>1074.6489999999999</v>
      </c>
      <c r="E2242" s="4">
        <v>1075.1210000000001</v>
      </c>
      <c r="F2242" s="4"/>
      <c r="G2242" s="4"/>
      <c r="H2242" s="27" t="s">
        <v>3820</v>
      </c>
      <c r="I2242" s="4"/>
      <c r="J2242" s="6">
        <v>0</v>
      </c>
      <c r="K2242" s="30" t="s">
        <v>3207</v>
      </c>
      <c r="L2242" s="4"/>
      <c r="M2242" s="3"/>
    </row>
    <row r="2243" spans="1:13" x14ac:dyDescent="0.3">
      <c r="A2243" s="3">
        <v>101</v>
      </c>
      <c r="B2243" s="3">
        <v>101</v>
      </c>
      <c r="C2243" s="4">
        <v>1075.33</v>
      </c>
      <c r="D2243" s="4">
        <v>1075.1210000000001</v>
      </c>
      <c r="E2243" s="4">
        <v>1075.538</v>
      </c>
      <c r="F2243" s="4"/>
      <c r="G2243" s="4"/>
      <c r="H2243" s="28" t="s">
        <v>3821</v>
      </c>
      <c r="I2243" s="4"/>
      <c r="J2243" s="6">
        <v>0</v>
      </c>
      <c r="K2243" s="29" t="s">
        <v>3207</v>
      </c>
      <c r="L2243" s="4"/>
      <c r="M2243" s="3"/>
    </row>
    <row r="2244" spans="1:13" x14ac:dyDescent="0.3">
      <c r="A2244" s="3">
        <v>101</v>
      </c>
      <c r="B2244" s="3">
        <v>101</v>
      </c>
      <c r="C2244" s="4">
        <v>1076.087</v>
      </c>
      <c r="D2244" s="4">
        <v>1075.538</v>
      </c>
      <c r="E2244" s="4">
        <v>1076.635</v>
      </c>
      <c r="F2244" s="4"/>
      <c r="G2244" s="4"/>
      <c r="H2244" s="27" t="s">
        <v>3822</v>
      </c>
      <c r="I2244" s="4"/>
      <c r="J2244" s="6">
        <v>0</v>
      </c>
      <c r="K2244" s="30" t="s">
        <v>3207</v>
      </c>
      <c r="L2244" s="4"/>
      <c r="M2244" s="3"/>
    </row>
    <row r="2245" spans="1:13" x14ac:dyDescent="0.3">
      <c r="A2245" s="3">
        <v>101</v>
      </c>
      <c r="B2245" s="3">
        <v>101</v>
      </c>
      <c r="C2245" s="4">
        <v>1076.874</v>
      </c>
      <c r="D2245" s="4">
        <v>1076.635</v>
      </c>
      <c r="E2245" s="4">
        <v>1077.1130000000001</v>
      </c>
      <c r="F2245" s="4"/>
      <c r="G2245" s="4"/>
      <c r="H2245" s="28" t="s">
        <v>3823</v>
      </c>
      <c r="I2245" s="4"/>
      <c r="J2245" s="6">
        <v>0</v>
      </c>
      <c r="K2245" s="29" t="s">
        <v>3207</v>
      </c>
      <c r="L2245" s="4"/>
      <c r="M2245" s="3"/>
    </row>
    <row r="2246" spans="1:13" x14ac:dyDescent="0.3">
      <c r="A2246" s="3">
        <v>101</v>
      </c>
      <c r="B2246" s="3">
        <v>101</v>
      </c>
      <c r="C2246" s="4">
        <v>1077.508</v>
      </c>
      <c r="D2246" s="4">
        <v>1077.1130000000001</v>
      </c>
      <c r="E2246" s="4">
        <v>1077.903</v>
      </c>
      <c r="F2246" s="4"/>
      <c r="G2246" s="4"/>
      <c r="H2246" s="27" t="s">
        <v>3824</v>
      </c>
      <c r="I2246" s="4"/>
      <c r="J2246" s="6">
        <v>0</v>
      </c>
      <c r="K2246" s="30" t="s">
        <v>3207</v>
      </c>
      <c r="L2246" s="4"/>
      <c r="M2246" s="3"/>
    </row>
    <row r="2247" spans="1:13" x14ac:dyDescent="0.3">
      <c r="A2247" s="3">
        <v>101</v>
      </c>
      <c r="B2247" s="3">
        <v>101</v>
      </c>
      <c r="C2247" s="4">
        <v>1078.0219999999999</v>
      </c>
      <c r="D2247" s="4">
        <v>1077.903</v>
      </c>
      <c r="E2247" s="4">
        <v>1078.1410000000001</v>
      </c>
      <c r="F2247" s="4"/>
      <c r="G2247" s="4"/>
      <c r="H2247" s="28" t="s">
        <v>3825</v>
      </c>
      <c r="I2247" s="4"/>
      <c r="J2247" s="6">
        <v>0</v>
      </c>
      <c r="K2247" s="29" t="s">
        <v>3207</v>
      </c>
      <c r="L2247" s="4"/>
      <c r="M2247" s="3"/>
    </row>
    <row r="2248" spans="1:13" x14ac:dyDescent="0.3">
      <c r="A2248" s="3">
        <v>101</v>
      </c>
      <c r="B2248" s="3">
        <v>101</v>
      </c>
      <c r="C2248" s="4">
        <v>1078.3920000000001</v>
      </c>
      <c r="D2248" s="4">
        <v>1078.1410000000001</v>
      </c>
      <c r="E2248" s="4">
        <v>1078.643</v>
      </c>
      <c r="F2248" s="4"/>
      <c r="G2248" s="4"/>
      <c r="H2248" s="27" t="s">
        <v>3826</v>
      </c>
      <c r="I2248" s="4"/>
      <c r="J2248" s="6">
        <v>0</v>
      </c>
      <c r="K2248" s="30" t="s">
        <v>3207</v>
      </c>
      <c r="L2248" s="4"/>
      <c r="M2248" s="3"/>
    </row>
    <row r="2249" spans="1:13" x14ac:dyDescent="0.3">
      <c r="A2249" s="3">
        <v>101</v>
      </c>
      <c r="B2249" s="3">
        <v>101</v>
      </c>
      <c r="C2249" s="4">
        <v>1079.1279999999999</v>
      </c>
      <c r="D2249" s="4">
        <v>1078.643</v>
      </c>
      <c r="E2249" s="4">
        <v>1079.6120000000001</v>
      </c>
      <c r="F2249" s="4"/>
      <c r="G2249" s="4"/>
      <c r="H2249" s="28" t="s">
        <v>3827</v>
      </c>
      <c r="I2249" s="4"/>
      <c r="J2249" s="6">
        <v>0</v>
      </c>
      <c r="K2249" s="29" t="s">
        <v>3207</v>
      </c>
      <c r="L2249" s="4"/>
      <c r="M2249" s="3"/>
    </row>
    <row r="2250" spans="1:13" x14ac:dyDescent="0.3">
      <c r="A2250" s="3">
        <v>101</v>
      </c>
      <c r="B2250" s="3">
        <v>101</v>
      </c>
      <c r="C2250" s="4">
        <v>1080.03</v>
      </c>
      <c r="D2250" s="4">
        <v>1079.6120000000001</v>
      </c>
      <c r="E2250" s="4">
        <v>1080.4469999999999</v>
      </c>
      <c r="F2250" s="4"/>
      <c r="G2250" s="4"/>
      <c r="H2250" s="27" t="s">
        <v>3828</v>
      </c>
      <c r="I2250" s="4"/>
      <c r="J2250" s="6">
        <v>0</v>
      </c>
      <c r="K2250" s="30" t="s">
        <v>3207</v>
      </c>
      <c r="L2250" s="4"/>
      <c r="M2250" s="3"/>
    </row>
    <row r="2251" spans="1:13" x14ac:dyDescent="0.3">
      <c r="A2251" s="3">
        <v>101</v>
      </c>
      <c r="B2251" s="3">
        <v>101</v>
      </c>
      <c r="C2251" s="4">
        <v>1080.77</v>
      </c>
      <c r="D2251" s="4">
        <v>1080.4469999999999</v>
      </c>
      <c r="E2251" s="4">
        <v>1081.0920000000001</v>
      </c>
      <c r="F2251" s="4"/>
      <c r="G2251" s="4"/>
      <c r="H2251" s="28" t="s">
        <v>3829</v>
      </c>
      <c r="I2251" s="4"/>
      <c r="J2251" s="6">
        <v>0</v>
      </c>
      <c r="K2251" s="29" t="s">
        <v>3207</v>
      </c>
      <c r="L2251" s="4"/>
      <c r="M2251" s="3"/>
    </row>
    <row r="2252" spans="1:13" x14ac:dyDescent="0.3">
      <c r="A2252" s="3">
        <v>101</v>
      </c>
      <c r="B2252" s="3">
        <v>101</v>
      </c>
      <c r="C2252" s="4">
        <v>1081.55</v>
      </c>
      <c r="D2252" s="4">
        <v>1081.0920000000001</v>
      </c>
      <c r="E2252" s="4">
        <v>1082.008</v>
      </c>
      <c r="F2252" s="4"/>
      <c r="G2252" s="4"/>
      <c r="H2252" s="27" t="s">
        <v>3830</v>
      </c>
      <c r="I2252" s="4"/>
      <c r="J2252" s="6">
        <v>0</v>
      </c>
      <c r="K2252" s="30" t="s">
        <v>3207</v>
      </c>
      <c r="L2252" s="4"/>
      <c r="M2252" s="3"/>
    </row>
    <row r="2253" spans="1:13" x14ac:dyDescent="0.3">
      <c r="A2253" s="3">
        <v>101</v>
      </c>
      <c r="B2253" s="3">
        <v>101</v>
      </c>
      <c r="C2253" s="4">
        <v>1082.5709999999999</v>
      </c>
      <c r="D2253" s="4">
        <v>1082.008</v>
      </c>
      <c r="E2253" s="4">
        <v>1083.133</v>
      </c>
      <c r="F2253" s="4"/>
      <c r="G2253" s="4"/>
      <c r="H2253" s="28" t="s">
        <v>3831</v>
      </c>
      <c r="I2253" s="4"/>
      <c r="J2253" s="6">
        <v>0</v>
      </c>
      <c r="K2253" s="29" t="s">
        <v>3207</v>
      </c>
      <c r="L2253" s="4"/>
      <c r="M2253" s="3"/>
    </row>
    <row r="2254" spans="1:13" x14ac:dyDescent="0.3">
      <c r="A2254" s="3">
        <v>101</v>
      </c>
      <c r="B2254" s="3">
        <v>101</v>
      </c>
      <c r="C2254" s="4">
        <v>1083.5250000000001</v>
      </c>
      <c r="D2254" s="4">
        <v>1083.133</v>
      </c>
      <c r="E2254" s="4">
        <v>1083.9159999999999</v>
      </c>
      <c r="F2254" s="4"/>
      <c r="G2254" s="4"/>
      <c r="H2254" s="27" t="s">
        <v>3832</v>
      </c>
      <c r="I2254" s="4"/>
      <c r="J2254" s="6">
        <v>0</v>
      </c>
      <c r="K2254" s="30" t="s">
        <v>3207</v>
      </c>
      <c r="L2254" s="4"/>
      <c r="M2254" s="3"/>
    </row>
    <row r="2255" spans="1:13" x14ac:dyDescent="0.3">
      <c r="A2255" s="3">
        <v>101</v>
      </c>
      <c r="B2255" s="3">
        <v>101</v>
      </c>
      <c r="C2255" s="4">
        <v>1084.2940000000001</v>
      </c>
      <c r="D2255" s="4">
        <v>1083.9159999999999</v>
      </c>
      <c r="E2255" s="4">
        <v>1084.672</v>
      </c>
      <c r="F2255" s="4"/>
      <c r="G2255" s="4"/>
      <c r="H2255" s="28" t="s">
        <v>3833</v>
      </c>
      <c r="I2255" s="4"/>
      <c r="J2255" s="6">
        <v>0</v>
      </c>
      <c r="K2255" s="29" t="s">
        <v>3207</v>
      </c>
      <c r="L2255" s="4"/>
      <c r="M2255" s="3"/>
    </row>
    <row r="2256" spans="1:13" x14ac:dyDescent="0.3">
      <c r="A2256" s="3">
        <v>101</v>
      </c>
      <c r="B2256" s="3">
        <v>101</v>
      </c>
      <c r="C2256" s="4">
        <v>1085.3889999999999</v>
      </c>
      <c r="D2256" s="4">
        <v>1084.672</v>
      </c>
      <c r="E2256" s="4">
        <v>1086.106</v>
      </c>
      <c r="F2256" s="4"/>
      <c r="G2256" s="4"/>
      <c r="H2256" s="27" t="s">
        <v>3834</v>
      </c>
      <c r="I2256" s="4"/>
      <c r="J2256" s="6">
        <v>0</v>
      </c>
      <c r="K2256" s="30" t="s">
        <v>3207</v>
      </c>
      <c r="L2256" s="4"/>
      <c r="M2256" s="3"/>
    </row>
    <row r="2257" spans="1:13" x14ac:dyDescent="0.3">
      <c r="A2257" s="3">
        <v>101</v>
      </c>
      <c r="B2257" s="3">
        <v>101</v>
      </c>
      <c r="C2257" s="4">
        <v>1086.3130000000001</v>
      </c>
      <c r="D2257" s="4">
        <v>1086.106</v>
      </c>
      <c r="E2257" s="4">
        <v>1086.52</v>
      </c>
      <c r="F2257" s="4"/>
      <c r="G2257" s="4"/>
      <c r="H2257" s="28" t="s">
        <v>3835</v>
      </c>
      <c r="I2257" s="4"/>
      <c r="J2257" s="6">
        <v>0</v>
      </c>
      <c r="K2257" s="29" t="s">
        <v>3207</v>
      </c>
      <c r="L2257" s="4"/>
      <c r="M2257" s="3"/>
    </row>
    <row r="2258" spans="1:13" x14ac:dyDescent="0.3">
      <c r="A2258" s="3">
        <v>101</v>
      </c>
      <c r="B2258" s="3">
        <v>101</v>
      </c>
      <c r="C2258" s="4">
        <v>1087.278</v>
      </c>
      <c r="D2258" s="4">
        <v>1086.52</v>
      </c>
      <c r="E2258" s="4">
        <v>1088.0350000000001</v>
      </c>
      <c r="F2258" s="4"/>
      <c r="G2258" s="4"/>
      <c r="H2258" s="27" t="s">
        <v>3836</v>
      </c>
      <c r="I2258" s="4"/>
      <c r="J2258" s="6">
        <v>0</v>
      </c>
      <c r="K2258" s="30" t="s">
        <v>3207</v>
      </c>
      <c r="L2258" s="4"/>
      <c r="M2258" s="3"/>
    </row>
    <row r="2259" spans="1:13" x14ac:dyDescent="0.3">
      <c r="A2259" s="3">
        <v>101</v>
      </c>
      <c r="B2259" s="3">
        <v>101</v>
      </c>
      <c r="C2259" s="4">
        <v>1088.471</v>
      </c>
      <c r="D2259" s="4">
        <v>1088.0350000000001</v>
      </c>
      <c r="E2259" s="4">
        <v>1088.9069999999999</v>
      </c>
      <c r="F2259" s="4"/>
      <c r="G2259" s="4"/>
      <c r="H2259" s="28" t="s">
        <v>3837</v>
      </c>
      <c r="I2259" s="4"/>
      <c r="J2259" s="6">
        <v>0</v>
      </c>
      <c r="K2259" s="29" t="s">
        <v>3207</v>
      </c>
      <c r="L2259" s="4"/>
      <c r="M2259" s="3"/>
    </row>
    <row r="2260" spans="1:13" x14ac:dyDescent="0.3">
      <c r="A2260" s="3">
        <v>101</v>
      </c>
      <c r="B2260" s="3">
        <v>101</v>
      </c>
      <c r="C2260" s="4">
        <v>1089.348</v>
      </c>
      <c r="D2260" s="4">
        <v>1088.9069999999999</v>
      </c>
      <c r="E2260" s="4">
        <v>1089.788</v>
      </c>
      <c r="F2260" s="4"/>
      <c r="G2260" s="4"/>
      <c r="H2260" s="27" t="s">
        <v>3838</v>
      </c>
      <c r="I2260" s="4"/>
      <c r="J2260" s="6">
        <v>0</v>
      </c>
      <c r="K2260" s="30" t="s">
        <v>3207</v>
      </c>
      <c r="L2260" s="4"/>
      <c r="M2260" s="3"/>
    </row>
    <row r="2261" spans="1:13" x14ac:dyDescent="0.3">
      <c r="A2261" s="3">
        <v>101</v>
      </c>
      <c r="B2261" s="3">
        <v>101</v>
      </c>
      <c r="C2261" s="4">
        <v>1089.973</v>
      </c>
      <c r="D2261" s="4">
        <v>1089.788</v>
      </c>
      <c r="E2261" s="4">
        <v>1090.1569999999999</v>
      </c>
      <c r="F2261" s="4"/>
      <c r="G2261" s="4"/>
      <c r="H2261" s="28" t="s">
        <v>3839</v>
      </c>
      <c r="I2261" s="4"/>
      <c r="J2261" s="6">
        <v>0</v>
      </c>
      <c r="K2261" s="29" t="s">
        <v>3207</v>
      </c>
      <c r="L2261" s="4"/>
      <c r="M2261" s="3"/>
    </row>
    <row r="2262" spans="1:13" x14ac:dyDescent="0.3">
      <c r="A2262" s="3">
        <v>101</v>
      </c>
      <c r="B2262" s="3">
        <v>101</v>
      </c>
      <c r="C2262" s="4">
        <v>1090.683</v>
      </c>
      <c r="D2262" s="4">
        <v>1090.1569999999999</v>
      </c>
      <c r="E2262" s="4">
        <v>1091.2080000000001</v>
      </c>
      <c r="F2262" s="4"/>
      <c r="G2262" s="4"/>
      <c r="H2262" s="27" t="s">
        <v>3840</v>
      </c>
      <c r="I2262" s="4"/>
      <c r="J2262" s="6">
        <v>0</v>
      </c>
      <c r="K2262" s="30" t="s">
        <v>3207</v>
      </c>
      <c r="L2262" s="4"/>
      <c r="M2262" s="3"/>
    </row>
    <row r="2263" spans="1:13" x14ac:dyDescent="0.3">
      <c r="A2263" s="3">
        <v>101</v>
      </c>
      <c r="B2263" s="3">
        <v>101</v>
      </c>
      <c r="C2263" s="4">
        <v>1091.3869999999999</v>
      </c>
      <c r="D2263" s="4">
        <v>1091.2080000000001</v>
      </c>
      <c r="E2263" s="4">
        <v>1091.5650000000001</v>
      </c>
      <c r="F2263" s="4"/>
      <c r="G2263" s="4"/>
      <c r="H2263" s="28" t="s">
        <v>3841</v>
      </c>
      <c r="I2263" s="4"/>
      <c r="J2263" s="6">
        <v>0</v>
      </c>
      <c r="K2263" s="29" t="s">
        <v>3207</v>
      </c>
      <c r="L2263" s="4"/>
      <c r="M2263" s="3"/>
    </row>
    <row r="2264" spans="1:13" x14ac:dyDescent="0.3">
      <c r="A2264" s="3">
        <v>101</v>
      </c>
      <c r="B2264" s="3">
        <v>101</v>
      </c>
      <c r="C2264" s="4">
        <v>1092.182</v>
      </c>
      <c r="D2264" s="4">
        <v>1091.5650000000001</v>
      </c>
      <c r="E2264" s="4">
        <v>1092.798</v>
      </c>
      <c r="F2264" s="4"/>
      <c r="G2264" s="4"/>
      <c r="H2264" s="27" t="s">
        <v>3842</v>
      </c>
      <c r="I2264" s="4"/>
      <c r="J2264" s="6">
        <v>0</v>
      </c>
      <c r="K2264" s="30" t="s">
        <v>3207</v>
      </c>
      <c r="L2264" s="4"/>
      <c r="M2264" s="3"/>
    </row>
    <row r="2265" spans="1:13" x14ac:dyDescent="0.3">
      <c r="A2265" s="3">
        <v>101</v>
      </c>
      <c r="B2265" s="3">
        <v>101</v>
      </c>
      <c r="C2265" s="4">
        <v>1093.556</v>
      </c>
      <c r="D2265" s="4">
        <v>1092.798</v>
      </c>
      <c r="E2265" s="4">
        <v>1094.3140000000001</v>
      </c>
      <c r="F2265" s="4"/>
      <c r="G2265" s="4"/>
      <c r="H2265" s="28" t="s">
        <v>3843</v>
      </c>
      <c r="I2265" s="4"/>
      <c r="J2265" s="6">
        <v>0</v>
      </c>
      <c r="K2265" s="29" t="s">
        <v>3207</v>
      </c>
      <c r="L2265" s="4"/>
      <c r="M2265" s="3"/>
    </row>
    <row r="2266" spans="1:13" x14ac:dyDescent="0.3">
      <c r="A2266" s="3">
        <v>101</v>
      </c>
      <c r="B2266" s="3">
        <v>101</v>
      </c>
      <c r="C2266" s="4">
        <v>1094.78</v>
      </c>
      <c r="D2266" s="4">
        <v>1094.3140000000001</v>
      </c>
      <c r="E2266" s="4">
        <v>1095.2460000000001</v>
      </c>
      <c r="F2266" s="4"/>
      <c r="G2266" s="4"/>
      <c r="H2266" s="27" t="s">
        <v>3844</v>
      </c>
      <c r="I2266" s="4"/>
      <c r="J2266" s="6">
        <v>0</v>
      </c>
      <c r="K2266" s="30" t="s">
        <v>3207</v>
      </c>
      <c r="L2266" s="4"/>
      <c r="M2266" s="3"/>
    </row>
    <row r="2267" spans="1:13" x14ac:dyDescent="0.3">
      <c r="A2267" s="3">
        <v>101</v>
      </c>
      <c r="B2267" s="3">
        <v>101</v>
      </c>
      <c r="C2267" s="4">
        <v>1095.444</v>
      </c>
      <c r="D2267" s="4">
        <v>1095.2460000000001</v>
      </c>
      <c r="E2267" s="4">
        <v>1095.6420000000001</v>
      </c>
      <c r="F2267" s="4"/>
      <c r="G2267" s="4"/>
      <c r="H2267" s="28" t="s">
        <v>3845</v>
      </c>
      <c r="I2267" s="4"/>
      <c r="J2267" s="6">
        <v>0</v>
      </c>
      <c r="K2267" s="29" t="s">
        <v>3207</v>
      </c>
      <c r="L2267" s="4"/>
      <c r="M2267" s="3"/>
    </row>
    <row r="2268" spans="1:13" x14ac:dyDescent="0.3">
      <c r="A2268" s="3">
        <v>101</v>
      </c>
      <c r="B2268" s="3">
        <v>101</v>
      </c>
      <c r="C2268" s="4">
        <v>1095.992</v>
      </c>
      <c r="D2268" s="4">
        <v>1095.6420000000001</v>
      </c>
      <c r="E2268" s="4">
        <v>1096.3420000000001</v>
      </c>
      <c r="F2268" s="4"/>
      <c r="G2268" s="4"/>
      <c r="H2268" s="27" t="s">
        <v>3846</v>
      </c>
      <c r="I2268" s="4"/>
      <c r="J2268" s="6">
        <v>0</v>
      </c>
      <c r="K2268" s="30" t="s">
        <v>3207</v>
      </c>
      <c r="L2268" s="4"/>
      <c r="M2268" s="3"/>
    </row>
    <row r="2269" spans="1:13" x14ac:dyDescent="0.3">
      <c r="A2269" s="3">
        <v>101</v>
      </c>
      <c r="B2269" s="3">
        <v>101</v>
      </c>
      <c r="C2269" s="4">
        <v>1096.58</v>
      </c>
      <c r="D2269" s="4">
        <v>1096.3420000000001</v>
      </c>
      <c r="E2269" s="4">
        <v>1096.818</v>
      </c>
      <c r="F2269" s="4"/>
      <c r="G2269" s="4"/>
      <c r="H2269" s="28" t="s">
        <v>3847</v>
      </c>
      <c r="I2269" s="4"/>
      <c r="J2269" s="6">
        <v>0</v>
      </c>
      <c r="K2269" s="29" t="s">
        <v>3207</v>
      </c>
      <c r="L2269" s="4"/>
      <c r="M2269" s="3"/>
    </row>
    <row r="2270" spans="1:13" x14ac:dyDescent="0.3">
      <c r="A2270" s="3">
        <v>101</v>
      </c>
      <c r="B2270" s="3">
        <v>101</v>
      </c>
      <c r="C2270" s="4">
        <v>1097.1959999999999</v>
      </c>
      <c r="D2270" s="4">
        <v>1096.818</v>
      </c>
      <c r="E2270" s="4">
        <v>1097.5730000000001</v>
      </c>
      <c r="F2270" s="4"/>
      <c r="G2270" s="4"/>
      <c r="H2270" s="27" t="s">
        <v>3848</v>
      </c>
      <c r="I2270" s="4"/>
      <c r="J2270" s="6">
        <v>0</v>
      </c>
      <c r="K2270" s="30" t="s">
        <v>3207</v>
      </c>
      <c r="L2270" s="4"/>
      <c r="M2270" s="3"/>
    </row>
    <row r="2271" spans="1:13" x14ac:dyDescent="0.3">
      <c r="A2271" s="3">
        <v>101</v>
      </c>
      <c r="B2271" s="3">
        <v>101</v>
      </c>
      <c r="C2271" s="4">
        <v>1097.883</v>
      </c>
      <c r="D2271" s="4">
        <v>1097.5730000000001</v>
      </c>
      <c r="E2271" s="4">
        <v>1098.193</v>
      </c>
      <c r="F2271" s="4"/>
      <c r="G2271" s="4"/>
      <c r="H2271" s="28" t="s">
        <v>3849</v>
      </c>
      <c r="I2271" s="4"/>
      <c r="J2271" s="6">
        <v>0</v>
      </c>
      <c r="K2271" s="29" t="s">
        <v>3207</v>
      </c>
      <c r="L2271" s="4"/>
      <c r="M2271" s="3"/>
    </row>
    <row r="2272" spans="1:13" x14ac:dyDescent="0.3">
      <c r="A2272" s="3">
        <v>101</v>
      </c>
      <c r="B2272" s="3">
        <v>101</v>
      </c>
      <c r="C2272" s="4">
        <v>1098.4369999999999</v>
      </c>
      <c r="D2272" s="4">
        <v>1098.193</v>
      </c>
      <c r="E2272" s="4">
        <v>1098.68</v>
      </c>
      <c r="F2272" s="4"/>
      <c r="G2272" s="4"/>
      <c r="H2272" s="27" t="s">
        <v>3850</v>
      </c>
      <c r="I2272" s="4"/>
      <c r="J2272" s="6">
        <v>0</v>
      </c>
      <c r="K2272" s="30" t="s">
        <v>3207</v>
      </c>
      <c r="L2272" s="4"/>
      <c r="M2272" s="3"/>
    </row>
    <row r="2273" spans="1:13" x14ac:dyDescent="0.3">
      <c r="A2273" s="3">
        <v>101</v>
      </c>
      <c r="B2273" s="3">
        <v>101</v>
      </c>
      <c r="C2273" s="4">
        <v>1098.931</v>
      </c>
      <c r="D2273" s="4">
        <v>1098.68</v>
      </c>
      <c r="E2273" s="4">
        <v>1099.182</v>
      </c>
      <c r="F2273" s="4"/>
      <c r="G2273" s="4"/>
      <c r="H2273" s="28" t="s">
        <v>3851</v>
      </c>
      <c r="I2273" s="4"/>
      <c r="J2273" s="6">
        <v>0</v>
      </c>
      <c r="K2273" s="29" t="s">
        <v>3207</v>
      </c>
      <c r="L2273" s="4"/>
      <c r="M2273" s="3"/>
    </row>
    <row r="2274" spans="1:13" x14ac:dyDescent="0.3">
      <c r="A2274" s="3">
        <v>101</v>
      </c>
      <c r="B2274" s="3">
        <v>101</v>
      </c>
      <c r="C2274" s="4">
        <v>1099.4880000000001</v>
      </c>
      <c r="D2274" s="4">
        <v>1099.182</v>
      </c>
      <c r="E2274" s="4">
        <v>1099.7940000000001</v>
      </c>
      <c r="F2274" s="4"/>
      <c r="G2274" s="4"/>
      <c r="H2274" s="27" t="s">
        <v>3852</v>
      </c>
      <c r="I2274" s="4"/>
      <c r="J2274" s="6">
        <v>0</v>
      </c>
      <c r="K2274" s="30" t="s">
        <v>3207</v>
      </c>
      <c r="L2274" s="4"/>
      <c r="M2274" s="3"/>
    </row>
    <row r="2275" spans="1:13" x14ac:dyDescent="0.3">
      <c r="A2275" s="3">
        <v>101</v>
      </c>
      <c r="B2275" s="3">
        <v>101</v>
      </c>
      <c r="C2275" s="4">
        <v>1100.008</v>
      </c>
      <c r="D2275" s="4">
        <v>1099.7940000000001</v>
      </c>
      <c r="E2275" s="4">
        <v>1100.221</v>
      </c>
      <c r="F2275" s="4"/>
      <c r="G2275" s="4"/>
      <c r="H2275" s="28" t="s">
        <v>3853</v>
      </c>
      <c r="I2275" s="4"/>
      <c r="J2275" s="6">
        <v>0</v>
      </c>
      <c r="K2275" s="29" t="s">
        <v>3207</v>
      </c>
      <c r="L2275" s="4"/>
      <c r="M2275" s="3"/>
    </row>
    <row r="2276" spans="1:13" x14ac:dyDescent="0.3">
      <c r="A2276" s="3">
        <v>101</v>
      </c>
      <c r="B2276" s="3">
        <v>101</v>
      </c>
      <c r="C2276" s="4">
        <v>1100.4380000000001</v>
      </c>
      <c r="D2276" s="4">
        <v>1100.221</v>
      </c>
      <c r="E2276" s="4">
        <v>1100.654</v>
      </c>
      <c r="F2276" s="4"/>
      <c r="G2276" s="4"/>
      <c r="H2276" s="27" t="s">
        <v>3854</v>
      </c>
      <c r="I2276" s="4"/>
      <c r="J2276" s="6">
        <v>0</v>
      </c>
      <c r="K2276" s="30" t="s">
        <v>3207</v>
      </c>
      <c r="L2276" s="4"/>
      <c r="M2276" s="3"/>
    </row>
    <row r="2277" spans="1:13" x14ac:dyDescent="0.3">
      <c r="A2277" s="3">
        <v>101</v>
      </c>
      <c r="B2277" s="3">
        <v>101</v>
      </c>
      <c r="C2277" s="4">
        <v>1100.973</v>
      </c>
      <c r="D2277" s="4">
        <v>1100.654</v>
      </c>
      <c r="E2277" s="4">
        <v>1101.2919999999999</v>
      </c>
      <c r="F2277" s="4"/>
      <c r="G2277" s="4"/>
      <c r="H2277" s="28" t="s">
        <v>3855</v>
      </c>
      <c r="I2277" s="4"/>
      <c r="J2277" s="6">
        <v>0</v>
      </c>
      <c r="K2277" s="29" t="s">
        <v>3207</v>
      </c>
      <c r="L2277" s="4"/>
      <c r="M2277" s="3"/>
    </row>
    <row r="2278" spans="1:13" x14ac:dyDescent="0.3">
      <c r="A2278" s="3">
        <v>101</v>
      </c>
      <c r="B2278" s="3">
        <v>101</v>
      </c>
      <c r="C2278" s="4">
        <v>1101.4179999999999</v>
      </c>
      <c r="D2278" s="4">
        <v>1101.2919999999999</v>
      </c>
      <c r="E2278" s="4">
        <v>1101.5440000000001</v>
      </c>
      <c r="F2278" s="4"/>
      <c r="G2278" s="4"/>
      <c r="H2278" s="27" t="s">
        <v>3856</v>
      </c>
      <c r="I2278" s="4"/>
      <c r="J2278" s="6">
        <v>0</v>
      </c>
      <c r="K2278" s="30" t="s">
        <v>3207</v>
      </c>
      <c r="L2278" s="4"/>
      <c r="M2278" s="3"/>
    </row>
    <row r="2279" spans="1:13" x14ac:dyDescent="0.3">
      <c r="A2279" s="3">
        <v>101</v>
      </c>
      <c r="B2279" s="3">
        <v>101</v>
      </c>
      <c r="C2279" s="4">
        <v>1101.8969999999999</v>
      </c>
      <c r="D2279" s="4">
        <v>1101.5440000000001</v>
      </c>
      <c r="E2279" s="4">
        <v>1102.249</v>
      </c>
      <c r="F2279" s="4"/>
      <c r="G2279" s="4"/>
      <c r="H2279" s="28" t="s">
        <v>3857</v>
      </c>
      <c r="I2279" s="4"/>
      <c r="J2279" s="6">
        <v>0</v>
      </c>
      <c r="K2279" s="29" t="s">
        <v>3207</v>
      </c>
      <c r="L2279" s="4"/>
      <c r="M2279" s="3"/>
    </row>
    <row r="2280" spans="1:13" x14ac:dyDescent="0.3">
      <c r="A2280" s="3">
        <v>101</v>
      </c>
      <c r="B2280" s="3">
        <v>101</v>
      </c>
      <c r="C2280" s="4">
        <v>1102.3430000000001</v>
      </c>
      <c r="D2280" s="4">
        <v>1102.249</v>
      </c>
      <c r="E2280" s="4">
        <v>1102.4369999999999</v>
      </c>
      <c r="F2280" s="4"/>
      <c r="G2280" s="4"/>
      <c r="H2280" s="27" t="s">
        <v>3858</v>
      </c>
      <c r="I2280" s="4"/>
      <c r="J2280" s="6">
        <v>0</v>
      </c>
      <c r="K2280" s="30" t="s">
        <v>3207</v>
      </c>
      <c r="L2280" s="4"/>
      <c r="M2280" s="3"/>
    </row>
    <row r="2281" spans="1:13" x14ac:dyDescent="0.3">
      <c r="A2281" s="3">
        <v>101</v>
      </c>
      <c r="B2281" s="3">
        <v>101</v>
      </c>
      <c r="C2281" s="4">
        <v>1102.7460000000001</v>
      </c>
      <c r="D2281" s="4">
        <v>1102.4369999999999</v>
      </c>
      <c r="E2281" s="4">
        <v>1103.0550000000001</v>
      </c>
      <c r="F2281" s="4"/>
      <c r="G2281" s="4"/>
      <c r="H2281" s="28" t="s">
        <v>3859</v>
      </c>
      <c r="I2281" s="4"/>
      <c r="J2281" s="6">
        <v>0</v>
      </c>
      <c r="K2281" s="29" t="s">
        <v>3207</v>
      </c>
      <c r="L2281" s="4"/>
      <c r="M2281" s="3"/>
    </row>
    <row r="2282" spans="1:13" x14ac:dyDescent="0.3">
      <c r="A2282" s="3">
        <v>101</v>
      </c>
      <c r="B2282" s="3">
        <v>101</v>
      </c>
      <c r="C2282" s="4">
        <v>1103.135</v>
      </c>
      <c r="D2282" s="4">
        <v>1103.0550000000001</v>
      </c>
      <c r="E2282" s="4">
        <v>1103.2149999999999</v>
      </c>
      <c r="F2282" s="4"/>
      <c r="G2282" s="4"/>
      <c r="H2282" s="27" t="s">
        <v>3860</v>
      </c>
      <c r="I2282" s="4"/>
      <c r="J2282" s="6">
        <v>0</v>
      </c>
      <c r="K2282" s="30" t="s">
        <v>3207</v>
      </c>
      <c r="L2282" s="4"/>
      <c r="M2282" s="3"/>
    </row>
    <row r="2283" spans="1:13" x14ac:dyDescent="0.3">
      <c r="A2283" s="3">
        <v>101</v>
      </c>
      <c r="B2283" s="3">
        <v>101</v>
      </c>
      <c r="C2283" s="4">
        <v>1103.4390000000001</v>
      </c>
      <c r="D2283" s="4">
        <v>1103.2149999999999</v>
      </c>
      <c r="E2283" s="4">
        <v>1103.663</v>
      </c>
      <c r="F2283" s="4"/>
      <c r="G2283" s="4"/>
      <c r="H2283" s="28" t="s">
        <v>3861</v>
      </c>
      <c r="I2283" s="4"/>
      <c r="J2283" s="6">
        <v>0</v>
      </c>
      <c r="K2283" s="29" t="s">
        <v>3207</v>
      </c>
      <c r="L2283" s="4"/>
      <c r="M2283" s="3"/>
    </row>
    <row r="2284" spans="1:13" x14ac:dyDescent="0.3">
      <c r="A2284" s="3">
        <v>101</v>
      </c>
      <c r="B2284" s="3">
        <v>101</v>
      </c>
      <c r="C2284" s="4">
        <v>1103.9870000000001</v>
      </c>
      <c r="D2284" s="4">
        <v>1103.663</v>
      </c>
      <c r="E2284" s="4">
        <v>1104.31</v>
      </c>
      <c r="F2284" s="4"/>
      <c r="G2284" s="4"/>
      <c r="H2284" s="27" t="s">
        <v>3862</v>
      </c>
      <c r="I2284" s="4"/>
      <c r="J2284" s="6">
        <v>0</v>
      </c>
      <c r="K2284" s="30" t="s">
        <v>3207</v>
      </c>
      <c r="L2284" s="4"/>
      <c r="M2284" s="3"/>
    </row>
    <row r="2285" spans="1:13" x14ac:dyDescent="0.3">
      <c r="A2285" s="3">
        <v>101</v>
      </c>
      <c r="B2285" s="3">
        <v>101</v>
      </c>
      <c r="C2285" s="4">
        <v>1104.925</v>
      </c>
      <c r="D2285" s="4">
        <v>1104.31</v>
      </c>
      <c r="E2285" s="4">
        <v>1105.539</v>
      </c>
      <c r="F2285" s="4"/>
      <c r="G2285" s="4"/>
      <c r="H2285" s="28" t="s">
        <v>3863</v>
      </c>
      <c r="I2285" s="4"/>
      <c r="J2285" s="6">
        <v>0</v>
      </c>
      <c r="K2285" s="29" t="s">
        <v>3207</v>
      </c>
      <c r="L2285" s="4"/>
      <c r="M2285" s="3"/>
    </row>
    <row r="2286" spans="1:13" x14ac:dyDescent="0.3">
      <c r="A2286" s="3">
        <v>101</v>
      </c>
      <c r="B2286" s="3">
        <v>101</v>
      </c>
      <c r="C2286" s="4">
        <v>1105.749</v>
      </c>
      <c r="D2286" s="4">
        <v>1105.539</v>
      </c>
      <c r="E2286" s="4">
        <v>1105.9580000000001</v>
      </c>
      <c r="F2286" s="4"/>
      <c r="G2286" s="4"/>
      <c r="H2286" s="27" t="s">
        <v>3864</v>
      </c>
      <c r="I2286" s="4"/>
      <c r="J2286" s="6">
        <v>0</v>
      </c>
      <c r="K2286" s="30" t="s">
        <v>3207</v>
      </c>
      <c r="L2286" s="4"/>
      <c r="M2286" s="3"/>
    </row>
    <row r="2287" spans="1:13" x14ac:dyDescent="0.3">
      <c r="A2287" s="3">
        <v>101</v>
      </c>
      <c r="B2287" s="3">
        <v>101</v>
      </c>
      <c r="C2287" s="4">
        <v>1106.3140000000001</v>
      </c>
      <c r="D2287" s="4">
        <v>1105.9580000000001</v>
      </c>
      <c r="E2287" s="4">
        <v>1106.67</v>
      </c>
      <c r="F2287" s="4"/>
      <c r="G2287" s="4"/>
      <c r="H2287" s="28" t="s">
        <v>3865</v>
      </c>
      <c r="I2287" s="4"/>
      <c r="J2287" s="6">
        <v>0</v>
      </c>
      <c r="K2287" s="29" t="s">
        <v>3207</v>
      </c>
      <c r="L2287" s="4"/>
      <c r="M2287" s="3"/>
    </row>
    <row r="2288" spans="1:13" x14ac:dyDescent="0.3">
      <c r="A2288" s="3">
        <v>101</v>
      </c>
      <c r="B2288" s="3">
        <v>101</v>
      </c>
      <c r="C2288" s="4">
        <v>1107.097</v>
      </c>
      <c r="D2288" s="4">
        <v>1106.67</v>
      </c>
      <c r="E2288" s="4">
        <v>1107.5229999999999</v>
      </c>
      <c r="F2288" s="4"/>
      <c r="G2288" s="4"/>
      <c r="H2288" s="27" t="s">
        <v>3866</v>
      </c>
      <c r="I2288" s="4"/>
      <c r="J2288" s="6">
        <v>0</v>
      </c>
      <c r="K2288" s="30" t="s">
        <v>3207</v>
      </c>
      <c r="L2288" s="4"/>
      <c r="M2288" s="3"/>
    </row>
    <row r="2289" spans="1:13" x14ac:dyDescent="0.3">
      <c r="A2289" s="3">
        <v>101</v>
      </c>
      <c r="B2289" s="3">
        <v>101</v>
      </c>
      <c r="C2289" s="4">
        <v>1107.855</v>
      </c>
      <c r="D2289" s="4">
        <v>1107.5229999999999</v>
      </c>
      <c r="E2289" s="4">
        <v>1108.1869999999999</v>
      </c>
      <c r="F2289" s="4"/>
      <c r="G2289" s="4"/>
      <c r="H2289" s="28" t="s">
        <v>3867</v>
      </c>
      <c r="I2289" s="4"/>
      <c r="J2289" s="6">
        <v>0</v>
      </c>
      <c r="K2289" s="29" t="s">
        <v>3207</v>
      </c>
      <c r="L2289" s="4"/>
      <c r="M2289" s="3"/>
    </row>
    <row r="2290" spans="1:13" x14ac:dyDescent="0.3">
      <c r="A2290" s="3">
        <v>101</v>
      </c>
      <c r="B2290" s="3">
        <v>101</v>
      </c>
      <c r="C2290" s="4">
        <v>1108.529</v>
      </c>
      <c r="D2290" s="4">
        <v>1108.1869999999999</v>
      </c>
      <c r="E2290" s="4">
        <v>1108.8710000000001</v>
      </c>
      <c r="F2290" s="4"/>
      <c r="G2290" s="4"/>
      <c r="H2290" s="27" t="s">
        <v>3868</v>
      </c>
      <c r="I2290" s="4"/>
      <c r="J2290" s="6">
        <v>0</v>
      </c>
      <c r="K2290" s="30" t="s">
        <v>3207</v>
      </c>
      <c r="L2290" s="4"/>
      <c r="M2290" s="3"/>
    </row>
    <row r="2291" spans="1:13" x14ac:dyDescent="0.3">
      <c r="A2291" s="3">
        <v>101</v>
      </c>
      <c r="B2291" s="3">
        <v>101</v>
      </c>
      <c r="C2291" s="4">
        <v>1109.1600000000001</v>
      </c>
      <c r="D2291" s="4">
        <v>1108.8710000000001</v>
      </c>
      <c r="E2291" s="4">
        <v>1109.4490000000001</v>
      </c>
      <c r="F2291" s="4"/>
      <c r="G2291" s="4"/>
      <c r="H2291" s="28" t="s">
        <v>3869</v>
      </c>
      <c r="I2291" s="4"/>
      <c r="J2291" s="6">
        <v>0</v>
      </c>
      <c r="K2291" s="29" t="s">
        <v>3207</v>
      </c>
      <c r="L2291" s="4"/>
      <c r="M2291" s="3"/>
    </row>
    <row r="2292" spans="1:13" x14ac:dyDescent="0.3">
      <c r="A2292" s="3">
        <v>101</v>
      </c>
      <c r="B2292" s="3">
        <v>101</v>
      </c>
      <c r="C2292" s="4">
        <v>1109.702</v>
      </c>
      <c r="D2292" s="4">
        <v>1109.4490000000001</v>
      </c>
      <c r="E2292" s="4">
        <v>1109.954</v>
      </c>
      <c r="F2292" s="4"/>
      <c r="G2292" s="4"/>
      <c r="H2292" s="27" t="s">
        <v>3870</v>
      </c>
      <c r="I2292" s="4"/>
      <c r="J2292" s="6">
        <v>0</v>
      </c>
      <c r="K2292" s="30" t="s">
        <v>3207</v>
      </c>
      <c r="L2292" s="4"/>
      <c r="M2292" s="3"/>
    </row>
    <row r="2293" spans="1:13" x14ac:dyDescent="0.3">
      <c r="A2293" s="3">
        <v>101</v>
      </c>
      <c r="B2293" s="3">
        <v>101</v>
      </c>
      <c r="C2293" s="4">
        <v>1110.2449999999999</v>
      </c>
      <c r="D2293" s="4">
        <v>1109.954</v>
      </c>
      <c r="E2293" s="4">
        <v>1110.5360000000001</v>
      </c>
      <c r="F2293" s="4"/>
      <c r="G2293" s="4"/>
      <c r="H2293" s="28" t="s">
        <v>3871</v>
      </c>
      <c r="I2293" s="4"/>
      <c r="J2293" s="6">
        <v>0</v>
      </c>
      <c r="K2293" s="29" t="s">
        <v>3207</v>
      </c>
      <c r="L2293" s="4"/>
      <c r="M2293" s="3"/>
    </row>
    <row r="2294" spans="1:13" x14ac:dyDescent="0.3">
      <c r="A2294" s="3">
        <v>101</v>
      </c>
      <c r="B2294" s="3">
        <v>101</v>
      </c>
      <c r="C2294" s="4">
        <v>1110.673</v>
      </c>
      <c r="D2294" s="4">
        <v>1110.5360000000001</v>
      </c>
      <c r="E2294" s="4">
        <v>1110.81</v>
      </c>
      <c r="F2294" s="4"/>
      <c r="G2294" s="4"/>
      <c r="H2294" s="27" t="s">
        <v>3872</v>
      </c>
      <c r="I2294" s="4"/>
      <c r="J2294" s="6">
        <v>0</v>
      </c>
      <c r="K2294" s="30" t="s">
        <v>3207</v>
      </c>
      <c r="L2294" s="4"/>
      <c r="M2294" s="3"/>
    </row>
    <row r="2295" spans="1:13" x14ac:dyDescent="0.3">
      <c r="A2295" s="3">
        <v>101</v>
      </c>
      <c r="B2295" s="3">
        <v>101</v>
      </c>
      <c r="C2295" s="4">
        <v>1111.0519999999999</v>
      </c>
      <c r="D2295" s="4">
        <v>1110.81</v>
      </c>
      <c r="E2295" s="4">
        <v>1111.2929999999999</v>
      </c>
      <c r="F2295" s="4"/>
      <c r="G2295" s="4"/>
      <c r="H2295" s="28" t="s">
        <v>3873</v>
      </c>
      <c r="I2295" s="4"/>
      <c r="J2295" s="6">
        <v>0</v>
      </c>
      <c r="K2295" s="29" t="s">
        <v>3207</v>
      </c>
      <c r="L2295" s="4"/>
      <c r="M2295" s="3"/>
    </row>
    <row r="2296" spans="1:13" x14ac:dyDescent="0.3">
      <c r="A2296" s="3">
        <v>101</v>
      </c>
      <c r="B2296" s="3">
        <v>101</v>
      </c>
      <c r="C2296" s="4">
        <v>1111.5329999999999</v>
      </c>
      <c r="D2296" s="4">
        <v>1111.2929999999999</v>
      </c>
      <c r="E2296" s="4">
        <v>1111.7729999999999</v>
      </c>
      <c r="F2296" s="4"/>
      <c r="G2296" s="4"/>
      <c r="H2296" s="27" t="s">
        <v>3874</v>
      </c>
      <c r="I2296" s="4"/>
      <c r="J2296" s="6">
        <v>0</v>
      </c>
      <c r="K2296" s="30" t="s">
        <v>3207</v>
      </c>
      <c r="L2296" s="4"/>
      <c r="M2296" s="3"/>
    </row>
    <row r="2297" spans="1:13" x14ac:dyDescent="0.3">
      <c r="A2297" s="3">
        <v>101</v>
      </c>
      <c r="B2297" s="3">
        <v>101</v>
      </c>
      <c r="C2297" s="4">
        <v>1111.8399999999999</v>
      </c>
      <c r="D2297" s="4">
        <v>1111.7729999999999</v>
      </c>
      <c r="E2297" s="4">
        <v>1111.9069999999999</v>
      </c>
      <c r="F2297" s="4"/>
      <c r="G2297" s="4"/>
      <c r="H2297" s="28" t="s">
        <v>3875</v>
      </c>
      <c r="I2297" s="4"/>
      <c r="J2297" s="6">
        <v>0</v>
      </c>
      <c r="K2297" s="29" t="s">
        <v>3207</v>
      </c>
      <c r="L2297" s="4"/>
      <c r="M2297" s="3"/>
    </row>
    <row r="2298" spans="1:13" x14ac:dyDescent="0.3">
      <c r="A2298" s="3">
        <v>101</v>
      </c>
      <c r="B2298" s="3">
        <v>101</v>
      </c>
      <c r="C2298" s="4">
        <v>1112.1969999999999</v>
      </c>
      <c r="D2298" s="4">
        <v>1111.9069999999999</v>
      </c>
      <c r="E2298" s="4">
        <v>1112.4870000000001</v>
      </c>
      <c r="F2298" s="4"/>
      <c r="G2298" s="4"/>
      <c r="H2298" s="27" t="s">
        <v>3876</v>
      </c>
      <c r="I2298" s="4"/>
      <c r="J2298" s="6">
        <v>0</v>
      </c>
      <c r="K2298" s="30" t="s">
        <v>3207</v>
      </c>
      <c r="L2298" s="4"/>
      <c r="M2298" s="3"/>
    </row>
    <row r="2299" spans="1:13" x14ac:dyDescent="0.3">
      <c r="A2299" s="3">
        <v>101</v>
      </c>
      <c r="B2299" s="3">
        <v>101</v>
      </c>
      <c r="C2299" s="4">
        <v>1112.6210000000001</v>
      </c>
      <c r="D2299" s="4">
        <v>1112.4870000000001</v>
      </c>
      <c r="E2299" s="4">
        <v>1112.7550000000001</v>
      </c>
      <c r="F2299" s="4"/>
      <c r="G2299" s="4"/>
      <c r="H2299" s="28" t="s">
        <v>3877</v>
      </c>
      <c r="I2299" s="4"/>
      <c r="J2299" s="6">
        <v>0</v>
      </c>
      <c r="K2299" s="29" t="s">
        <v>3207</v>
      </c>
      <c r="L2299" s="4"/>
      <c r="M2299" s="3"/>
    </row>
    <row r="2300" spans="1:13" x14ac:dyDescent="0.3">
      <c r="A2300" s="3">
        <v>101</v>
      </c>
      <c r="B2300" s="3">
        <v>101</v>
      </c>
      <c r="C2300" s="4">
        <v>1112.81</v>
      </c>
      <c r="D2300" s="4">
        <v>1112.7550000000001</v>
      </c>
      <c r="E2300" s="4">
        <v>1112.864</v>
      </c>
      <c r="F2300" s="4"/>
      <c r="G2300" s="4"/>
      <c r="H2300" s="27" t="s">
        <v>3878</v>
      </c>
      <c r="I2300" s="4"/>
      <c r="J2300" s="6">
        <v>0</v>
      </c>
      <c r="K2300" s="30" t="s">
        <v>3207</v>
      </c>
      <c r="L2300" s="4"/>
      <c r="M2300" s="3"/>
    </row>
    <row r="2301" spans="1:13" x14ac:dyDescent="0.3">
      <c r="A2301" s="3">
        <v>101</v>
      </c>
      <c r="B2301" s="3">
        <v>101</v>
      </c>
      <c r="C2301" s="4">
        <v>1113.1880000000001</v>
      </c>
      <c r="D2301" s="4">
        <v>1112.864</v>
      </c>
      <c r="E2301" s="4">
        <v>1113.5119999999999</v>
      </c>
      <c r="F2301" s="4"/>
      <c r="G2301" s="4"/>
      <c r="H2301" s="28" t="s">
        <v>3879</v>
      </c>
      <c r="I2301" s="4"/>
      <c r="J2301" s="6">
        <v>0</v>
      </c>
      <c r="K2301" s="29" t="s">
        <v>3207</v>
      </c>
      <c r="L2301" s="4"/>
      <c r="M2301" s="3"/>
    </row>
    <row r="2302" spans="1:13" x14ac:dyDescent="0.3">
      <c r="A2302" s="3">
        <v>101</v>
      </c>
      <c r="B2302" s="3">
        <v>101</v>
      </c>
      <c r="C2302" s="4">
        <v>1113.655</v>
      </c>
      <c r="D2302" s="4">
        <v>1113.5119999999999</v>
      </c>
      <c r="E2302" s="4">
        <v>1113.797</v>
      </c>
      <c r="F2302" s="4"/>
      <c r="G2302" s="4"/>
      <c r="H2302" s="27" t="s">
        <v>3880</v>
      </c>
      <c r="I2302" s="4"/>
      <c r="J2302" s="6">
        <v>0</v>
      </c>
      <c r="K2302" s="30" t="s">
        <v>3207</v>
      </c>
      <c r="L2302" s="4"/>
      <c r="M2302" s="3"/>
    </row>
    <row r="2303" spans="1:13" x14ac:dyDescent="0.3">
      <c r="A2303" s="3">
        <v>101</v>
      </c>
      <c r="B2303" s="3">
        <v>101</v>
      </c>
      <c r="C2303" s="4">
        <v>1114.162</v>
      </c>
      <c r="D2303" s="4">
        <v>1113.797</v>
      </c>
      <c r="E2303" s="4">
        <v>1114.5260000000001</v>
      </c>
      <c r="F2303" s="4"/>
      <c r="G2303" s="4"/>
      <c r="H2303" s="28" t="s">
        <v>3881</v>
      </c>
      <c r="I2303" s="4"/>
      <c r="J2303" s="6">
        <v>0</v>
      </c>
      <c r="K2303" s="29" t="s">
        <v>3207</v>
      </c>
      <c r="L2303" s="4"/>
      <c r="M2303" s="3"/>
    </row>
    <row r="2304" spans="1:13" x14ac:dyDescent="0.3">
      <c r="A2304" s="3">
        <v>101</v>
      </c>
      <c r="B2304" s="3">
        <v>101</v>
      </c>
      <c r="C2304" s="4">
        <v>1114.9480000000001</v>
      </c>
      <c r="D2304" s="4">
        <v>1114.5260000000001</v>
      </c>
      <c r="E2304" s="4">
        <v>1115.3699999999999</v>
      </c>
      <c r="F2304" s="4"/>
      <c r="G2304" s="4"/>
      <c r="H2304" s="27" t="s">
        <v>3882</v>
      </c>
      <c r="I2304" s="4"/>
      <c r="J2304" s="6">
        <v>0</v>
      </c>
      <c r="K2304" s="30" t="s">
        <v>3207</v>
      </c>
      <c r="L2304" s="4"/>
      <c r="M2304" s="3"/>
    </row>
    <row r="2305" spans="1:13" x14ac:dyDescent="0.3">
      <c r="A2305" s="3">
        <v>101</v>
      </c>
      <c r="B2305" s="3">
        <v>101</v>
      </c>
      <c r="C2305" s="4">
        <v>1115.7719999999999</v>
      </c>
      <c r="D2305" s="4">
        <v>1115.3699999999999</v>
      </c>
      <c r="E2305" s="4">
        <v>1116.174</v>
      </c>
      <c r="F2305" s="4"/>
      <c r="G2305" s="4"/>
      <c r="H2305" s="28" t="s">
        <v>3883</v>
      </c>
      <c r="I2305" s="4"/>
      <c r="J2305" s="6">
        <v>0</v>
      </c>
      <c r="K2305" s="29" t="s">
        <v>3207</v>
      </c>
      <c r="L2305" s="4"/>
      <c r="M2305" s="3"/>
    </row>
    <row r="2306" spans="1:13" x14ac:dyDescent="0.3">
      <c r="A2306" s="3">
        <v>101</v>
      </c>
      <c r="B2306" s="3">
        <v>101</v>
      </c>
      <c r="C2306" s="4">
        <v>1116.2660000000001</v>
      </c>
      <c r="D2306" s="4">
        <v>1116.174</v>
      </c>
      <c r="E2306" s="4">
        <v>1116.357</v>
      </c>
      <c r="F2306" s="4"/>
      <c r="G2306" s="4"/>
      <c r="H2306" s="27" t="s">
        <v>3884</v>
      </c>
      <c r="I2306" s="4"/>
      <c r="J2306" s="6">
        <v>0</v>
      </c>
      <c r="K2306" s="30" t="s">
        <v>3207</v>
      </c>
      <c r="L2306" s="4"/>
      <c r="M2306" s="3"/>
    </row>
    <row r="2307" spans="1:13" x14ac:dyDescent="0.3">
      <c r="A2307" s="3">
        <v>101</v>
      </c>
      <c r="B2307" s="3">
        <v>101</v>
      </c>
      <c r="C2307" s="4">
        <v>1116.7429999999999</v>
      </c>
      <c r="D2307" s="4">
        <v>1116.357</v>
      </c>
      <c r="E2307" s="4">
        <v>1117.1279999999999</v>
      </c>
      <c r="F2307" s="4"/>
      <c r="G2307" s="4"/>
      <c r="H2307" s="28" t="s">
        <v>3885</v>
      </c>
      <c r="I2307" s="4"/>
      <c r="J2307" s="6">
        <v>0</v>
      </c>
      <c r="K2307" s="29" t="s">
        <v>3207</v>
      </c>
      <c r="L2307" s="4"/>
      <c r="M2307" s="3"/>
    </row>
    <row r="2308" spans="1:13" x14ac:dyDescent="0.3">
      <c r="A2308" s="3">
        <v>101</v>
      </c>
      <c r="B2308" s="3">
        <v>101</v>
      </c>
      <c r="C2308" s="4">
        <v>1117.2370000000001</v>
      </c>
      <c r="D2308" s="4">
        <v>1117.1279999999999</v>
      </c>
      <c r="E2308" s="4">
        <v>1117.346</v>
      </c>
      <c r="F2308" s="4"/>
      <c r="G2308" s="4"/>
      <c r="H2308" s="27" t="s">
        <v>3886</v>
      </c>
      <c r="I2308" s="4"/>
      <c r="J2308" s="6">
        <v>0</v>
      </c>
      <c r="K2308" s="30" t="s">
        <v>3207</v>
      </c>
      <c r="L2308" s="4"/>
      <c r="M2308" s="3"/>
    </row>
    <row r="2309" spans="1:13" x14ac:dyDescent="0.3">
      <c r="A2309" s="3">
        <v>101</v>
      </c>
      <c r="B2309" s="3">
        <v>101</v>
      </c>
      <c r="C2309" s="4">
        <v>1117.5309999999999</v>
      </c>
      <c r="D2309" s="4">
        <v>1117.346</v>
      </c>
      <c r="E2309" s="4">
        <v>1117.7159999999999</v>
      </c>
      <c r="F2309" s="4"/>
      <c r="G2309" s="4"/>
      <c r="H2309" s="28" t="s">
        <v>3887</v>
      </c>
      <c r="I2309" s="4"/>
      <c r="J2309" s="6">
        <v>0</v>
      </c>
      <c r="K2309" s="29" t="s">
        <v>3207</v>
      </c>
      <c r="L2309" s="4"/>
      <c r="M2309" s="3"/>
    </row>
    <row r="2310" spans="1:13" x14ac:dyDescent="0.3">
      <c r="A2310" s="3">
        <v>101</v>
      </c>
      <c r="B2310" s="3">
        <v>101</v>
      </c>
      <c r="C2310" s="4">
        <v>1118.03</v>
      </c>
      <c r="D2310" s="4">
        <v>1117.7159999999999</v>
      </c>
      <c r="E2310" s="4">
        <v>1118.3440000000001</v>
      </c>
      <c r="F2310" s="4"/>
      <c r="G2310" s="4"/>
      <c r="H2310" s="27" t="s">
        <v>3888</v>
      </c>
      <c r="I2310" s="4"/>
      <c r="J2310" s="6">
        <v>0</v>
      </c>
      <c r="K2310" s="30" t="s">
        <v>3207</v>
      </c>
      <c r="L2310" s="4"/>
      <c r="M2310" s="3"/>
    </row>
    <row r="2311" spans="1:13" x14ac:dyDescent="0.3">
      <c r="A2311" s="3">
        <v>101</v>
      </c>
      <c r="B2311" s="3">
        <v>101</v>
      </c>
      <c r="C2311" s="4">
        <v>1118.7</v>
      </c>
      <c r="D2311" s="4">
        <v>1118.3440000000001</v>
      </c>
      <c r="E2311" s="4">
        <v>1119.056</v>
      </c>
      <c r="F2311" s="4"/>
      <c r="G2311" s="4"/>
      <c r="H2311" s="28" t="s">
        <v>3889</v>
      </c>
      <c r="I2311" s="4"/>
      <c r="J2311" s="6">
        <v>0</v>
      </c>
      <c r="K2311" s="29" t="s">
        <v>3207</v>
      </c>
      <c r="L2311" s="4"/>
      <c r="M2311" s="3"/>
    </row>
    <row r="2312" spans="1:13" x14ac:dyDescent="0.3">
      <c r="A2312" s="3">
        <v>101</v>
      </c>
      <c r="B2312" s="3">
        <v>101</v>
      </c>
      <c r="C2312" s="4">
        <v>1119.25</v>
      </c>
      <c r="D2312" s="4">
        <v>1119.056</v>
      </c>
      <c r="E2312" s="4">
        <v>1119.444</v>
      </c>
      <c r="F2312" s="4"/>
      <c r="G2312" s="4"/>
      <c r="H2312" s="27" t="s">
        <v>3890</v>
      </c>
      <c r="I2312" s="4"/>
      <c r="J2312" s="6">
        <v>0</v>
      </c>
      <c r="K2312" s="30" t="s">
        <v>3207</v>
      </c>
      <c r="L2312" s="4"/>
      <c r="M2312" s="3"/>
    </row>
    <row r="2313" spans="1:13" x14ac:dyDescent="0.3">
      <c r="A2313" s="3">
        <v>101</v>
      </c>
      <c r="B2313" s="3">
        <v>101</v>
      </c>
      <c r="C2313" s="4">
        <v>1119.9269999999999</v>
      </c>
      <c r="D2313" s="4">
        <v>1119.444</v>
      </c>
      <c r="E2313" s="4">
        <v>1120.4100000000001</v>
      </c>
      <c r="F2313" s="4"/>
      <c r="G2313" s="4"/>
      <c r="H2313" s="28" t="s">
        <v>3891</v>
      </c>
      <c r="I2313" s="4"/>
      <c r="J2313" s="6">
        <v>0</v>
      </c>
      <c r="K2313" s="29" t="s">
        <v>3207</v>
      </c>
      <c r="L2313" s="4"/>
      <c r="M2313" s="3"/>
    </row>
    <row r="2314" spans="1:13" x14ac:dyDescent="0.3">
      <c r="A2314" s="3">
        <v>101</v>
      </c>
      <c r="B2314" s="3">
        <v>101</v>
      </c>
      <c r="C2314" s="4">
        <v>1120.7570000000001</v>
      </c>
      <c r="D2314" s="4">
        <v>1120.4100000000001</v>
      </c>
      <c r="E2314" s="4">
        <v>1121.104</v>
      </c>
      <c r="F2314" s="4"/>
      <c r="G2314" s="4"/>
      <c r="H2314" s="27" t="s">
        <v>3892</v>
      </c>
      <c r="I2314" s="4"/>
      <c r="J2314" s="6">
        <v>0</v>
      </c>
      <c r="K2314" s="30" t="s">
        <v>3207</v>
      </c>
      <c r="L2314" s="4"/>
      <c r="M2314" s="3"/>
    </row>
    <row r="2315" spans="1:13" x14ac:dyDescent="0.3">
      <c r="A2315" s="3">
        <v>101</v>
      </c>
      <c r="B2315" s="3">
        <v>101</v>
      </c>
      <c r="C2315" s="4">
        <v>1121.5039999999999</v>
      </c>
      <c r="D2315" s="4">
        <v>1121.104</v>
      </c>
      <c r="E2315" s="4">
        <v>1121.903</v>
      </c>
      <c r="F2315" s="4"/>
      <c r="G2315" s="4"/>
      <c r="H2315" s="28" t="s">
        <v>3893</v>
      </c>
      <c r="I2315" s="4"/>
      <c r="J2315" s="6">
        <v>0</v>
      </c>
      <c r="K2315" s="29" t="s">
        <v>3207</v>
      </c>
      <c r="L2315" s="4"/>
      <c r="M2315" s="3"/>
    </row>
    <row r="2316" spans="1:13" x14ac:dyDescent="0.3">
      <c r="A2316" s="3">
        <v>101</v>
      </c>
      <c r="B2316" s="3">
        <v>101</v>
      </c>
      <c r="C2316" s="4">
        <v>1122.0160000000001</v>
      </c>
      <c r="D2316" s="4">
        <v>1121.903</v>
      </c>
      <c r="E2316" s="4">
        <v>1122.1289999999999</v>
      </c>
      <c r="F2316" s="4"/>
      <c r="G2316" s="4"/>
      <c r="H2316" s="27" t="s">
        <v>3894</v>
      </c>
      <c r="I2316" s="4"/>
      <c r="J2316" s="6">
        <v>0</v>
      </c>
      <c r="K2316" s="30" t="s">
        <v>3207</v>
      </c>
      <c r="L2316" s="4"/>
      <c r="M2316" s="3"/>
    </row>
    <row r="2317" spans="1:13" x14ac:dyDescent="0.3">
      <c r="A2317" s="3">
        <v>101</v>
      </c>
      <c r="B2317" s="3">
        <v>101</v>
      </c>
      <c r="C2317" s="4">
        <v>1122.4059999999999</v>
      </c>
      <c r="D2317" s="4">
        <v>1122.1289999999999</v>
      </c>
      <c r="E2317" s="4">
        <v>1122.682</v>
      </c>
      <c r="F2317" s="4"/>
      <c r="G2317" s="4"/>
      <c r="H2317" s="28" t="s">
        <v>3895</v>
      </c>
      <c r="I2317" s="4"/>
      <c r="J2317" s="6">
        <v>0</v>
      </c>
      <c r="K2317" s="29" t="s">
        <v>3207</v>
      </c>
      <c r="L2317" s="4"/>
      <c r="M2317" s="3"/>
    </row>
    <row r="2318" spans="1:13" x14ac:dyDescent="0.3">
      <c r="A2318" s="3">
        <v>101</v>
      </c>
      <c r="B2318" s="3">
        <v>101</v>
      </c>
      <c r="C2318" s="4">
        <v>1122.846</v>
      </c>
      <c r="D2318" s="4">
        <v>1122.682</v>
      </c>
      <c r="E2318" s="4">
        <v>1123.01</v>
      </c>
      <c r="F2318" s="4"/>
      <c r="G2318" s="4"/>
      <c r="H2318" s="27" t="s">
        <v>3896</v>
      </c>
      <c r="I2318" s="4"/>
      <c r="J2318" s="6">
        <v>0</v>
      </c>
      <c r="K2318" s="30" t="s">
        <v>3207</v>
      </c>
      <c r="L2318" s="4"/>
      <c r="M2318" s="3"/>
    </row>
    <row r="2319" spans="1:13" x14ac:dyDescent="0.3">
      <c r="A2319" s="3">
        <v>101</v>
      </c>
      <c r="B2319" s="3">
        <v>101</v>
      </c>
      <c r="C2319" s="4">
        <v>1123.357</v>
      </c>
      <c r="D2319" s="4">
        <v>1123.01</v>
      </c>
      <c r="E2319" s="4">
        <v>1123.704</v>
      </c>
      <c r="F2319" s="4"/>
      <c r="G2319" s="4"/>
      <c r="H2319" s="28" t="s">
        <v>3897</v>
      </c>
      <c r="I2319" s="4"/>
      <c r="J2319" s="6">
        <v>0</v>
      </c>
      <c r="K2319" s="29" t="s">
        <v>3207</v>
      </c>
      <c r="L2319" s="4"/>
      <c r="M2319" s="3"/>
    </row>
    <row r="2320" spans="1:13" x14ac:dyDescent="0.3">
      <c r="A2320" s="3">
        <v>101</v>
      </c>
      <c r="B2320" s="3">
        <v>101</v>
      </c>
      <c r="C2320" s="4">
        <v>1123.8979999999999</v>
      </c>
      <c r="D2320" s="4">
        <v>1123.704</v>
      </c>
      <c r="E2320" s="4">
        <v>1124.0920000000001</v>
      </c>
      <c r="F2320" s="4"/>
      <c r="G2320" s="4"/>
      <c r="H2320" s="27" t="s">
        <v>3898</v>
      </c>
      <c r="I2320" s="4"/>
      <c r="J2320" s="6">
        <v>0</v>
      </c>
      <c r="K2320" s="30" t="s">
        <v>3207</v>
      </c>
      <c r="L2320" s="4"/>
      <c r="M2320" s="3"/>
    </row>
    <row r="2321" spans="1:13" x14ac:dyDescent="0.3">
      <c r="A2321" s="3">
        <v>101</v>
      </c>
      <c r="B2321" s="3">
        <v>101</v>
      </c>
      <c r="C2321" s="4">
        <v>1124.471</v>
      </c>
      <c r="D2321" s="4">
        <v>1124.0920000000001</v>
      </c>
      <c r="E2321" s="4">
        <v>1124.8489999999999</v>
      </c>
      <c r="F2321" s="4"/>
      <c r="G2321" s="4"/>
      <c r="H2321" s="28" t="s">
        <v>3899</v>
      </c>
      <c r="I2321" s="4"/>
      <c r="J2321" s="6">
        <v>0</v>
      </c>
      <c r="K2321" s="29" t="s">
        <v>3207</v>
      </c>
      <c r="L2321" s="4"/>
      <c r="M2321" s="3"/>
    </row>
    <row r="2322" spans="1:13" x14ac:dyDescent="0.3">
      <c r="A2322" s="3">
        <v>101</v>
      </c>
      <c r="B2322" s="3">
        <v>101</v>
      </c>
      <c r="C2322" s="4">
        <v>1124.99</v>
      </c>
      <c r="D2322" s="4">
        <v>1124.8489999999999</v>
      </c>
      <c r="E2322" s="4">
        <v>1125.1310000000001</v>
      </c>
      <c r="F2322" s="4"/>
      <c r="G2322" s="4"/>
      <c r="H2322" s="27" t="s">
        <v>3900</v>
      </c>
      <c r="I2322" s="4"/>
      <c r="J2322" s="6">
        <v>0</v>
      </c>
      <c r="K2322" s="30" t="s">
        <v>3207</v>
      </c>
      <c r="L2322" s="4"/>
      <c r="M2322" s="3"/>
    </row>
    <row r="2323" spans="1:13" x14ac:dyDescent="0.3">
      <c r="A2323" s="3">
        <v>101</v>
      </c>
      <c r="B2323" s="3">
        <v>101</v>
      </c>
      <c r="C2323" s="4">
        <v>1125.5250000000001</v>
      </c>
      <c r="D2323" s="4">
        <v>1125.1310000000001</v>
      </c>
      <c r="E2323" s="4">
        <v>1125.9179999999999</v>
      </c>
      <c r="F2323" s="4"/>
      <c r="G2323" s="4"/>
      <c r="H2323" s="28" t="s">
        <v>3901</v>
      </c>
      <c r="I2323" s="4"/>
      <c r="J2323" s="6">
        <v>0</v>
      </c>
      <c r="K2323" s="29" t="s">
        <v>3207</v>
      </c>
      <c r="L2323" s="4"/>
      <c r="M2323" s="3"/>
    </row>
    <row r="2324" spans="1:13" x14ac:dyDescent="0.3">
      <c r="A2324" s="3">
        <v>101</v>
      </c>
      <c r="B2324" s="3">
        <v>101</v>
      </c>
      <c r="C2324" s="4">
        <v>1125.9949999999999</v>
      </c>
      <c r="D2324" s="4">
        <v>1125.9179999999999</v>
      </c>
      <c r="E2324" s="4">
        <v>1126.0719999999999</v>
      </c>
      <c r="F2324" s="4"/>
      <c r="G2324" s="4"/>
      <c r="H2324" s="27" t="s">
        <v>3902</v>
      </c>
      <c r="I2324" s="4"/>
      <c r="J2324" s="6">
        <v>0</v>
      </c>
      <c r="K2324" s="30" t="s">
        <v>3207</v>
      </c>
      <c r="L2324" s="4"/>
      <c r="M2324" s="3"/>
    </row>
    <row r="2325" spans="1:13" x14ac:dyDescent="0.3">
      <c r="A2325" s="3">
        <v>101</v>
      </c>
      <c r="B2325" s="3">
        <v>101</v>
      </c>
      <c r="C2325" s="4">
        <v>1126.2850000000001</v>
      </c>
      <c r="D2325" s="4">
        <v>1126.0719999999999</v>
      </c>
      <c r="E2325" s="4">
        <v>1126.498</v>
      </c>
      <c r="F2325" s="4"/>
      <c r="G2325" s="4"/>
      <c r="H2325" s="28" t="s">
        <v>3903</v>
      </c>
      <c r="I2325" s="4"/>
      <c r="J2325" s="6">
        <v>0</v>
      </c>
      <c r="K2325" s="29" t="s">
        <v>3207</v>
      </c>
      <c r="L2325" s="4"/>
      <c r="M2325" s="3"/>
    </row>
    <row r="2326" spans="1:13" x14ac:dyDescent="0.3">
      <c r="A2326" s="3">
        <v>101</v>
      </c>
      <c r="B2326" s="3">
        <v>101</v>
      </c>
      <c r="C2326" s="4">
        <v>1127.088</v>
      </c>
      <c r="D2326" s="4">
        <v>1126.498</v>
      </c>
      <c r="E2326" s="4">
        <v>1127.6780000000001</v>
      </c>
      <c r="F2326" s="4"/>
      <c r="G2326" s="4"/>
      <c r="H2326" s="27" t="s">
        <v>3904</v>
      </c>
      <c r="I2326" s="4"/>
      <c r="J2326" s="6">
        <v>0</v>
      </c>
      <c r="K2326" s="30" t="s">
        <v>3207</v>
      </c>
      <c r="L2326" s="4"/>
      <c r="M2326" s="3"/>
    </row>
    <row r="2327" spans="1:13" x14ac:dyDescent="0.3">
      <c r="A2327" s="3">
        <v>101</v>
      </c>
      <c r="B2327" s="3">
        <v>101</v>
      </c>
      <c r="C2327" s="4">
        <v>1127.954</v>
      </c>
      <c r="D2327" s="4">
        <v>1127.6780000000001</v>
      </c>
      <c r="E2327" s="4">
        <v>1128.229</v>
      </c>
      <c r="F2327" s="4"/>
      <c r="G2327" s="4"/>
      <c r="H2327" s="28" t="s">
        <v>3905</v>
      </c>
      <c r="I2327" s="4"/>
      <c r="J2327" s="6">
        <v>0</v>
      </c>
      <c r="K2327" s="29" t="s">
        <v>3207</v>
      </c>
      <c r="L2327" s="4"/>
      <c r="M2327" s="3"/>
    </row>
    <row r="2328" spans="1:13" x14ac:dyDescent="0.3">
      <c r="A2328" s="3">
        <v>101</v>
      </c>
      <c r="B2328" s="3">
        <v>101</v>
      </c>
      <c r="C2328" s="4">
        <v>1128.78</v>
      </c>
      <c r="D2328" s="4">
        <v>1128.229</v>
      </c>
      <c r="E2328" s="4">
        <v>1129.33</v>
      </c>
      <c r="F2328" s="4"/>
      <c r="G2328" s="4"/>
      <c r="H2328" s="27" t="s">
        <v>3906</v>
      </c>
      <c r="I2328" s="4"/>
      <c r="J2328" s="6">
        <v>0</v>
      </c>
      <c r="K2328" s="30" t="s">
        <v>3207</v>
      </c>
      <c r="L2328" s="4"/>
      <c r="M2328" s="3"/>
    </row>
    <row r="2329" spans="1:13" x14ac:dyDescent="0.3">
      <c r="A2329" s="3">
        <v>101</v>
      </c>
      <c r="B2329" s="3">
        <v>101</v>
      </c>
      <c r="C2329" s="4">
        <v>1129.723</v>
      </c>
      <c r="D2329" s="4">
        <v>1129.33</v>
      </c>
      <c r="E2329" s="4">
        <v>1130.115</v>
      </c>
      <c r="F2329" s="4"/>
      <c r="G2329" s="4"/>
      <c r="H2329" s="28" t="s">
        <v>3907</v>
      </c>
      <c r="I2329" s="4"/>
      <c r="J2329" s="6">
        <v>0</v>
      </c>
      <c r="K2329" s="29" t="s">
        <v>3207</v>
      </c>
      <c r="L2329" s="4"/>
      <c r="M2329" s="3"/>
    </row>
    <row r="2330" spans="1:13" x14ac:dyDescent="0.3">
      <c r="A2330" s="3">
        <v>101</v>
      </c>
      <c r="B2330" s="3">
        <v>101</v>
      </c>
      <c r="C2330" s="4">
        <v>1130.633</v>
      </c>
      <c r="D2330" s="4">
        <v>1130.115</v>
      </c>
      <c r="E2330" s="4">
        <v>1131.1510000000001</v>
      </c>
      <c r="F2330" s="4"/>
      <c r="G2330" s="4"/>
      <c r="H2330" s="27" t="s">
        <v>3908</v>
      </c>
      <c r="I2330" s="4"/>
      <c r="J2330" s="6">
        <v>0</v>
      </c>
      <c r="K2330" s="30" t="s">
        <v>3207</v>
      </c>
      <c r="L2330" s="4"/>
      <c r="M2330" s="3"/>
    </row>
    <row r="2331" spans="1:13" x14ac:dyDescent="0.3">
      <c r="A2331" s="3">
        <v>101</v>
      </c>
      <c r="B2331" s="3">
        <v>101</v>
      </c>
      <c r="C2331" s="4">
        <v>1131.6210000000001</v>
      </c>
      <c r="D2331" s="4">
        <v>1131.1510000000001</v>
      </c>
      <c r="E2331" s="4">
        <v>1132.0909999999999</v>
      </c>
      <c r="F2331" s="4"/>
      <c r="G2331" s="4"/>
      <c r="H2331" s="28" t="s">
        <v>3909</v>
      </c>
      <c r="I2331" s="4"/>
      <c r="J2331" s="6">
        <v>0</v>
      </c>
      <c r="K2331" s="29" t="s">
        <v>3207</v>
      </c>
      <c r="L2331" s="4"/>
      <c r="M2331" s="3"/>
    </row>
    <row r="2332" spans="1:13" x14ac:dyDescent="0.3">
      <c r="A2332" s="3">
        <v>101</v>
      </c>
      <c r="B2332" s="3">
        <v>101</v>
      </c>
      <c r="C2332" s="4">
        <v>1132.146</v>
      </c>
      <c r="D2332" s="4">
        <v>1132.0909999999999</v>
      </c>
      <c r="E2332" s="4">
        <v>1132.201</v>
      </c>
      <c r="F2332" s="4"/>
      <c r="G2332" s="4"/>
      <c r="H2332" s="27" t="s">
        <v>3910</v>
      </c>
      <c r="I2332" s="4"/>
      <c r="J2332" s="6">
        <v>0</v>
      </c>
      <c r="K2332" s="30" t="s">
        <v>3207</v>
      </c>
      <c r="L2332" s="4"/>
      <c r="M2332" s="3"/>
    </row>
    <row r="2333" spans="1:13" x14ac:dyDescent="0.3">
      <c r="A2333" s="3">
        <v>101</v>
      </c>
      <c r="B2333" s="3">
        <v>101</v>
      </c>
      <c r="C2333" s="4">
        <v>1132.396</v>
      </c>
      <c r="D2333" s="4">
        <v>1132.201</v>
      </c>
      <c r="E2333" s="4">
        <v>1132.5899999999999</v>
      </c>
      <c r="F2333" s="4"/>
      <c r="G2333" s="4"/>
      <c r="H2333" s="28" t="s">
        <v>3911</v>
      </c>
      <c r="I2333" s="4"/>
      <c r="J2333" s="6">
        <v>0</v>
      </c>
      <c r="K2333" s="29" t="s">
        <v>3207</v>
      </c>
      <c r="L2333" s="4"/>
      <c r="M2333" s="3"/>
    </row>
    <row r="2334" spans="1:13" x14ac:dyDescent="0.3">
      <c r="A2334" s="3">
        <v>101</v>
      </c>
      <c r="B2334" s="3">
        <v>101</v>
      </c>
      <c r="C2334" s="4">
        <v>1132.6659999999999</v>
      </c>
      <c r="D2334" s="4">
        <v>1132.5899999999999</v>
      </c>
      <c r="E2334" s="4">
        <v>1132.742</v>
      </c>
      <c r="F2334" s="4"/>
      <c r="G2334" s="4"/>
      <c r="H2334" s="27" t="s">
        <v>3912</v>
      </c>
      <c r="I2334" s="4"/>
      <c r="J2334" s="6">
        <v>0</v>
      </c>
      <c r="K2334" s="30" t="s">
        <v>3207</v>
      </c>
      <c r="L2334" s="4"/>
      <c r="M2334" s="3"/>
    </row>
    <row r="2335" spans="1:13" x14ac:dyDescent="0.3">
      <c r="A2335" s="3">
        <v>101</v>
      </c>
      <c r="B2335" s="3">
        <v>101</v>
      </c>
      <c r="C2335" s="4">
        <v>1132.943</v>
      </c>
      <c r="D2335" s="4">
        <v>1132.742</v>
      </c>
      <c r="E2335" s="4">
        <v>1133.144</v>
      </c>
      <c r="F2335" s="4"/>
      <c r="G2335" s="4"/>
      <c r="H2335" s="28" t="s">
        <v>3913</v>
      </c>
      <c r="I2335" s="4"/>
      <c r="J2335" s="6">
        <v>0</v>
      </c>
      <c r="K2335" s="29" t="s">
        <v>3207</v>
      </c>
      <c r="L2335" s="4"/>
      <c r="M2335" s="3"/>
    </row>
    <row r="2336" spans="1:13" x14ac:dyDescent="0.3">
      <c r="A2336" s="3">
        <v>101</v>
      </c>
      <c r="B2336" s="3">
        <v>101</v>
      </c>
      <c r="C2336" s="4">
        <v>1133.2190000000001</v>
      </c>
      <c r="D2336" s="4">
        <v>1133.144</v>
      </c>
      <c r="E2336" s="4">
        <v>1133.2940000000001</v>
      </c>
      <c r="F2336" s="4"/>
      <c r="G2336" s="4"/>
      <c r="H2336" s="27" t="s">
        <v>3914</v>
      </c>
      <c r="I2336" s="4"/>
      <c r="J2336" s="6">
        <v>0</v>
      </c>
      <c r="K2336" s="30" t="s">
        <v>3207</v>
      </c>
      <c r="L2336" s="4"/>
      <c r="M2336" s="3"/>
    </row>
    <row r="2337" spans="1:13" x14ac:dyDescent="0.3">
      <c r="A2337" s="3">
        <v>101</v>
      </c>
      <c r="B2337" s="3">
        <v>101</v>
      </c>
      <c r="C2337" s="4">
        <v>1133.567</v>
      </c>
      <c r="D2337" s="4">
        <v>1133.2940000000001</v>
      </c>
      <c r="E2337" s="4">
        <v>1133.8389999999999</v>
      </c>
      <c r="F2337" s="4"/>
      <c r="G2337" s="4"/>
      <c r="H2337" s="28" t="s">
        <v>3915</v>
      </c>
      <c r="I2337" s="4"/>
      <c r="J2337" s="6">
        <v>0</v>
      </c>
      <c r="K2337" s="29" t="s">
        <v>3207</v>
      </c>
      <c r="L2337" s="4"/>
      <c r="M2337" s="3"/>
    </row>
    <row r="2338" spans="1:13" x14ac:dyDescent="0.3">
      <c r="A2338" s="3">
        <v>101</v>
      </c>
      <c r="B2338" s="3">
        <v>101</v>
      </c>
      <c r="C2338" s="4">
        <v>1133.9690000000001</v>
      </c>
      <c r="D2338" s="4">
        <v>1133.8389999999999</v>
      </c>
      <c r="E2338" s="4">
        <v>1134.0989999999999</v>
      </c>
      <c r="F2338" s="4"/>
      <c r="G2338" s="4"/>
      <c r="H2338" s="27" t="s">
        <v>3916</v>
      </c>
      <c r="I2338" s="4"/>
      <c r="J2338" s="6">
        <v>0</v>
      </c>
      <c r="K2338" s="30" t="s">
        <v>3207</v>
      </c>
      <c r="L2338" s="4"/>
      <c r="M2338" s="3"/>
    </row>
    <row r="2339" spans="1:13" x14ac:dyDescent="0.3">
      <c r="A2339" s="3">
        <v>101</v>
      </c>
      <c r="B2339" s="3">
        <v>101</v>
      </c>
      <c r="C2339" s="4">
        <v>1134.567</v>
      </c>
      <c r="D2339" s="4">
        <v>1134.0989999999999</v>
      </c>
      <c r="E2339" s="4">
        <v>1135.0340000000001</v>
      </c>
      <c r="F2339" s="4"/>
      <c r="G2339" s="4"/>
      <c r="H2339" s="28" t="s">
        <v>3917</v>
      </c>
      <c r="I2339" s="4"/>
      <c r="J2339" s="6">
        <v>0</v>
      </c>
      <c r="K2339" s="29" t="s">
        <v>3207</v>
      </c>
      <c r="L2339" s="4"/>
      <c r="M2339" s="3"/>
    </row>
    <row r="2340" spans="1:13" x14ac:dyDescent="0.3">
      <c r="A2340" s="3">
        <v>101</v>
      </c>
      <c r="B2340" s="3">
        <v>101</v>
      </c>
      <c r="C2340" s="4">
        <v>1135.2080000000001</v>
      </c>
      <c r="D2340" s="4">
        <v>1135.0340000000001</v>
      </c>
      <c r="E2340" s="4">
        <v>1135.3810000000001</v>
      </c>
      <c r="F2340" s="4"/>
      <c r="G2340" s="4"/>
      <c r="H2340" s="27" t="s">
        <v>3918</v>
      </c>
      <c r="I2340" s="4"/>
      <c r="J2340" s="6">
        <v>0</v>
      </c>
      <c r="K2340" s="30" t="s">
        <v>3207</v>
      </c>
      <c r="L2340" s="4"/>
      <c r="M2340" s="3"/>
    </row>
    <row r="2341" spans="1:13" x14ac:dyDescent="0.3">
      <c r="A2341" s="3">
        <v>101</v>
      </c>
      <c r="B2341" s="3">
        <v>101</v>
      </c>
      <c r="C2341" s="4">
        <v>1135.6189999999999</v>
      </c>
      <c r="D2341" s="4">
        <v>1135.3810000000001</v>
      </c>
      <c r="E2341" s="4">
        <v>1135.856</v>
      </c>
      <c r="F2341" s="4"/>
      <c r="G2341" s="4"/>
      <c r="H2341" s="28" t="s">
        <v>3919</v>
      </c>
      <c r="I2341" s="4"/>
      <c r="J2341" s="6">
        <v>0</v>
      </c>
      <c r="K2341" s="29" t="s">
        <v>3207</v>
      </c>
      <c r="L2341" s="4"/>
      <c r="M2341" s="3"/>
    </row>
    <row r="2342" spans="1:13" x14ac:dyDescent="0.3">
      <c r="A2342" s="3">
        <v>101</v>
      </c>
      <c r="B2342" s="3">
        <v>101</v>
      </c>
      <c r="C2342" s="4">
        <v>1135.8820000000001</v>
      </c>
      <c r="D2342" s="4">
        <v>1135.856</v>
      </c>
      <c r="E2342" s="4">
        <v>1135.9069999999999</v>
      </c>
      <c r="F2342" s="4"/>
      <c r="G2342" s="4"/>
      <c r="H2342" s="27" t="s">
        <v>3920</v>
      </c>
      <c r="I2342" s="4"/>
      <c r="J2342" s="6">
        <v>0</v>
      </c>
      <c r="K2342" s="30" t="s">
        <v>3207</v>
      </c>
      <c r="L2342" s="4"/>
      <c r="M2342" s="3"/>
    </row>
    <row r="2343" spans="1:13" x14ac:dyDescent="0.3">
      <c r="A2343" s="3">
        <v>101</v>
      </c>
      <c r="B2343" s="3">
        <v>101</v>
      </c>
      <c r="C2343" s="4">
        <v>1136.2439999999999</v>
      </c>
      <c r="D2343" s="4">
        <v>1135.9069999999999</v>
      </c>
      <c r="E2343" s="4">
        <v>1136.58</v>
      </c>
      <c r="F2343" s="4"/>
      <c r="G2343" s="4"/>
      <c r="H2343" s="28" t="s">
        <v>3921</v>
      </c>
      <c r="I2343" s="4"/>
      <c r="J2343" s="6">
        <v>0</v>
      </c>
      <c r="K2343" s="29" t="s">
        <v>3207</v>
      </c>
      <c r="L2343" s="4"/>
      <c r="M2343" s="3"/>
    </row>
    <row r="2344" spans="1:13" x14ac:dyDescent="0.3">
      <c r="A2344" s="3">
        <v>101</v>
      </c>
      <c r="B2344" s="3">
        <v>101</v>
      </c>
      <c r="C2344" s="4">
        <v>1136.5840000000001</v>
      </c>
      <c r="D2344" s="4">
        <v>1136.58</v>
      </c>
      <c r="E2344" s="4">
        <v>1136.587</v>
      </c>
      <c r="F2344" s="4"/>
      <c r="G2344" s="4"/>
      <c r="H2344" s="27" t="s">
        <v>3922</v>
      </c>
      <c r="I2344" s="4"/>
      <c r="J2344" s="6">
        <v>0</v>
      </c>
      <c r="K2344" s="30" t="s">
        <v>3207</v>
      </c>
      <c r="L2344" s="4"/>
      <c r="M2344" s="3"/>
    </row>
    <row r="2345" spans="1:13" x14ac:dyDescent="0.3">
      <c r="A2345" s="3">
        <v>101</v>
      </c>
      <c r="B2345" s="3">
        <v>101</v>
      </c>
      <c r="C2345" s="4">
        <v>1136.96</v>
      </c>
      <c r="D2345" s="4">
        <v>1136.587</v>
      </c>
      <c r="E2345" s="4">
        <v>1137.3320000000001</v>
      </c>
      <c r="F2345" s="4"/>
      <c r="G2345" s="4"/>
      <c r="H2345" s="28" t="s">
        <v>3923</v>
      </c>
      <c r="I2345" s="4"/>
      <c r="J2345" s="6">
        <v>0</v>
      </c>
      <c r="K2345" s="29" t="s">
        <v>3207</v>
      </c>
      <c r="L2345" s="4"/>
      <c r="M2345" s="3"/>
    </row>
    <row r="2346" spans="1:13" x14ac:dyDescent="0.3">
      <c r="A2346" s="3">
        <v>101</v>
      </c>
      <c r="B2346" s="3">
        <v>101</v>
      </c>
      <c r="C2346" s="4">
        <v>1137.402</v>
      </c>
      <c r="D2346" s="4">
        <v>1137.3320000000001</v>
      </c>
      <c r="E2346" s="4">
        <v>1137.472</v>
      </c>
      <c r="F2346" s="4"/>
      <c r="G2346" s="4"/>
      <c r="H2346" s="27" t="s">
        <v>3924</v>
      </c>
      <c r="I2346" s="4"/>
      <c r="J2346" s="6">
        <v>0</v>
      </c>
      <c r="K2346" s="30" t="s">
        <v>3207</v>
      </c>
      <c r="L2346" s="4"/>
      <c r="M2346" s="3"/>
    </row>
    <row r="2347" spans="1:13" x14ac:dyDescent="0.3">
      <c r="A2347" s="3">
        <v>101</v>
      </c>
      <c r="B2347" s="3">
        <v>101</v>
      </c>
      <c r="C2347" s="4">
        <v>1137.777</v>
      </c>
      <c r="D2347" s="4">
        <v>1137.472</v>
      </c>
      <c r="E2347" s="4">
        <v>1138.0809999999999</v>
      </c>
      <c r="F2347" s="4"/>
      <c r="G2347" s="4"/>
      <c r="H2347" s="28" t="s">
        <v>3925</v>
      </c>
      <c r="I2347" s="4"/>
      <c r="J2347" s="6">
        <v>0</v>
      </c>
      <c r="K2347" s="29" t="s">
        <v>3207</v>
      </c>
      <c r="L2347" s="4"/>
      <c r="M2347" s="3"/>
    </row>
    <row r="2348" spans="1:13" x14ac:dyDescent="0.3">
      <c r="A2348" s="3">
        <v>101</v>
      </c>
      <c r="B2348" s="3">
        <v>101</v>
      </c>
      <c r="C2348" s="4">
        <v>1138.2090000000001</v>
      </c>
      <c r="D2348" s="4">
        <v>1138.0809999999999</v>
      </c>
      <c r="E2348" s="4">
        <v>1138.337</v>
      </c>
      <c r="F2348" s="4"/>
      <c r="G2348" s="4"/>
      <c r="H2348" s="27" t="s">
        <v>3926</v>
      </c>
      <c r="I2348" s="4"/>
      <c r="J2348" s="6">
        <v>0</v>
      </c>
      <c r="K2348" s="30" t="s">
        <v>3207</v>
      </c>
      <c r="L2348" s="4"/>
      <c r="M2348" s="3"/>
    </row>
    <row r="2349" spans="1:13" x14ac:dyDescent="0.3">
      <c r="A2349" s="3">
        <v>101</v>
      </c>
      <c r="B2349" s="3">
        <v>101</v>
      </c>
      <c r="C2349" s="4">
        <v>1138.951</v>
      </c>
      <c r="D2349" s="4">
        <v>1138.337</v>
      </c>
      <c r="E2349" s="4">
        <v>1139.5650000000001</v>
      </c>
      <c r="F2349" s="4"/>
      <c r="G2349" s="4"/>
      <c r="H2349" s="28" t="s">
        <v>3927</v>
      </c>
      <c r="I2349" s="4"/>
      <c r="J2349" s="6">
        <v>0</v>
      </c>
      <c r="K2349" s="29" t="s">
        <v>3207</v>
      </c>
      <c r="L2349" s="4"/>
      <c r="M2349" s="3"/>
    </row>
    <row r="2350" spans="1:13" x14ac:dyDescent="0.3">
      <c r="A2350" s="3">
        <v>101</v>
      </c>
      <c r="B2350" s="3">
        <v>101</v>
      </c>
      <c r="C2350" s="4">
        <v>1139.837</v>
      </c>
      <c r="D2350" s="4">
        <v>1139.5650000000001</v>
      </c>
      <c r="E2350" s="4">
        <v>1140.1089999999999</v>
      </c>
      <c r="F2350" s="4"/>
      <c r="G2350" s="4"/>
      <c r="H2350" s="27" t="s">
        <v>3928</v>
      </c>
      <c r="I2350" s="4"/>
      <c r="J2350" s="6">
        <v>0</v>
      </c>
      <c r="K2350" s="30" t="s">
        <v>3207</v>
      </c>
      <c r="L2350" s="4"/>
      <c r="M2350" s="3"/>
    </row>
    <row r="2351" spans="1:13" x14ac:dyDescent="0.3">
      <c r="A2351" s="3">
        <v>101</v>
      </c>
      <c r="B2351" s="3">
        <v>101</v>
      </c>
      <c r="C2351" s="4">
        <v>1140.5129999999999</v>
      </c>
      <c r="D2351" s="4">
        <v>1140.1089999999999</v>
      </c>
      <c r="E2351" s="4">
        <v>1140.9169999999999</v>
      </c>
      <c r="F2351" s="4"/>
      <c r="G2351" s="4"/>
      <c r="H2351" s="28" t="s">
        <v>3929</v>
      </c>
      <c r="I2351" s="4"/>
      <c r="J2351" s="6">
        <v>0</v>
      </c>
      <c r="K2351" s="29" t="s">
        <v>3207</v>
      </c>
      <c r="L2351" s="4"/>
      <c r="M2351" s="3"/>
    </row>
    <row r="2352" spans="1:13" x14ac:dyDescent="0.3">
      <c r="A2352" s="3">
        <v>101</v>
      </c>
      <c r="B2352" s="3">
        <v>101</v>
      </c>
      <c r="C2352" s="4">
        <v>1141.3579999999999</v>
      </c>
      <c r="D2352" s="4">
        <v>1140.9169999999999</v>
      </c>
      <c r="E2352" s="4">
        <v>1141.798</v>
      </c>
      <c r="F2352" s="4"/>
      <c r="G2352" s="4"/>
      <c r="H2352" s="27" t="s">
        <v>3930</v>
      </c>
      <c r="I2352" s="4"/>
      <c r="J2352" s="6">
        <v>0</v>
      </c>
      <c r="K2352" s="30" t="s">
        <v>3207</v>
      </c>
      <c r="L2352" s="4"/>
      <c r="M2352" s="3"/>
    </row>
    <row r="2353" spans="1:13" x14ac:dyDescent="0.3">
      <c r="A2353" s="3">
        <v>101</v>
      </c>
      <c r="B2353" s="3">
        <v>101</v>
      </c>
      <c r="C2353" s="4">
        <v>1142.1179999999999</v>
      </c>
      <c r="D2353" s="4">
        <v>1141.798</v>
      </c>
      <c r="E2353" s="4">
        <v>1142.4380000000001</v>
      </c>
      <c r="F2353" s="4"/>
      <c r="G2353" s="4"/>
      <c r="H2353" s="28" t="s">
        <v>3931</v>
      </c>
      <c r="I2353" s="4"/>
      <c r="J2353" s="6">
        <v>0</v>
      </c>
      <c r="K2353" s="29" t="s">
        <v>3207</v>
      </c>
      <c r="L2353" s="4"/>
      <c r="M2353" s="3"/>
    </row>
    <row r="2354" spans="1:13" x14ac:dyDescent="0.3">
      <c r="A2354" s="3">
        <v>101</v>
      </c>
      <c r="B2354" s="3">
        <v>101</v>
      </c>
      <c r="C2354" s="4">
        <v>1142.7329999999999</v>
      </c>
      <c r="D2354" s="4">
        <v>1142.4380000000001</v>
      </c>
      <c r="E2354" s="4">
        <v>1143.028</v>
      </c>
      <c r="F2354" s="4"/>
      <c r="G2354" s="4"/>
      <c r="H2354" s="27" t="s">
        <v>3932</v>
      </c>
      <c r="I2354" s="4"/>
      <c r="J2354" s="6">
        <v>0</v>
      </c>
      <c r="K2354" s="30" t="s">
        <v>3207</v>
      </c>
      <c r="L2354" s="4"/>
      <c r="M2354" s="3"/>
    </row>
    <row r="2355" spans="1:13" x14ac:dyDescent="0.3">
      <c r="A2355" s="3">
        <v>101</v>
      </c>
      <c r="B2355" s="3">
        <v>101</v>
      </c>
      <c r="C2355" s="4">
        <v>1143.384</v>
      </c>
      <c r="D2355" s="4">
        <v>1143.028</v>
      </c>
      <c r="E2355" s="4">
        <v>1143.739</v>
      </c>
      <c r="F2355" s="4"/>
      <c r="G2355" s="4"/>
      <c r="H2355" s="28" t="s">
        <v>3933</v>
      </c>
      <c r="I2355" s="4"/>
      <c r="J2355" s="6">
        <v>0</v>
      </c>
      <c r="K2355" s="29" t="s">
        <v>3207</v>
      </c>
      <c r="L2355" s="4"/>
      <c r="M2355" s="3"/>
    </row>
    <row r="2356" spans="1:13" x14ac:dyDescent="0.3">
      <c r="A2356" s="3">
        <v>101</v>
      </c>
      <c r="B2356" s="3">
        <v>101</v>
      </c>
      <c r="C2356" s="4">
        <v>1144.252</v>
      </c>
      <c r="D2356" s="4">
        <v>1143.739</v>
      </c>
      <c r="E2356" s="4">
        <v>1144.7650000000001</v>
      </c>
      <c r="F2356" s="4"/>
      <c r="G2356" s="4"/>
      <c r="H2356" s="27" t="s">
        <v>3934</v>
      </c>
      <c r="I2356" s="4"/>
      <c r="J2356" s="6">
        <v>0</v>
      </c>
      <c r="K2356" s="30" t="s">
        <v>3207</v>
      </c>
      <c r="L2356" s="4"/>
      <c r="M2356" s="3"/>
    </row>
    <row r="2357" spans="1:13" x14ac:dyDescent="0.3">
      <c r="A2357" s="3">
        <v>101</v>
      </c>
      <c r="B2357" s="3">
        <v>101</v>
      </c>
      <c r="C2357" s="4">
        <v>1144.9390000000001</v>
      </c>
      <c r="D2357" s="4">
        <v>1144.7650000000001</v>
      </c>
      <c r="E2357" s="4">
        <v>1145.1130000000001</v>
      </c>
      <c r="F2357" s="4"/>
      <c r="G2357" s="4"/>
      <c r="H2357" s="28" t="s">
        <v>3935</v>
      </c>
      <c r="I2357" s="4"/>
      <c r="J2357" s="6">
        <v>0</v>
      </c>
      <c r="K2357" s="29" t="s">
        <v>3207</v>
      </c>
      <c r="L2357" s="4"/>
      <c r="M2357" s="3"/>
    </row>
    <row r="2358" spans="1:13" x14ac:dyDescent="0.3">
      <c r="A2358" s="3">
        <v>101</v>
      </c>
      <c r="B2358" s="3">
        <v>101</v>
      </c>
      <c r="C2358" s="4">
        <v>1145.6379999999999</v>
      </c>
      <c r="D2358" s="4">
        <v>1145.1130000000001</v>
      </c>
      <c r="E2358" s="4">
        <v>1146.163</v>
      </c>
      <c r="F2358" s="4"/>
      <c r="G2358" s="4"/>
      <c r="H2358" s="27" t="s">
        <v>3936</v>
      </c>
      <c r="I2358" s="4"/>
      <c r="J2358" s="6">
        <v>0</v>
      </c>
      <c r="K2358" s="30" t="s">
        <v>3207</v>
      </c>
      <c r="L2358" s="4"/>
      <c r="M2358" s="3"/>
    </row>
    <row r="2359" spans="1:13" x14ac:dyDescent="0.3">
      <c r="A2359" s="3">
        <v>101</v>
      </c>
      <c r="B2359" s="3">
        <v>101</v>
      </c>
      <c r="C2359" s="4">
        <v>1146.4770000000001</v>
      </c>
      <c r="D2359" s="4">
        <v>1146.163</v>
      </c>
      <c r="E2359" s="4">
        <v>1146.79</v>
      </c>
      <c r="F2359" s="4"/>
      <c r="G2359" s="4"/>
      <c r="H2359" s="28" t="s">
        <v>3937</v>
      </c>
      <c r="I2359" s="4"/>
      <c r="J2359" s="6">
        <v>0</v>
      </c>
      <c r="K2359" s="29" t="s">
        <v>3207</v>
      </c>
      <c r="L2359" s="4"/>
      <c r="M2359" s="3"/>
    </row>
    <row r="2360" spans="1:13" x14ac:dyDescent="0.3">
      <c r="A2360" s="3">
        <v>101</v>
      </c>
      <c r="B2360" s="3">
        <v>101</v>
      </c>
      <c r="C2360" s="4">
        <v>1146.9949999999999</v>
      </c>
      <c r="D2360" s="4">
        <v>1146.79</v>
      </c>
      <c r="E2360" s="4">
        <v>1147.2</v>
      </c>
      <c r="F2360" s="4"/>
      <c r="G2360" s="4"/>
      <c r="H2360" s="27" t="s">
        <v>3938</v>
      </c>
      <c r="I2360" s="4"/>
      <c r="J2360" s="6">
        <v>0</v>
      </c>
      <c r="K2360" s="30" t="s">
        <v>3207</v>
      </c>
      <c r="L2360" s="4"/>
      <c r="M2360" s="3"/>
    </row>
    <row r="2361" spans="1:13" x14ac:dyDescent="0.3">
      <c r="A2361" s="3">
        <v>101</v>
      </c>
      <c r="B2361" s="3">
        <v>101</v>
      </c>
      <c r="C2361" s="4">
        <v>1147.981</v>
      </c>
      <c r="D2361" s="4">
        <v>1147.2</v>
      </c>
      <c r="E2361" s="4">
        <v>1148.761</v>
      </c>
      <c r="F2361" s="4"/>
      <c r="G2361" s="4"/>
      <c r="H2361" s="28" t="s">
        <v>3939</v>
      </c>
      <c r="I2361" s="4"/>
      <c r="J2361" s="6">
        <v>0</v>
      </c>
      <c r="K2361" s="29" t="s">
        <v>3207</v>
      </c>
      <c r="L2361" s="4"/>
      <c r="M2361" s="3"/>
    </row>
    <row r="2362" spans="1:13" x14ac:dyDescent="0.3">
      <c r="A2362" s="3">
        <v>101</v>
      </c>
      <c r="B2362" s="3">
        <v>101</v>
      </c>
      <c r="C2362" s="4">
        <v>1148.896</v>
      </c>
      <c r="D2362" s="4">
        <v>1148.761</v>
      </c>
      <c r="E2362" s="4">
        <v>1149.03</v>
      </c>
      <c r="F2362" s="4"/>
      <c r="G2362" s="4"/>
      <c r="H2362" s="27" t="s">
        <v>3940</v>
      </c>
      <c r="I2362" s="4"/>
      <c r="J2362" s="6">
        <v>0</v>
      </c>
      <c r="K2362" s="30" t="s">
        <v>3207</v>
      </c>
      <c r="L2362" s="4"/>
      <c r="M2362" s="3"/>
    </row>
    <row r="2363" spans="1:13" x14ac:dyDescent="0.3">
      <c r="A2363" s="3">
        <v>101</v>
      </c>
      <c r="B2363" s="3">
        <v>101</v>
      </c>
      <c r="C2363" s="4">
        <v>1149.52</v>
      </c>
      <c r="D2363" s="4">
        <v>1149.03</v>
      </c>
      <c r="E2363" s="4">
        <v>1150.01</v>
      </c>
      <c r="F2363" s="4"/>
      <c r="G2363" s="4"/>
      <c r="H2363" s="28" t="s">
        <v>3941</v>
      </c>
      <c r="I2363" s="4"/>
      <c r="J2363" s="6">
        <v>0</v>
      </c>
      <c r="K2363" s="29" t="s">
        <v>3207</v>
      </c>
      <c r="L2363" s="4"/>
      <c r="M2363" s="3"/>
    </row>
    <row r="2364" spans="1:13" x14ac:dyDescent="0.3">
      <c r="A2364" s="3">
        <v>101</v>
      </c>
      <c r="B2364" s="3">
        <v>101</v>
      </c>
      <c r="C2364" s="4">
        <v>1150.3150000000001</v>
      </c>
      <c r="D2364" s="4">
        <v>1150.01</v>
      </c>
      <c r="E2364" s="4">
        <v>1150.6199999999999</v>
      </c>
      <c r="F2364" s="4"/>
      <c r="G2364" s="4"/>
      <c r="H2364" s="27" t="s">
        <v>3942</v>
      </c>
      <c r="I2364" s="4"/>
      <c r="J2364" s="6">
        <v>0</v>
      </c>
      <c r="K2364" s="30" t="s">
        <v>3207</v>
      </c>
      <c r="L2364" s="4"/>
      <c r="M2364" s="3"/>
    </row>
    <row r="2365" spans="1:13" x14ac:dyDescent="0.3">
      <c r="A2365" s="3">
        <v>101</v>
      </c>
      <c r="B2365" s="3">
        <v>101</v>
      </c>
      <c r="C2365" s="4">
        <v>1150.8699999999999</v>
      </c>
      <c r="D2365" s="4">
        <v>1150.6199999999999</v>
      </c>
      <c r="E2365" s="4">
        <v>1151.1199999999999</v>
      </c>
      <c r="F2365" s="4"/>
      <c r="G2365" s="4"/>
      <c r="H2365" s="28" t="s">
        <v>3943</v>
      </c>
      <c r="I2365" s="4"/>
      <c r="J2365" s="6">
        <v>0</v>
      </c>
      <c r="K2365" s="29" t="s">
        <v>3207</v>
      </c>
      <c r="L2365" s="4"/>
      <c r="M2365" s="3"/>
    </row>
    <row r="2366" spans="1:13" x14ac:dyDescent="0.3">
      <c r="A2366" s="3">
        <v>101</v>
      </c>
      <c r="B2366" s="3">
        <v>101</v>
      </c>
      <c r="C2366" s="4">
        <v>1151.6600000000001</v>
      </c>
      <c r="D2366" s="4">
        <v>1151.1199999999999</v>
      </c>
      <c r="E2366" s="4">
        <v>1152.2</v>
      </c>
      <c r="F2366" s="4"/>
      <c r="G2366" s="4"/>
      <c r="H2366" s="27" t="s">
        <v>3944</v>
      </c>
      <c r="I2366" s="4"/>
      <c r="J2366" s="6">
        <v>0</v>
      </c>
      <c r="K2366" s="30" t="s">
        <v>3207</v>
      </c>
      <c r="L2366" s="4"/>
      <c r="M2366" s="3"/>
    </row>
    <row r="2367" spans="1:13" x14ac:dyDescent="0.3">
      <c r="A2367" s="3">
        <v>101</v>
      </c>
      <c r="B2367" s="3">
        <v>101</v>
      </c>
      <c r="C2367" s="4">
        <v>1152.7550000000001</v>
      </c>
      <c r="D2367" s="4">
        <v>1152.2</v>
      </c>
      <c r="E2367" s="4">
        <v>1153.31</v>
      </c>
      <c r="F2367" s="4"/>
      <c r="G2367" s="4"/>
      <c r="H2367" s="28" t="s">
        <v>3945</v>
      </c>
      <c r="I2367" s="4"/>
      <c r="J2367" s="6">
        <v>0</v>
      </c>
      <c r="K2367" s="29" t="s">
        <v>3207</v>
      </c>
      <c r="L2367" s="4"/>
      <c r="M2367" s="3"/>
    </row>
    <row r="2368" spans="1:13" x14ac:dyDescent="0.3">
      <c r="A2368" s="3">
        <v>101</v>
      </c>
      <c r="B2368" s="3">
        <v>101</v>
      </c>
      <c r="C2368" s="4">
        <v>1153.68</v>
      </c>
      <c r="D2368" s="4">
        <v>1153.31</v>
      </c>
      <c r="E2368" s="4">
        <v>1154.05</v>
      </c>
      <c r="F2368" s="4"/>
      <c r="G2368" s="4"/>
      <c r="H2368" s="27" t="s">
        <v>3946</v>
      </c>
      <c r="I2368" s="4"/>
      <c r="J2368" s="6">
        <v>0</v>
      </c>
      <c r="K2368" s="30" t="s">
        <v>3207</v>
      </c>
      <c r="L2368" s="4"/>
      <c r="M2368" s="3"/>
    </row>
    <row r="2369" spans="1:13" x14ac:dyDescent="0.3">
      <c r="A2369" s="3">
        <v>101</v>
      </c>
      <c r="B2369" s="3">
        <v>101</v>
      </c>
      <c r="C2369" s="4">
        <v>1154.7429999999999</v>
      </c>
      <c r="D2369" s="4">
        <v>1154.05</v>
      </c>
      <c r="E2369" s="4">
        <v>1155.4349999999999</v>
      </c>
      <c r="F2369" s="4"/>
      <c r="G2369" s="4"/>
      <c r="H2369" s="28" t="s">
        <v>3947</v>
      </c>
      <c r="I2369" s="4"/>
      <c r="J2369" s="6">
        <v>0</v>
      </c>
      <c r="K2369" s="29" t="s">
        <v>3207</v>
      </c>
      <c r="L2369" s="4"/>
      <c r="M2369" s="3"/>
    </row>
    <row r="2370" spans="1:13" x14ac:dyDescent="0.3">
      <c r="A2370" s="3">
        <v>101</v>
      </c>
      <c r="B2370" s="3">
        <v>101</v>
      </c>
      <c r="C2370" s="4">
        <v>1155.645</v>
      </c>
      <c r="D2370" s="4">
        <v>1155.4349999999999</v>
      </c>
      <c r="E2370" s="4">
        <v>1155.855</v>
      </c>
      <c r="F2370" s="4"/>
      <c r="G2370" s="4"/>
      <c r="H2370" s="27" t="s">
        <v>3948</v>
      </c>
      <c r="I2370" s="4"/>
      <c r="J2370" s="6">
        <v>0</v>
      </c>
      <c r="K2370" s="30" t="s">
        <v>3207</v>
      </c>
      <c r="L2370" s="4"/>
      <c r="M2370" s="3"/>
    </row>
    <row r="2371" spans="1:13" x14ac:dyDescent="0.3">
      <c r="A2371" s="3">
        <v>101</v>
      </c>
      <c r="B2371" s="3">
        <v>101</v>
      </c>
      <c r="C2371" s="4">
        <v>1156.3800000000001</v>
      </c>
      <c r="D2371" s="4">
        <v>1155.855</v>
      </c>
      <c r="E2371" s="4">
        <v>1156.905</v>
      </c>
      <c r="F2371" s="4"/>
      <c r="G2371" s="4"/>
      <c r="H2371" s="28" t="s">
        <v>3949</v>
      </c>
      <c r="I2371" s="4"/>
      <c r="J2371" s="6">
        <v>0</v>
      </c>
      <c r="K2371" s="29" t="s">
        <v>3207</v>
      </c>
      <c r="L2371" s="4"/>
      <c r="M2371" s="3"/>
    </row>
    <row r="2372" spans="1:13" x14ac:dyDescent="0.3">
      <c r="A2372" s="3">
        <v>101</v>
      </c>
      <c r="B2372" s="3">
        <v>101</v>
      </c>
      <c r="C2372" s="4">
        <v>1157.365</v>
      </c>
      <c r="D2372" s="4">
        <v>1156.905</v>
      </c>
      <c r="E2372" s="4">
        <v>1157.825</v>
      </c>
      <c r="F2372" s="4"/>
      <c r="G2372" s="4"/>
      <c r="H2372" s="27" t="s">
        <v>3950</v>
      </c>
      <c r="I2372" s="4"/>
      <c r="J2372" s="6">
        <v>0</v>
      </c>
      <c r="K2372" s="30" t="s">
        <v>3207</v>
      </c>
      <c r="L2372" s="4"/>
      <c r="M2372" s="3"/>
    </row>
    <row r="2373" spans="1:13" x14ac:dyDescent="0.3">
      <c r="A2373" s="3">
        <v>101</v>
      </c>
      <c r="B2373" s="3">
        <v>101</v>
      </c>
      <c r="C2373" s="4">
        <v>1158.5050000000001</v>
      </c>
      <c r="D2373" s="4">
        <v>1157.825</v>
      </c>
      <c r="E2373" s="4">
        <v>1159.1849999999999</v>
      </c>
      <c r="F2373" s="4"/>
      <c r="G2373" s="4"/>
      <c r="H2373" s="28" t="s">
        <v>3951</v>
      </c>
      <c r="I2373" s="4"/>
      <c r="J2373" s="6">
        <v>0</v>
      </c>
      <c r="K2373" s="29" t="s">
        <v>3207</v>
      </c>
      <c r="L2373" s="4"/>
      <c r="M2373" s="3"/>
    </row>
    <row r="2374" spans="1:13" x14ac:dyDescent="0.3">
      <c r="A2374" s="3">
        <v>101</v>
      </c>
      <c r="B2374" s="3">
        <v>101</v>
      </c>
      <c r="C2374" s="4">
        <v>1159.2550000000001</v>
      </c>
      <c r="D2374" s="4">
        <v>1159.1849999999999</v>
      </c>
      <c r="E2374" s="4">
        <v>1159.325</v>
      </c>
      <c r="F2374" s="4"/>
      <c r="G2374" s="4"/>
      <c r="H2374" s="27" t="s">
        <v>3952</v>
      </c>
      <c r="I2374" s="4"/>
      <c r="J2374" s="6">
        <v>0</v>
      </c>
      <c r="K2374" s="30" t="s">
        <v>3207</v>
      </c>
      <c r="L2374" s="4"/>
      <c r="M2374" s="3"/>
    </row>
    <row r="2375" spans="1:13" x14ac:dyDescent="0.3">
      <c r="A2375" s="3">
        <v>101</v>
      </c>
      <c r="B2375" s="3">
        <v>101</v>
      </c>
      <c r="C2375" s="4">
        <v>1159.963</v>
      </c>
      <c r="D2375" s="4">
        <v>1159.325</v>
      </c>
      <c r="E2375" s="4">
        <v>1160.5999999999999</v>
      </c>
      <c r="F2375" s="4"/>
      <c r="G2375" s="4"/>
      <c r="H2375" s="28" t="s">
        <v>3953</v>
      </c>
      <c r="I2375" s="4"/>
      <c r="J2375" s="6">
        <v>0</v>
      </c>
      <c r="K2375" s="29" t="s">
        <v>3207</v>
      </c>
      <c r="L2375" s="4"/>
      <c r="M2375" s="3"/>
    </row>
    <row r="2376" spans="1:13" x14ac:dyDescent="0.3">
      <c r="A2376" s="3">
        <v>101</v>
      </c>
      <c r="B2376" s="3">
        <v>101</v>
      </c>
      <c r="C2376" s="4">
        <v>1160.7049999999999</v>
      </c>
      <c r="D2376" s="4">
        <v>1160.5999999999999</v>
      </c>
      <c r="E2376" s="4">
        <v>1160.81</v>
      </c>
      <c r="F2376" s="4"/>
      <c r="G2376" s="4"/>
      <c r="H2376" s="27" t="s">
        <v>3954</v>
      </c>
      <c r="I2376" s="4"/>
      <c r="J2376" s="6">
        <v>0</v>
      </c>
      <c r="K2376" s="30" t="s">
        <v>3207</v>
      </c>
      <c r="L2376" s="4"/>
      <c r="M2376" s="3"/>
    </row>
    <row r="2377" spans="1:13" x14ac:dyDescent="0.3">
      <c r="A2377" s="3">
        <v>101</v>
      </c>
      <c r="B2377" s="3">
        <v>101</v>
      </c>
      <c r="C2377" s="4">
        <v>1161.183</v>
      </c>
      <c r="D2377" s="4">
        <v>1160.81</v>
      </c>
      <c r="E2377" s="4">
        <v>1161.5550000000001</v>
      </c>
      <c r="F2377" s="4"/>
      <c r="G2377" s="4"/>
      <c r="H2377" s="28" t="s">
        <v>3955</v>
      </c>
      <c r="I2377" s="4"/>
      <c r="J2377" s="6">
        <v>0</v>
      </c>
      <c r="K2377" s="29" t="s">
        <v>3207</v>
      </c>
      <c r="L2377" s="4"/>
      <c r="M2377" s="3"/>
    </row>
    <row r="2378" spans="1:13" x14ac:dyDescent="0.3">
      <c r="A2378" s="3">
        <v>101</v>
      </c>
      <c r="B2378" s="3">
        <v>101</v>
      </c>
      <c r="C2378" s="4">
        <v>1161.7629999999999</v>
      </c>
      <c r="D2378" s="4">
        <v>1161.5550000000001</v>
      </c>
      <c r="E2378" s="4">
        <v>1161.97</v>
      </c>
      <c r="F2378" s="4"/>
      <c r="G2378" s="4"/>
      <c r="H2378" s="27" t="s">
        <v>3956</v>
      </c>
      <c r="I2378" s="4"/>
      <c r="J2378" s="6">
        <v>0</v>
      </c>
      <c r="K2378" s="30" t="s">
        <v>3207</v>
      </c>
      <c r="L2378" s="4"/>
      <c r="M2378" s="3"/>
    </row>
    <row r="2379" spans="1:13" x14ac:dyDescent="0.3">
      <c r="A2379" s="3">
        <v>101</v>
      </c>
      <c r="B2379" s="3">
        <v>101</v>
      </c>
      <c r="C2379" s="4">
        <v>1162.2249999999999</v>
      </c>
      <c r="D2379" s="4">
        <v>1161.97</v>
      </c>
      <c r="E2379" s="4">
        <v>1162.48</v>
      </c>
      <c r="F2379" s="4"/>
      <c r="G2379" s="4"/>
      <c r="H2379" s="28" t="s">
        <v>3957</v>
      </c>
      <c r="I2379" s="4"/>
      <c r="J2379" s="6">
        <v>0</v>
      </c>
      <c r="K2379" s="29" t="s">
        <v>3207</v>
      </c>
      <c r="L2379" s="4"/>
      <c r="M2379" s="3"/>
    </row>
    <row r="2380" spans="1:13" x14ac:dyDescent="0.3">
      <c r="A2380" s="3">
        <v>101</v>
      </c>
      <c r="B2380" s="3">
        <v>101</v>
      </c>
      <c r="C2380" s="4">
        <v>1162.52</v>
      </c>
      <c r="D2380" s="4">
        <v>1162.48</v>
      </c>
      <c r="E2380" s="4">
        <v>1162.56</v>
      </c>
      <c r="F2380" s="4"/>
      <c r="G2380" s="4"/>
      <c r="H2380" s="27" t="s">
        <v>3958</v>
      </c>
      <c r="I2380" s="4"/>
      <c r="J2380" s="6">
        <v>0</v>
      </c>
      <c r="K2380" s="30" t="s">
        <v>3207</v>
      </c>
      <c r="L2380" s="4"/>
      <c r="M2380" s="3"/>
    </row>
    <row r="2381" spans="1:13" x14ac:dyDescent="0.3">
      <c r="A2381" s="3">
        <v>101</v>
      </c>
      <c r="B2381" s="3">
        <v>101</v>
      </c>
      <c r="C2381" s="4">
        <v>1162.8900000000001</v>
      </c>
      <c r="D2381" s="4">
        <v>1162.56</v>
      </c>
      <c r="E2381" s="4">
        <v>1163.22</v>
      </c>
      <c r="F2381" s="4"/>
      <c r="G2381" s="4"/>
      <c r="H2381" s="28" t="s">
        <v>3959</v>
      </c>
      <c r="I2381" s="4"/>
      <c r="J2381" s="6">
        <v>0</v>
      </c>
      <c r="K2381" s="29" t="s">
        <v>3207</v>
      </c>
      <c r="L2381" s="4"/>
      <c r="M2381" s="3"/>
    </row>
    <row r="2382" spans="1:13" x14ac:dyDescent="0.3">
      <c r="A2382" s="3">
        <v>101</v>
      </c>
      <c r="B2382" s="3">
        <v>101</v>
      </c>
      <c r="C2382" s="4">
        <v>1163.607</v>
      </c>
      <c r="D2382" s="4">
        <v>1163.22</v>
      </c>
      <c r="E2382" s="4">
        <v>1163.9939999999999</v>
      </c>
      <c r="F2382" s="4"/>
      <c r="G2382" s="4"/>
      <c r="H2382" s="27" t="s">
        <v>3960</v>
      </c>
      <c r="I2382" s="4"/>
      <c r="J2382" s="6">
        <v>0</v>
      </c>
      <c r="K2382" s="30" t="s">
        <v>3207</v>
      </c>
      <c r="L2382" s="4"/>
      <c r="M2382" s="3"/>
    </row>
    <row r="2383" spans="1:13" x14ac:dyDescent="0.3">
      <c r="A2383" s="3">
        <v>101</v>
      </c>
      <c r="B2383" s="3">
        <v>101</v>
      </c>
      <c r="C2383" s="4">
        <v>1164.3340000000001</v>
      </c>
      <c r="D2383" s="4">
        <v>1163.9939999999999</v>
      </c>
      <c r="E2383" s="4">
        <v>1164.673</v>
      </c>
      <c r="F2383" s="4"/>
      <c r="G2383" s="4"/>
      <c r="H2383" s="28" t="s">
        <v>3961</v>
      </c>
      <c r="I2383" s="4"/>
      <c r="J2383" s="6">
        <v>0</v>
      </c>
      <c r="K2383" s="29" t="s">
        <v>3207</v>
      </c>
      <c r="L2383" s="4"/>
      <c r="M2383" s="3"/>
    </row>
    <row r="2384" spans="1:13" x14ac:dyDescent="0.3">
      <c r="A2384" s="3">
        <v>101</v>
      </c>
      <c r="B2384" s="3">
        <v>101</v>
      </c>
      <c r="C2384" s="4">
        <v>1165.057</v>
      </c>
      <c r="D2384" s="4">
        <v>1164.673</v>
      </c>
      <c r="E2384" s="4">
        <v>1165.44</v>
      </c>
      <c r="F2384" s="4"/>
      <c r="G2384" s="4"/>
      <c r="H2384" s="27" t="s">
        <v>3962</v>
      </c>
      <c r="I2384" s="4"/>
      <c r="J2384" s="6">
        <v>0</v>
      </c>
      <c r="K2384" s="30" t="s">
        <v>3207</v>
      </c>
      <c r="L2384" s="4"/>
      <c r="M2384" s="3"/>
    </row>
    <row r="2385" spans="1:13" x14ac:dyDescent="0.3">
      <c r="A2385" s="3">
        <v>101</v>
      </c>
      <c r="B2385" s="3">
        <v>101</v>
      </c>
      <c r="C2385" s="4">
        <v>1165.7249999999999</v>
      </c>
      <c r="D2385" s="4">
        <v>1165.44</v>
      </c>
      <c r="E2385" s="4">
        <v>1166.01</v>
      </c>
      <c r="F2385" s="4"/>
      <c r="G2385" s="4"/>
      <c r="H2385" s="28" t="s">
        <v>3963</v>
      </c>
      <c r="I2385" s="4"/>
      <c r="J2385" s="6">
        <v>0</v>
      </c>
      <c r="K2385" s="29" t="s">
        <v>3207</v>
      </c>
      <c r="L2385" s="4"/>
      <c r="M2385" s="3"/>
    </row>
    <row r="2386" spans="1:13" x14ac:dyDescent="0.3">
      <c r="A2386" s="3">
        <v>101</v>
      </c>
      <c r="B2386" s="3">
        <v>101</v>
      </c>
      <c r="C2386" s="4">
        <v>1166.308</v>
      </c>
      <c r="D2386" s="4">
        <v>1166.01</v>
      </c>
      <c r="E2386" s="4">
        <v>1166.605</v>
      </c>
      <c r="F2386" s="4"/>
      <c r="G2386" s="4"/>
      <c r="H2386" s="27" t="s">
        <v>3964</v>
      </c>
      <c r="I2386" s="4"/>
      <c r="J2386" s="6">
        <v>0</v>
      </c>
      <c r="K2386" s="30" t="s">
        <v>3207</v>
      </c>
      <c r="L2386" s="4"/>
      <c r="M2386" s="3"/>
    </row>
    <row r="2387" spans="1:13" x14ac:dyDescent="0.3">
      <c r="A2387" s="3">
        <v>101</v>
      </c>
      <c r="B2387" s="3">
        <v>101</v>
      </c>
      <c r="C2387" s="4">
        <v>1166.9480000000001</v>
      </c>
      <c r="D2387" s="4">
        <v>1166.605</v>
      </c>
      <c r="E2387" s="4">
        <v>1167.29</v>
      </c>
      <c r="F2387" s="4"/>
      <c r="G2387" s="4"/>
      <c r="H2387" s="28" t="s">
        <v>3965</v>
      </c>
      <c r="I2387" s="4"/>
      <c r="J2387" s="6">
        <v>0</v>
      </c>
      <c r="K2387" s="29" t="s">
        <v>3207</v>
      </c>
      <c r="L2387" s="4"/>
      <c r="M2387" s="3"/>
    </row>
    <row r="2388" spans="1:13" x14ac:dyDescent="0.3">
      <c r="A2388" s="3">
        <v>101</v>
      </c>
      <c r="B2388" s="3">
        <v>101</v>
      </c>
      <c r="C2388" s="4">
        <v>1167.393</v>
      </c>
      <c r="D2388" s="4">
        <v>1167.29</v>
      </c>
      <c r="E2388" s="4">
        <v>1167.4949999999999</v>
      </c>
      <c r="F2388" s="4"/>
      <c r="G2388" s="4"/>
      <c r="H2388" s="27" t="s">
        <v>3966</v>
      </c>
      <c r="I2388" s="4"/>
      <c r="J2388" s="6">
        <v>0</v>
      </c>
      <c r="K2388" s="30" t="s">
        <v>3207</v>
      </c>
      <c r="L2388" s="4"/>
      <c r="M2388" s="3"/>
    </row>
    <row r="2389" spans="1:13" x14ac:dyDescent="0.3">
      <c r="A2389" s="3">
        <v>101</v>
      </c>
      <c r="B2389" s="3">
        <v>101</v>
      </c>
      <c r="C2389" s="4">
        <v>1167.808</v>
      </c>
      <c r="D2389" s="4">
        <v>1167.4949999999999</v>
      </c>
      <c r="E2389" s="4">
        <v>1168.1210000000001</v>
      </c>
      <c r="F2389" s="4"/>
      <c r="G2389" s="4"/>
      <c r="H2389" s="28" t="s">
        <v>3967</v>
      </c>
      <c r="I2389" s="4"/>
      <c r="J2389" s="6">
        <v>0</v>
      </c>
      <c r="K2389" s="29" t="s">
        <v>3207</v>
      </c>
      <c r="L2389" s="4"/>
      <c r="M2389" s="3"/>
    </row>
    <row r="2390" spans="1:13" x14ac:dyDescent="0.3">
      <c r="A2390" s="3">
        <v>101</v>
      </c>
      <c r="B2390" s="3">
        <v>101</v>
      </c>
      <c r="C2390" s="4">
        <v>1168.145</v>
      </c>
      <c r="D2390" s="4">
        <v>1168.1210000000001</v>
      </c>
      <c r="E2390" s="4">
        <v>1168.1679999999999</v>
      </c>
      <c r="F2390" s="4"/>
      <c r="G2390" s="4"/>
      <c r="H2390" s="27" t="s">
        <v>3968</v>
      </c>
      <c r="I2390" s="4"/>
      <c r="J2390" s="6">
        <v>0</v>
      </c>
      <c r="K2390" s="30" t="s">
        <v>3207</v>
      </c>
      <c r="L2390" s="4"/>
      <c r="M2390" s="3"/>
    </row>
    <row r="2391" spans="1:13" x14ac:dyDescent="0.3">
      <c r="A2391" s="3">
        <v>101</v>
      </c>
      <c r="B2391" s="3">
        <v>101</v>
      </c>
      <c r="C2391" s="4">
        <v>1168.4760000000001</v>
      </c>
      <c r="D2391" s="4">
        <v>1168.1679999999999</v>
      </c>
      <c r="E2391" s="4">
        <v>1168.7829999999999</v>
      </c>
      <c r="F2391" s="4"/>
      <c r="G2391" s="4"/>
      <c r="H2391" s="28" t="s">
        <v>3969</v>
      </c>
      <c r="I2391" s="4"/>
      <c r="J2391" s="6">
        <v>0</v>
      </c>
      <c r="K2391" s="29" t="s">
        <v>3207</v>
      </c>
      <c r="L2391" s="4"/>
      <c r="M2391" s="3"/>
    </row>
    <row r="2392" spans="1:13" x14ac:dyDescent="0.3">
      <c r="A2392" s="3">
        <v>101</v>
      </c>
      <c r="B2392" s="3">
        <v>101</v>
      </c>
      <c r="C2392" s="4">
        <v>1169.4090000000001</v>
      </c>
      <c r="D2392" s="4">
        <v>1168.7829999999999</v>
      </c>
      <c r="E2392" s="4">
        <v>1170.0350000000001</v>
      </c>
      <c r="F2392" s="4"/>
      <c r="G2392" s="4"/>
      <c r="H2392" s="27" t="s">
        <v>3970</v>
      </c>
      <c r="I2392" s="4"/>
      <c r="J2392" s="6">
        <v>0</v>
      </c>
      <c r="K2392" s="30" t="s">
        <v>3207</v>
      </c>
      <c r="L2392" s="4"/>
      <c r="M2392" s="3"/>
    </row>
    <row r="2393" spans="1:13" x14ac:dyDescent="0.3">
      <c r="A2393" s="3">
        <v>101</v>
      </c>
      <c r="B2393" s="3">
        <v>101</v>
      </c>
      <c r="C2393" s="4">
        <v>1170.25</v>
      </c>
      <c r="D2393" s="4">
        <v>1170.0350000000001</v>
      </c>
      <c r="E2393" s="4">
        <v>1170.4649999999999</v>
      </c>
      <c r="F2393" s="4"/>
      <c r="G2393" s="4"/>
      <c r="H2393" s="28" t="s">
        <v>3971</v>
      </c>
      <c r="I2393" s="4"/>
      <c r="J2393" s="6">
        <v>0</v>
      </c>
      <c r="K2393" s="29" t="s">
        <v>3207</v>
      </c>
      <c r="L2393" s="4"/>
      <c r="M2393" s="3"/>
    </row>
    <row r="2394" spans="1:13" x14ac:dyDescent="0.3">
      <c r="A2394" s="3">
        <v>101</v>
      </c>
      <c r="B2394" s="3">
        <v>101</v>
      </c>
      <c r="C2394" s="4">
        <v>1170.614</v>
      </c>
      <c r="D2394" s="4">
        <v>1170.4649999999999</v>
      </c>
      <c r="E2394" s="4">
        <v>1170.7629999999999</v>
      </c>
      <c r="F2394" s="4"/>
      <c r="G2394" s="4"/>
      <c r="H2394" s="27" t="s">
        <v>3972</v>
      </c>
      <c r="I2394" s="4"/>
      <c r="J2394" s="6">
        <v>0</v>
      </c>
      <c r="K2394" s="30" t="s">
        <v>3207</v>
      </c>
      <c r="L2394" s="4"/>
      <c r="M2394" s="3"/>
    </row>
    <row r="2395" spans="1:13" x14ac:dyDescent="0.3">
      <c r="A2395" s="3">
        <v>101</v>
      </c>
      <c r="B2395" s="3">
        <v>101</v>
      </c>
      <c r="C2395" s="4">
        <v>1170.972</v>
      </c>
      <c r="D2395" s="4">
        <v>1170.7629999999999</v>
      </c>
      <c r="E2395" s="4">
        <v>1171.18</v>
      </c>
      <c r="F2395" s="4"/>
      <c r="G2395" s="4"/>
      <c r="H2395" s="28" t="s">
        <v>3973</v>
      </c>
      <c r="I2395" s="4"/>
      <c r="J2395" s="6">
        <v>0</v>
      </c>
      <c r="K2395" s="29" t="s">
        <v>3207</v>
      </c>
      <c r="L2395" s="4"/>
      <c r="M2395" s="3"/>
    </row>
    <row r="2396" spans="1:13" x14ac:dyDescent="0.3">
      <c r="A2396" s="3">
        <v>101</v>
      </c>
      <c r="B2396" s="3">
        <v>101</v>
      </c>
      <c r="C2396" s="4">
        <v>1171.223</v>
      </c>
      <c r="D2396" s="4">
        <v>1171.18</v>
      </c>
      <c r="E2396" s="4">
        <v>1171.2660000000001</v>
      </c>
      <c r="F2396" s="4"/>
      <c r="G2396" s="4"/>
      <c r="H2396" s="27" t="s">
        <v>3974</v>
      </c>
      <c r="I2396" s="4"/>
      <c r="J2396" s="6">
        <v>0</v>
      </c>
      <c r="K2396" s="30" t="s">
        <v>3207</v>
      </c>
      <c r="L2396" s="4"/>
      <c r="M2396" s="3"/>
    </row>
    <row r="2397" spans="1:13" x14ac:dyDescent="0.3">
      <c r="A2397" s="3">
        <v>101</v>
      </c>
      <c r="B2397" s="3">
        <v>101</v>
      </c>
      <c r="C2397" s="4">
        <v>1171.8430000000001</v>
      </c>
      <c r="D2397" s="4">
        <v>1171.2660000000001</v>
      </c>
      <c r="E2397" s="4">
        <v>1172.42</v>
      </c>
      <c r="F2397" s="4"/>
      <c r="G2397" s="4"/>
      <c r="H2397" s="28" t="s">
        <v>3975</v>
      </c>
      <c r="I2397" s="4"/>
      <c r="J2397" s="6">
        <v>0</v>
      </c>
      <c r="K2397" s="29" t="s">
        <v>3207</v>
      </c>
      <c r="L2397" s="4"/>
      <c r="M2397" s="3"/>
    </row>
    <row r="2398" spans="1:13" x14ac:dyDescent="0.3">
      <c r="A2398" s="3">
        <v>101</v>
      </c>
      <c r="B2398" s="3">
        <v>101</v>
      </c>
      <c r="C2398" s="4">
        <v>1172.8630000000001</v>
      </c>
      <c r="D2398" s="4">
        <v>1172.42</v>
      </c>
      <c r="E2398" s="4">
        <v>1173.3050000000001</v>
      </c>
      <c r="F2398" s="4"/>
      <c r="G2398" s="4"/>
      <c r="H2398" s="27" t="s">
        <v>3976</v>
      </c>
      <c r="I2398" s="4"/>
      <c r="J2398" s="6">
        <v>0</v>
      </c>
      <c r="K2398" s="30" t="s">
        <v>3207</v>
      </c>
      <c r="L2398" s="4"/>
      <c r="M2398" s="3"/>
    </row>
    <row r="2399" spans="1:13" x14ac:dyDescent="0.3">
      <c r="A2399" s="3">
        <v>101</v>
      </c>
      <c r="B2399" s="3">
        <v>101</v>
      </c>
      <c r="C2399" s="4">
        <v>1173.9079999999999</v>
      </c>
      <c r="D2399" s="4">
        <v>1173.3050000000001</v>
      </c>
      <c r="E2399" s="4">
        <v>1174.51</v>
      </c>
      <c r="F2399" s="4"/>
      <c r="G2399" s="4"/>
      <c r="H2399" s="28" t="s">
        <v>3977</v>
      </c>
      <c r="I2399" s="4"/>
      <c r="J2399" s="6">
        <v>0</v>
      </c>
      <c r="K2399" s="29" t="s">
        <v>3207</v>
      </c>
      <c r="L2399" s="4"/>
      <c r="M2399" s="3"/>
    </row>
    <row r="2400" spans="1:13" x14ac:dyDescent="0.3">
      <c r="A2400" s="3">
        <v>101</v>
      </c>
      <c r="B2400" s="3">
        <v>101</v>
      </c>
      <c r="C2400" s="4">
        <v>1175.19</v>
      </c>
      <c r="D2400" s="4">
        <v>1174.51</v>
      </c>
      <c r="E2400" s="4">
        <v>1175.8699999999999</v>
      </c>
      <c r="F2400" s="4"/>
      <c r="G2400" s="4"/>
      <c r="H2400" s="27" t="s">
        <v>3978</v>
      </c>
      <c r="I2400" s="4"/>
      <c r="J2400" s="6">
        <v>0</v>
      </c>
      <c r="K2400" s="30" t="s">
        <v>3207</v>
      </c>
      <c r="L2400" s="4"/>
      <c r="M2400" s="3"/>
    </row>
    <row r="2401" spans="1:13" x14ac:dyDescent="0.3">
      <c r="A2401" s="3">
        <v>101</v>
      </c>
      <c r="B2401" s="3">
        <v>101</v>
      </c>
      <c r="C2401" s="4">
        <v>1176.1600000000001</v>
      </c>
      <c r="D2401" s="4">
        <v>1175.8699999999999</v>
      </c>
      <c r="E2401" s="4">
        <v>1176.45</v>
      </c>
      <c r="F2401" s="4"/>
      <c r="G2401" s="4"/>
      <c r="H2401" s="28" t="s">
        <v>3979</v>
      </c>
      <c r="I2401" s="4"/>
      <c r="J2401" s="6">
        <v>0</v>
      </c>
      <c r="K2401" s="29" t="s">
        <v>3207</v>
      </c>
      <c r="L2401" s="4"/>
      <c r="M2401" s="3"/>
    </row>
    <row r="2402" spans="1:13" x14ac:dyDescent="0.3">
      <c r="A2402" s="3">
        <v>101</v>
      </c>
      <c r="B2402" s="3">
        <v>101</v>
      </c>
      <c r="C2402" s="4">
        <v>1176.827</v>
      </c>
      <c r="D2402" s="4">
        <v>1176.45</v>
      </c>
      <c r="E2402" s="4">
        <v>1177.203</v>
      </c>
      <c r="F2402" s="4"/>
      <c r="G2402" s="4"/>
      <c r="H2402" s="27" t="s">
        <v>3980</v>
      </c>
      <c r="I2402" s="4"/>
      <c r="J2402" s="6">
        <v>0</v>
      </c>
      <c r="K2402" s="30" t="s">
        <v>3207</v>
      </c>
      <c r="L2402" s="4"/>
      <c r="M2402" s="3"/>
    </row>
    <row r="2403" spans="1:13" x14ac:dyDescent="0.3">
      <c r="A2403" s="3">
        <v>101</v>
      </c>
      <c r="B2403" s="3">
        <v>101</v>
      </c>
      <c r="C2403" s="4">
        <v>1177.6669999999999</v>
      </c>
      <c r="D2403" s="4">
        <v>1177.203</v>
      </c>
      <c r="E2403" s="4">
        <v>1178.1300000000001</v>
      </c>
      <c r="F2403" s="4"/>
      <c r="G2403" s="4"/>
      <c r="H2403" s="28" t="s">
        <v>3981</v>
      </c>
      <c r="I2403" s="4"/>
      <c r="J2403" s="6">
        <v>0</v>
      </c>
      <c r="K2403" s="29" t="s">
        <v>3207</v>
      </c>
      <c r="L2403" s="4"/>
      <c r="M2403" s="3"/>
    </row>
    <row r="2404" spans="1:13" x14ac:dyDescent="0.3">
      <c r="A2404" s="3">
        <v>101</v>
      </c>
      <c r="B2404" s="3">
        <v>101</v>
      </c>
      <c r="C2404" s="4">
        <v>1178.395</v>
      </c>
      <c r="D2404" s="4">
        <v>1178.1300000000001</v>
      </c>
      <c r="E2404" s="4">
        <v>1178.6600000000001</v>
      </c>
      <c r="F2404" s="4"/>
      <c r="G2404" s="4"/>
      <c r="H2404" s="27" t="s">
        <v>3982</v>
      </c>
      <c r="I2404" s="4"/>
      <c r="J2404" s="6">
        <v>0</v>
      </c>
      <c r="K2404" s="30" t="s">
        <v>3207</v>
      </c>
      <c r="L2404" s="4"/>
      <c r="M2404" s="3"/>
    </row>
    <row r="2405" spans="1:13" x14ac:dyDescent="0.3">
      <c r="A2405" s="3">
        <v>101</v>
      </c>
      <c r="B2405" s="3">
        <v>101</v>
      </c>
      <c r="C2405" s="4">
        <v>1179.1379999999999</v>
      </c>
      <c r="D2405" s="4">
        <v>1178.6600000000001</v>
      </c>
      <c r="E2405" s="4">
        <v>1179.615</v>
      </c>
      <c r="F2405" s="4"/>
      <c r="G2405" s="4"/>
      <c r="H2405" s="28" t="s">
        <v>3983</v>
      </c>
      <c r="I2405" s="4"/>
      <c r="J2405" s="6">
        <v>0</v>
      </c>
      <c r="K2405" s="29" t="s">
        <v>3207</v>
      </c>
      <c r="L2405" s="4"/>
      <c r="M2405" s="3"/>
    </row>
    <row r="2406" spans="1:13" x14ac:dyDescent="0.3">
      <c r="A2406" s="3">
        <v>101</v>
      </c>
      <c r="B2406" s="3">
        <v>101</v>
      </c>
      <c r="C2406" s="4">
        <v>1179.9280000000001</v>
      </c>
      <c r="D2406" s="4">
        <v>1179.615</v>
      </c>
      <c r="E2406" s="4">
        <v>1180.24</v>
      </c>
      <c r="F2406" s="4"/>
      <c r="G2406" s="4"/>
      <c r="H2406" s="27" t="s">
        <v>3984</v>
      </c>
      <c r="I2406" s="4"/>
      <c r="J2406" s="6">
        <v>0</v>
      </c>
      <c r="K2406" s="30" t="s">
        <v>3207</v>
      </c>
      <c r="L2406" s="4"/>
      <c r="M2406" s="3"/>
    </row>
    <row r="2407" spans="1:13" x14ac:dyDescent="0.3">
      <c r="A2407" s="3">
        <v>101</v>
      </c>
      <c r="B2407" s="3">
        <v>101</v>
      </c>
      <c r="C2407" s="4">
        <v>1180.623</v>
      </c>
      <c r="D2407" s="4">
        <v>1180.24</v>
      </c>
      <c r="E2407" s="4">
        <v>1181.0050000000001</v>
      </c>
      <c r="F2407" s="4"/>
      <c r="G2407" s="4"/>
      <c r="H2407" s="28" t="s">
        <v>3985</v>
      </c>
      <c r="I2407" s="4"/>
      <c r="J2407" s="6">
        <v>0</v>
      </c>
      <c r="K2407" s="29" t="s">
        <v>3207</v>
      </c>
      <c r="L2407" s="4"/>
      <c r="M2407" s="3"/>
    </row>
    <row r="2408" spans="1:13" x14ac:dyDescent="0.3">
      <c r="A2408" s="3">
        <v>101</v>
      </c>
      <c r="B2408" s="3">
        <v>101</v>
      </c>
      <c r="C2408" s="4">
        <v>1181.058</v>
      </c>
      <c r="D2408" s="4">
        <v>1181.0050000000001</v>
      </c>
      <c r="E2408" s="4">
        <v>1181.1099999999999</v>
      </c>
      <c r="F2408" s="4"/>
      <c r="G2408" s="4"/>
      <c r="H2408" s="27" t="s">
        <v>3986</v>
      </c>
      <c r="I2408" s="4"/>
      <c r="J2408" s="6">
        <v>0</v>
      </c>
      <c r="K2408" s="30" t="s">
        <v>3207</v>
      </c>
      <c r="L2408" s="4"/>
      <c r="M2408" s="3"/>
    </row>
    <row r="2409" spans="1:13" x14ac:dyDescent="0.3">
      <c r="A2409" s="3">
        <v>101</v>
      </c>
      <c r="B2409" s="3">
        <v>101</v>
      </c>
      <c r="C2409" s="4">
        <v>1181.4059999999999</v>
      </c>
      <c r="D2409" s="4">
        <v>1181.1099999999999</v>
      </c>
      <c r="E2409" s="4">
        <v>1181.702</v>
      </c>
      <c r="F2409" s="4"/>
      <c r="G2409" s="4"/>
      <c r="H2409" s="28" t="s">
        <v>3987</v>
      </c>
      <c r="I2409" s="4"/>
      <c r="J2409" s="6">
        <v>0</v>
      </c>
      <c r="K2409" s="29" t="s">
        <v>3207</v>
      </c>
      <c r="L2409" s="4"/>
      <c r="M2409" s="3"/>
    </row>
    <row r="2410" spans="1:13" x14ac:dyDescent="0.3">
      <c r="A2410" s="3">
        <v>101</v>
      </c>
      <c r="B2410" s="3">
        <v>101</v>
      </c>
      <c r="C2410" s="4">
        <v>1182.0709999999999</v>
      </c>
      <c r="D2410" s="4">
        <v>1181.702</v>
      </c>
      <c r="E2410" s="4">
        <v>1182.44</v>
      </c>
      <c r="F2410" s="4"/>
      <c r="G2410" s="4"/>
      <c r="H2410" s="27" t="s">
        <v>3988</v>
      </c>
      <c r="I2410" s="4"/>
      <c r="J2410" s="6">
        <v>0</v>
      </c>
      <c r="K2410" s="30" t="s">
        <v>3207</v>
      </c>
      <c r="L2410" s="4"/>
      <c r="M2410" s="3"/>
    </row>
    <row r="2411" spans="1:13" x14ac:dyDescent="0.3">
      <c r="A2411" s="3">
        <v>101</v>
      </c>
      <c r="B2411" s="3">
        <v>101</v>
      </c>
      <c r="C2411" s="4">
        <v>1182.934</v>
      </c>
      <c r="D2411" s="4">
        <v>1182.44</v>
      </c>
      <c r="E2411" s="4">
        <v>1183.4280000000001</v>
      </c>
      <c r="F2411" s="4"/>
      <c r="G2411" s="4"/>
      <c r="H2411" s="28" t="s">
        <v>3989</v>
      </c>
      <c r="I2411" s="4"/>
      <c r="J2411" s="6">
        <v>0</v>
      </c>
      <c r="K2411" s="29" t="s">
        <v>3207</v>
      </c>
      <c r="L2411" s="4"/>
      <c r="M2411" s="3"/>
    </row>
    <row r="2412" spans="1:13" x14ac:dyDescent="0.3">
      <c r="A2412" s="3">
        <v>101</v>
      </c>
      <c r="B2412" s="3">
        <v>101</v>
      </c>
      <c r="C2412" s="4">
        <v>1183.5540000000001</v>
      </c>
      <c r="D2412" s="4">
        <v>1183.4280000000001</v>
      </c>
      <c r="E2412" s="4">
        <v>1183.68</v>
      </c>
      <c r="F2412" s="4"/>
      <c r="G2412" s="4"/>
      <c r="H2412" s="27" t="s">
        <v>3990</v>
      </c>
      <c r="I2412" s="4"/>
      <c r="J2412" s="6">
        <v>0</v>
      </c>
      <c r="K2412" s="30" t="s">
        <v>3207</v>
      </c>
      <c r="L2412" s="4"/>
      <c r="M2412" s="3"/>
    </row>
    <row r="2413" spans="1:13" x14ac:dyDescent="0.3">
      <c r="A2413" s="3">
        <v>101</v>
      </c>
      <c r="B2413" s="3">
        <v>101</v>
      </c>
      <c r="C2413" s="4">
        <v>1183.9580000000001</v>
      </c>
      <c r="D2413" s="4">
        <v>1183.68</v>
      </c>
      <c r="E2413" s="4">
        <v>1184.2349999999999</v>
      </c>
      <c r="F2413" s="4"/>
      <c r="G2413" s="4"/>
      <c r="H2413" s="28" t="s">
        <v>3991</v>
      </c>
      <c r="I2413" s="4"/>
      <c r="J2413" s="6">
        <v>0</v>
      </c>
      <c r="K2413" s="29" t="s">
        <v>3207</v>
      </c>
      <c r="L2413" s="4"/>
      <c r="M2413" s="3"/>
    </row>
    <row r="2414" spans="1:13" x14ac:dyDescent="0.3">
      <c r="A2414" s="3">
        <v>101</v>
      </c>
      <c r="B2414" s="3">
        <v>101</v>
      </c>
      <c r="C2414" s="4">
        <v>1184.325</v>
      </c>
      <c r="D2414" s="4">
        <v>1184.2349999999999</v>
      </c>
      <c r="E2414" s="4">
        <v>1184.415</v>
      </c>
      <c r="F2414" s="4"/>
      <c r="G2414" s="4"/>
      <c r="H2414" s="27" t="s">
        <v>3992</v>
      </c>
      <c r="I2414" s="4"/>
      <c r="J2414" s="6">
        <v>0</v>
      </c>
      <c r="K2414" s="30" t="s">
        <v>3207</v>
      </c>
      <c r="L2414" s="4"/>
      <c r="M2414" s="3"/>
    </row>
    <row r="2415" spans="1:13" x14ac:dyDescent="0.3">
      <c r="A2415" s="3">
        <v>101</v>
      </c>
      <c r="B2415" s="3">
        <v>101</v>
      </c>
      <c r="C2415" s="4">
        <v>1184.6679999999999</v>
      </c>
      <c r="D2415" s="4">
        <v>1184.415</v>
      </c>
      <c r="E2415" s="4">
        <v>1184.92</v>
      </c>
      <c r="F2415" s="4"/>
      <c r="G2415" s="4"/>
      <c r="H2415" s="28" t="s">
        <v>3993</v>
      </c>
      <c r="I2415" s="4"/>
      <c r="J2415" s="6">
        <v>0</v>
      </c>
      <c r="K2415" s="29" t="s">
        <v>3207</v>
      </c>
      <c r="L2415" s="4"/>
      <c r="M2415" s="3"/>
    </row>
    <row r="2416" spans="1:13" x14ac:dyDescent="0.3">
      <c r="A2416" s="3">
        <v>101</v>
      </c>
      <c r="B2416" s="3">
        <v>101</v>
      </c>
      <c r="C2416" s="4">
        <v>1185.2750000000001</v>
      </c>
      <c r="D2416" s="4">
        <v>1184.92</v>
      </c>
      <c r="E2416" s="4">
        <v>1185.6300000000001</v>
      </c>
      <c r="F2416" s="4"/>
      <c r="G2416" s="4"/>
      <c r="H2416" s="27" t="s">
        <v>3994</v>
      </c>
      <c r="I2416" s="4"/>
      <c r="J2416" s="6">
        <v>0</v>
      </c>
      <c r="K2416" s="30" t="s">
        <v>3207</v>
      </c>
      <c r="L2416" s="4"/>
      <c r="M2416" s="3"/>
    </row>
    <row r="2417" spans="1:13" x14ac:dyDescent="0.3">
      <c r="A2417" s="3">
        <v>101</v>
      </c>
      <c r="B2417" s="3">
        <v>101</v>
      </c>
      <c r="C2417" s="4">
        <v>1185.9690000000001</v>
      </c>
      <c r="D2417" s="4">
        <v>1185.6300000000001</v>
      </c>
      <c r="E2417" s="4">
        <v>1186.308</v>
      </c>
      <c r="F2417" s="4"/>
      <c r="G2417" s="4"/>
      <c r="H2417" s="28" t="s">
        <v>3995</v>
      </c>
      <c r="I2417" s="4"/>
      <c r="J2417" s="6">
        <v>0</v>
      </c>
      <c r="K2417" s="29" t="s">
        <v>3207</v>
      </c>
      <c r="L2417" s="4"/>
      <c r="M2417" s="3"/>
    </row>
    <row r="2418" spans="1:13" x14ac:dyDescent="0.3">
      <c r="A2418" s="3">
        <v>101</v>
      </c>
      <c r="B2418" s="3">
        <v>101</v>
      </c>
      <c r="C2418" s="4">
        <v>1187.6479999999999</v>
      </c>
      <c r="D2418" s="4">
        <v>1187.5150000000001</v>
      </c>
      <c r="E2418" s="4">
        <v>1187.78</v>
      </c>
      <c r="F2418" s="4"/>
      <c r="G2418" s="4"/>
      <c r="H2418" s="27" t="s">
        <v>3996</v>
      </c>
      <c r="I2418" s="4"/>
      <c r="J2418" s="6">
        <v>0</v>
      </c>
      <c r="K2418" s="30" t="s">
        <v>3207</v>
      </c>
      <c r="L2418" s="4"/>
      <c r="M2418" s="3"/>
    </row>
    <row r="2419" spans="1:13" x14ac:dyDescent="0.3">
      <c r="A2419" s="3">
        <v>101</v>
      </c>
      <c r="B2419" s="3">
        <v>101</v>
      </c>
      <c r="C2419" s="4">
        <v>1188.153</v>
      </c>
      <c r="D2419" s="4">
        <v>1187.78</v>
      </c>
      <c r="E2419" s="4">
        <v>1188.5260000000001</v>
      </c>
      <c r="F2419" s="4"/>
      <c r="G2419" s="4"/>
      <c r="H2419" s="28" t="s">
        <v>3997</v>
      </c>
      <c r="I2419" s="4"/>
      <c r="J2419" s="6">
        <v>0</v>
      </c>
      <c r="K2419" s="29" t="s">
        <v>3207</v>
      </c>
      <c r="L2419" s="4"/>
      <c r="M2419" s="3"/>
    </row>
    <row r="2420" spans="1:13" x14ac:dyDescent="0.3">
      <c r="A2420" s="3">
        <v>101</v>
      </c>
      <c r="B2420" s="3">
        <v>101</v>
      </c>
      <c r="C2420" s="4">
        <v>1188.614</v>
      </c>
      <c r="D2420" s="4">
        <v>1188.5260000000001</v>
      </c>
      <c r="E2420" s="4">
        <v>1188.701</v>
      </c>
      <c r="F2420" s="4"/>
      <c r="G2420" s="4"/>
      <c r="H2420" s="27" t="s">
        <v>3998</v>
      </c>
      <c r="I2420" s="4"/>
      <c r="J2420" s="6">
        <v>0</v>
      </c>
      <c r="K2420" s="30" t="s">
        <v>3207</v>
      </c>
      <c r="L2420" s="4"/>
      <c r="M2420" s="3"/>
    </row>
    <row r="2421" spans="1:13" x14ac:dyDescent="0.3">
      <c r="A2421" s="3">
        <v>101</v>
      </c>
      <c r="B2421" s="3">
        <v>101</v>
      </c>
      <c r="C2421" s="4">
        <v>1188.855</v>
      </c>
      <c r="D2421" s="4">
        <v>1188.701</v>
      </c>
      <c r="E2421" s="4">
        <v>1189.009</v>
      </c>
      <c r="F2421" s="4"/>
      <c r="G2421" s="4"/>
      <c r="H2421" s="28" t="s">
        <v>3999</v>
      </c>
      <c r="I2421" s="4"/>
      <c r="J2421" s="6">
        <v>0</v>
      </c>
      <c r="K2421" s="29" t="s">
        <v>3207</v>
      </c>
      <c r="L2421" s="4"/>
      <c r="M2421" s="3"/>
    </row>
    <row r="2422" spans="1:13" x14ac:dyDescent="0.3">
      <c r="A2422" s="3">
        <v>101</v>
      </c>
      <c r="B2422" s="3">
        <v>101</v>
      </c>
      <c r="C2422" s="4">
        <v>1189.097</v>
      </c>
      <c r="D2422" s="4">
        <v>1189.009</v>
      </c>
      <c r="E2422" s="4">
        <v>1189.1849999999999</v>
      </c>
      <c r="F2422" s="4"/>
      <c r="G2422" s="4"/>
      <c r="H2422" s="27" t="s">
        <v>4000</v>
      </c>
      <c r="I2422" s="4"/>
      <c r="J2422" s="6">
        <v>0</v>
      </c>
      <c r="K2422" s="30" t="s">
        <v>3207</v>
      </c>
      <c r="L2422" s="4"/>
      <c r="M2422" s="3"/>
    </row>
    <row r="2423" spans="1:13" x14ac:dyDescent="0.3">
      <c r="A2423" s="3">
        <v>101</v>
      </c>
      <c r="B2423" s="3">
        <v>101</v>
      </c>
      <c r="C2423" s="4">
        <v>1189.3320000000001</v>
      </c>
      <c r="D2423" s="4">
        <v>1189.1849999999999</v>
      </c>
      <c r="E2423" s="4">
        <v>1189.479</v>
      </c>
      <c r="F2423" s="4"/>
      <c r="G2423" s="4"/>
      <c r="H2423" s="28" t="s">
        <v>4001</v>
      </c>
      <c r="I2423" s="4"/>
      <c r="J2423" s="6">
        <v>0</v>
      </c>
      <c r="K2423" s="29" t="s">
        <v>3207</v>
      </c>
      <c r="L2423" s="4"/>
      <c r="M2423" s="3"/>
    </row>
    <row r="2424" spans="1:13" x14ac:dyDescent="0.3">
      <c r="A2424" s="3">
        <v>101</v>
      </c>
      <c r="B2424" s="3">
        <v>101</v>
      </c>
      <c r="C2424" s="4">
        <v>1189.893</v>
      </c>
      <c r="D2424" s="4">
        <v>1189.479</v>
      </c>
      <c r="E2424" s="4">
        <v>1190.306</v>
      </c>
      <c r="F2424" s="4"/>
      <c r="G2424" s="4"/>
      <c r="H2424" s="27" t="s">
        <v>4002</v>
      </c>
      <c r="I2424" s="4"/>
      <c r="J2424" s="6">
        <v>0</v>
      </c>
      <c r="K2424" s="30" t="s">
        <v>3207</v>
      </c>
      <c r="L2424" s="4"/>
      <c r="M2424" s="3"/>
    </row>
    <row r="2425" spans="1:13" x14ac:dyDescent="0.3">
      <c r="A2425" s="3">
        <v>101</v>
      </c>
      <c r="B2425" s="3">
        <v>101</v>
      </c>
      <c r="C2425" s="4">
        <v>1190.578</v>
      </c>
      <c r="D2425" s="4">
        <v>1190.306</v>
      </c>
      <c r="E2425" s="4">
        <v>1190.8489999999999</v>
      </c>
      <c r="F2425" s="4"/>
      <c r="G2425" s="4"/>
      <c r="H2425" s="28" t="s">
        <v>4003</v>
      </c>
      <c r="I2425" s="4"/>
      <c r="J2425" s="6">
        <v>0</v>
      </c>
      <c r="K2425" s="29" t="s">
        <v>3207</v>
      </c>
      <c r="L2425" s="4"/>
      <c r="M2425" s="3"/>
    </row>
    <row r="2426" spans="1:13" x14ac:dyDescent="0.3">
      <c r="A2426" s="3">
        <v>101</v>
      </c>
      <c r="B2426" s="3">
        <v>101</v>
      </c>
      <c r="C2426" s="4">
        <v>1190.9860000000001</v>
      </c>
      <c r="D2426" s="4">
        <v>1190.8489999999999</v>
      </c>
      <c r="E2426" s="4">
        <v>1191.123</v>
      </c>
      <c r="F2426" s="4"/>
      <c r="G2426" s="4"/>
      <c r="H2426" s="27" t="s">
        <v>4004</v>
      </c>
      <c r="I2426" s="4"/>
      <c r="J2426" s="6">
        <v>0</v>
      </c>
      <c r="K2426" s="30" t="s">
        <v>3207</v>
      </c>
      <c r="L2426" s="4"/>
      <c r="M2426" s="3"/>
    </row>
    <row r="2427" spans="1:13" x14ac:dyDescent="0.3">
      <c r="A2427" s="3">
        <v>101</v>
      </c>
      <c r="B2427" s="3">
        <v>101</v>
      </c>
      <c r="C2427" s="4">
        <v>1191.463</v>
      </c>
      <c r="D2427" s="4">
        <v>1191.123</v>
      </c>
      <c r="E2427" s="4">
        <v>1191.8019999999999</v>
      </c>
      <c r="F2427" s="4"/>
      <c r="G2427" s="4"/>
      <c r="H2427" s="28" t="s">
        <v>4005</v>
      </c>
      <c r="I2427" s="4"/>
      <c r="J2427" s="6">
        <v>0</v>
      </c>
      <c r="K2427" s="29" t="s">
        <v>3207</v>
      </c>
      <c r="L2427" s="4"/>
      <c r="M2427" s="3"/>
    </row>
    <row r="2428" spans="1:13" x14ac:dyDescent="0.3">
      <c r="A2428" s="3">
        <v>101</v>
      </c>
      <c r="B2428" s="3">
        <v>101</v>
      </c>
      <c r="C2428" s="4">
        <v>1191.902</v>
      </c>
      <c r="D2428" s="4">
        <v>1191.8019999999999</v>
      </c>
      <c r="E2428" s="4">
        <v>1192.001</v>
      </c>
      <c r="F2428" s="4"/>
      <c r="G2428" s="4"/>
      <c r="H2428" s="27" t="s">
        <v>4006</v>
      </c>
      <c r="I2428" s="4"/>
      <c r="J2428" s="6">
        <v>0</v>
      </c>
      <c r="K2428" s="30" t="s">
        <v>3207</v>
      </c>
      <c r="L2428" s="4"/>
      <c r="M2428" s="3"/>
    </row>
    <row r="2429" spans="1:13" x14ac:dyDescent="0.3">
      <c r="A2429" s="3">
        <v>101</v>
      </c>
      <c r="B2429" s="3">
        <v>101</v>
      </c>
      <c r="C2429" s="4">
        <v>1192.413</v>
      </c>
      <c r="D2429" s="4">
        <v>1192.001</v>
      </c>
      <c r="E2429" s="4">
        <v>1192.825</v>
      </c>
      <c r="F2429" s="4"/>
      <c r="G2429" s="4"/>
      <c r="H2429" s="28" t="s">
        <v>4007</v>
      </c>
      <c r="I2429" s="4"/>
      <c r="J2429" s="6">
        <v>0</v>
      </c>
      <c r="K2429" s="29" t="s">
        <v>3207</v>
      </c>
      <c r="L2429" s="4"/>
      <c r="M2429" s="3"/>
    </row>
    <row r="2430" spans="1:13" x14ac:dyDescent="0.3">
      <c r="A2430" s="3">
        <v>101</v>
      </c>
      <c r="B2430" s="3">
        <v>101</v>
      </c>
      <c r="C2430" s="4">
        <v>1192.9780000000001</v>
      </c>
      <c r="D2430" s="4">
        <v>1192.825</v>
      </c>
      <c r="E2430" s="4">
        <v>1193.1300000000001</v>
      </c>
      <c r="F2430" s="4"/>
      <c r="G2430" s="4"/>
      <c r="H2430" s="27" t="s">
        <v>4008</v>
      </c>
      <c r="I2430" s="4"/>
      <c r="J2430" s="6">
        <v>0</v>
      </c>
      <c r="K2430" s="30" t="s">
        <v>3207</v>
      </c>
      <c r="L2430" s="4"/>
      <c r="M2430" s="3"/>
    </row>
    <row r="2431" spans="1:13" x14ac:dyDescent="0.3">
      <c r="A2431" s="3">
        <v>101</v>
      </c>
      <c r="B2431" s="3">
        <v>101</v>
      </c>
      <c r="C2431" s="4">
        <v>1193.5999999999999</v>
      </c>
      <c r="D2431" s="4">
        <v>1193.1300000000001</v>
      </c>
      <c r="E2431" s="4">
        <v>1194.07</v>
      </c>
      <c r="F2431" s="4"/>
      <c r="G2431" s="4"/>
      <c r="H2431" s="28" t="s">
        <v>4009</v>
      </c>
      <c r="I2431" s="4"/>
      <c r="J2431" s="6">
        <v>0</v>
      </c>
      <c r="K2431" s="29" t="s">
        <v>3207</v>
      </c>
      <c r="L2431" s="4"/>
      <c r="M2431" s="3"/>
    </row>
    <row r="2432" spans="1:13" x14ac:dyDescent="0.3">
      <c r="A2432" s="3">
        <v>101</v>
      </c>
      <c r="B2432" s="3">
        <v>101</v>
      </c>
      <c r="C2432" s="4">
        <v>1194.181</v>
      </c>
      <c r="D2432" s="4">
        <v>1194.07</v>
      </c>
      <c r="E2432" s="4">
        <v>1194.2919999999999</v>
      </c>
      <c r="F2432" s="4"/>
      <c r="G2432" s="4"/>
      <c r="H2432" s="27" t="s">
        <v>4010</v>
      </c>
      <c r="I2432" s="4"/>
      <c r="J2432" s="6">
        <v>0</v>
      </c>
      <c r="K2432" s="30" t="s">
        <v>3207</v>
      </c>
      <c r="L2432" s="4"/>
      <c r="M2432" s="3"/>
    </row>
    <row r="2433" spans="1:13" x14ac:dyDescent="0.3">
      <c r="A2433" s="3">
        <v>101</v>
      </c>
      <c r="B2433" s="3">
        <v>101</v>
      </c>
      <c r="C2433" s="4">
        <v>1194.6469999999999</v>
      </c>
      <c r="D2433" s="4">
        <v>1194.2919999999999</v>
      </c>
      <c r="E2433" s="4">
        <v>1195.002</v>
      </c>
      <c r="F2433" s="4"/>
      <c r="G2433" s="4"/>
      <c r="H2433" s="28" t="s">
        <v>4011</v>
      </c>
      <c r="I2433" s="4"/>
      <c r="J2433" s="6">
        <v>0</v>
      </c>
      <c r="K2433" s="29" t="s">
        <v>3207</v>
      </c>
      <c r="L2433" s="4"/>
      <c r="M2433" s="3"/>
    </row>
    <row r="2434" spans="1:13" x14ac:dyDescent="0.3">
      <c r="A2434" s="3">
        <v>101</v>
      </c>
      <c r="B2434" s="3">
        <v>101</v>
      </c>
      <c r="C2434" s="4">
        <v>1195.106</v>
      </c>
      <c r="D2434" s="4">
        <v>1195.002</v>
      </c>
      <c r="E2434" s="4">
        <v>1195.21</v>
      </c>
      <c r="F2434" s="4"/>
      <c r="G2434" s="4"/>
      <c r="H2434" s="27" t="s">
        <v>4012</v>
      </c>
      <c r="I2434" s="4"/>
      <c r="J2434" s="6">
        <v>0</v>
      </c>
      <c r="K2434" s="30" t="s">
        <v>3207</v>
      </c>
      <c r="L2434" s="4"/>
      <c r="M2434" s="3"/>
    </row>
    <row r="2435" spans="1:13" x14ac:dyDescent="0.3">
      <c r="A2435" s="3">
        <v>101</v>
      </c>
      <c r="B2435" s="3">
        <v>101</v>
      </c>
      <c r="C2435" s="4">
        <v>1196.1500000000001</v>
      </c>
      <c r="D2435" s="4">
        <v>1195.21</v>
      </c>
      <c r="E2435" s="4">
        <v>1197.0899999999999</v>
      </c>
      <c r="F2435" s="4"/>
      <c r="G2435" s="4"/>
      <c r="H2435" s="28" t="s">
        <v>4013</v>
      </c>
      <c r="I2435" s="4"/>
      <c r="J2435" s="6">
        <v>0</v>
      </c>
      <c r="K2435" s="29" t="s">
        <v>3207</v>
      </c>
      <c r="L2435" s="4"/>
      <c r="M2435" s="3"/>
    </row>
    <row r="2436" spans="1:13" x14ac:dyDescent="0.3">
      <c r="A2436" s="3">
        <v>101</v>
      </c>
      <c r="B2436" s="3">
        <v>101</v>
      </c>
      <c r="C2436" s="4">
        <v>1197.4880000000001</v>
      </c>
      <c r="D2436" s="4">
        <v>1197.0899999999999</v>
      </c>
      <c r="E2436" s="4">
        <v>1197.885</v>
      </c>
      <c r="F2436" s="4"/>
      <c r="G2436" s="4"/>
      <c r="H2436" s="27" t="s">
        <v>4014</v>
      </c>
      <c r="I2436" s="4"/>
      <c r="J2436" s="6">
        <v>0</v>
      </c>
      <c r="K2436" s="30" t="s">
        <v>3207</v>
      </c>
      <c r="L2436" s="4"/>
      <c r="M2436" s="3"/>
    </row>
    <row r="2437" spans="1:13" x14ac:dyDescent="0.3">
      <c r="A2437" s="3">
        <v>101</v>
      </c>
      <c r="B2437" s="3">
        <v>101</v>
      </c>
      <c r="C2437" s="4">
        <v>1198.297</v>
      </c>
      <c r="D2437" s="4">
        <v>1197.885</v>
      </c>
      <c r="E2437" s="4">
        <v>1198.7090000000001</v>
      </c>
      <c r="F2437" s="4"/>
      <c r="G2437" s="4"/>
      <c r="H2437" s="28" t="s">
        <v>4015</v>
      </c>
      <c r="I2437" s="4"/>
      <c r="J2437" s="6">
        <v>0</v>
      </c>
      <c r="K2437" s="29" t="s">
        <v>3207</v>
      </c>
      <c r="L2437" s="4"/>
      <c r="M2437" s="3"/>
    </row>
    <row r="2438" spans="1:13" x14ac:dyDescent="0.3">
      <c r="A2438" s="3">
        <v>101</v>
      </c>
      <c r="B2438" s="3">
        <v>101</v>
      </c>
      <c r="C2438" s="4">
        <v>1198.799</v>
      </c>
      <c r="D2438" s="4">
        <v>1198.7090000000001</v>
      </c>
      <c r="E2438" s="4">
        <v>1198.8889999999999</v>
      </c>
      <c r="F2438" s="4"/>
      <c r="G2438" s="4"/>
      <c r="H2438" s="27" t="s">
        <v>4016</v>
      </c>
      <c r="I2438" s="4"/>
      <c r="J2438" s="6">
        <v>0</v>
      </c>
      <c r="K2438" s="30" t="s">
        <v>3207</v>
      </c>
      <c r="L2438" s="4"/>
      <c r="M2438" s="3"/>
    </row>
    <row r="2439" spans="1:13" x14ac:dyDescent="0.3">
      <c r="A2439" s="3">
        <v>101</v>
      </c>
      <c r="B2439" s="3">
        <v>101</v>
      </c>
      <c r="C2439" s="4">
        <v>1199.2719999999999</v>
      </c>
      <c r="D2439" s="4">
        <v>1198.8889999999999</v>
      </c>
      <c r="E2439" s="4">
        <v>1199.655</v>
      </c>
      <c r="F2439" s="4"/>
      <c r="G2439" s="4"/>
      <c r="H2439" s="28" t="s">
        <v>4017</v>
      </c>
      <c r="I2439" s="4"/>
      <c r="J2439" s="6">
        <v>0</v>
      </c>
      <c r="K2439" s="29" t="s">
        <v>3207</v>
      </c>
      <c r="L2439" s="4"/>
      <c r="M2439" s="3"/>
    </row>
    <row r="2440" spans="1:13" x14ac:dyDescent="0.3">
      <c r="A2440" s="3">
        <v>101</v>
      </c>
      <c r="B2440" s="3">
        <v>101</v>
      </c>
      <c r="C2440" s="4">
        <v>1199.8710000000001</v>
      </c>
      <c r="D2440" s="4">
        <v>1199.655</v>
      </c>
      <c r="E2440" s="4">
        <v>1200.087</v>
      </c>
      <c r="F2440" s="4"/>
      <c r="G2440" s="4"/>
      <c r="H2440" s="27" t="s">
        <v>4018</v>
      </c>
      <c r="I2440" s="4"/>
      <c r="J2440" s="6">
        <v>0</v>
      </c>
      <c r="K2440" s="30" t="s">
        <v>3207</v>
      </c>
      <c r="L2440" s="4"/>
      <c r="M2440" s="3"/>
    </row>
    <row r="2441" spans="1:13" x14ac:dyDescent="0.3">
      <c r="A2441" s="3">
        <v>101</v>
      </c>
      <c r="B2441" s="3">
        <v>101</v>
      </c>
      <c r="C2441" s="4">
        <v>1200.49</v>
      </c>
      <c r="D2441" s="4">
        <v>1200.087</v>
      </c>
      <c r="E2441" s="4">
        <v>1200.8920000000001</v>
      </c>
      <c r="F2441" s="4"/>
      <c r="G2441" s="4"/>
      <c r="H2441" s="28" t="s">
        <v>4019</v>
      </c>
      <c r="I2441" s="4"/>
      <c r="J2441" s="6">
        <v>0</v>
      </c>
      <c r="K2441" s="29" t="s">
        <v>3207</v>
      </c>
      <c r="L2441" s="4"/>
      <c r="M2441" s="3"/>
    </row>
    <row r="2442" spans="1:13" x14ac:dyDescent="0.3">
      <c r="A2442" s="3">
        <v>101</v>
      </c>
      <c r="B2442" s="3">
        <v>101</v>
      </c>
      <c r="C2442" s="4">
        <v>1201.1949999999999</v>
      </c>
      <c r="D2442" s="4">
        <v>1200.8920000000001</v>
      </c>
      <c r="E2442" s="4">
        <v>1201.498</v>
      </c>
      <c r="F2442" s="4"/>
      <c r="G2442" s="4"/>
      <c r="H2442" s="27" t="s">
        <v>4020</v>
      </c>
      <c r="I2442" s="4"/>
      <c r="J2442" s="6">
        <v>0</v>
      </c>
      <c r="K2442" s="30" t="s">
        <v>3207</v>
      </c>
      <c r="L2442" s="4"/>
      <c r="M2442" s="3"/>
    </row>
    <row r="2443" spans="1:13" x14ac:dyDescent="0.3">
      <c r="A2443" s="3">
        <v>101</v>
      </c>
      <c r="B2443" s="3">
        <v>101</v>
      </c>
      <c r="C2443" s="4">
        <v>1201.848</v>
      </c>
      <c r="D2443" s="4">
        <v>1201.498</v>
      </c>
      <c r="E2443" s="4">
        <v>1202.1980000000001</v>
      </c>
      <c r="F2443" s="4"/>
      <c r="G2443" s="4"/>
      <c r="H2443" s="28" t="s">
        <v>4021</v>
      </c>
      <c r="I2443" s="4"/>
      <c r="J2443" s="6">
        <v>0</v>
      </c>
      <c r="K2443" s="29" t="s">
        <v>3207</v>
      </c>
      <c r="L2443" s="4"/>
      <c r="M2443" s="3"/>
    </row>
    <row r="2444" spans="1:13" x14ac:dyDescent="0.3">
      <c r="A2444" s="3">
        <v>101</v>
      </c>
      <c r="B2444" s="3">
        <v>101</v>
      </c>
      <c r="C2444" s="4">
        <v>1202.252</v>
      </c>
      <c r="D2444" s="4">
        <v>1202.1980000000001</v>
      </c>
      <c r="E2444" s="4">
        <v>1202.3050000000001</v>
      </c>
      <c r="F2444" s="4"/>
      <c r="G2444" s="4"/>
      <c r="H2444" s="27" t="s">
        <v>4022</v>
      </c>
      <c r="I2444" s="4"/>
      <c r="J2444" s="6">
        <v>0</v>
      </c>
      <c r="K2444" s="30" t="s">
        <v>3207</v>
      </c>
      <c r="L2444" s="4"/>
      <c r="M2444" s="3"/>
    </row>
    <row r="2445" spans="1:13" x14ac:dyDescent="0.3">
      <c r="A2445" s="3">
        <v>101</v>
      </c>
      <c r="B2445" s="3">
        <v>101</v>
      </c>
      <c r="C2445" s="4">
        <v>1202.5830000000001</v>
      </c>
      <c r="D2445" s="4">
        <v>1202.3050000000001</v>
      </c>
      <c r="E2445" s="4">
        <v>1202.8599999999999</v>
      </c>
      <c r="F2445" s="4"/>
      <c r="G2445" s="4"/>
      <c r="H2445" s="28" t="s">
        <v>4023</v>
      </c>
      <c r="I2445" s="4"/>
      <c r="J2445" s="6">
        <v>0</v>
      </c>
      <c r="K2445" s="29" t="s">
        <v>3207</v>
      </c>
      <c r="L2445" s="4"/>
      <c r="M2445" s="3"/>
    </row>
    <row r="2446" spans="1:13" x14ac:dyDescent="0.3">
      <c r="A2446" s="3">
        <v>101</v>
      </c>
      <c r="B2446" s="3">
        <v>101</v>
      </c>
      <c r="C2446" s="4">
        <v>1202.9739999999999</v>
      </c>
      <c r="D2446" s="4">
        <v>1202.8599999999999</v>
      </c>
      <c r="E2446" s="4">
        <v>1203.087</v>
      </c>
      <c r="F2446" s="4"/>
      <c r="G2446" s="4"/>
      <c r="H2446" s="27" t="s">
        <v>4024</v>
      </c>
      <c r="I2446" s="4"/>
      <c r="J2446" s="6">
        <v>0</v>
      </c>
      <c r="K2446" s="30" t="s">
        <v>3207</v>
      </c>
      <c r="L2446" s="4"/>
      <c r="M2446" s="3"/>
    </row>
    <row r="2447" spans="1:13" x14ac:dyDescent="0.3">
      <c r="A2447" s="3">
        <v>101</v>
      </c>
      <c r="B2447" s="3">
        <v>101</v>
      </c>
      <c r="C2447" s="4">
        <v>1203.299</v>
      </c>
      <c r="D2447" s="4">
        <v>1203.087</v>
      </c>
      <c r="E2447" s="4">
        <v>1203.51</v>
      </c>
      <c r="F2447" s="4"/>
      <c r="G2447" s="4"/>
      <c r="H2447" s="28" t="s">
        <v>4025</v>
      </c>
      <c r="I2447" s="4"/>
      <c r="J2447" s="6">
        <v>0</v>
      </c>
      <c r="K2447" s="29" t="s">
        <v>3207</v>
      </c>
      <c r="L2447" s="4"/>
      <c r="M2447" s="3"/>
    </row>
    <row r="2448" spans="1:13" x14ac:dyDescent="0.3">
      <c r="A2448" s="3">
        <v>101</v>
      </c>
      <c r="B2448" s="3">
        <v>101</v>
      </c>
      <c r="C2448" s="4">
        <v>1203.931</v>
      </c>
      <c r="D2448" s="4">
        <v>1203.51</v>
      </c>
      <c r="E2448" s="4">
        <v>1204.3510000000001</v>
      </c>
      <c r="F2448" s="4"/>
      <c r="G2448" s="4"/>
      <c r="H2448" s="27" t="s">
        <v>4026</v>
      </c>
      <c r="I2448" s="4"/>
      <c r="J2448" s="6">
        <v>0</v>
      </c>
      <c r="K2448" s="30" t="s">
        <v>3207</v>
      </c>
      <c r="L2448" s="4"/>
      <c r="M2448" s="3"/>
    </row>
    <row r="2449" spans="1:13" x14ac:dyDescent="0.3">
      <c r="A2449" s="3">
        <v>101</v>
      </c>
      <c r="B2449" s="3">
        <v>101</v>
      </c>
      <c r="C2449" s="4">
        <v>1205.037</v>
      </c>
      <c r="D2449" s="4">
        <v>1204.3510000000001</v>
      </c>
      <c r="E2449" s="4">
        <v>1205.723</v>
      </c>
      <c r="F2449" s="4"/>
      <c r="G2449" s="4"/>
      <c r="H2449" s="28" t="s">
        <v>4027</v>
      </c>
      <c r="I2449" s="4"/>
      <c r="J2449" s="6">
        <v>0</v>
      </c>
      <c r="K2449" s="29" t="s">
        <v>3207</v>
      </c>
      <c r="L2449" s="4"/>
      <c r="M2449" s="3"/>
    </row>
    <row r="2450" spans="1:13" x14ac:dyDescent="0.3">
      <c r="A2450" s="3">
        <v>101</v>
      </c>
      <c r="B2450" s="3">
        <v>101</v>
      </c>
      <c r="C2450" s="4">
        <v>1206.297</v>
      </c>
      <c r="D2450" s="4">
        <v>1205.723</v>
      </c>
      <c r="E2450" s="4">
        <v>1206.8699999999999</v>
      </c>
      <c r="F2450" s="4"/>
      <c r="G2450" s="4"/>
      <c r="H2450" s="27" t="s">
        <v>4028</v>
      </c>
      <c r="I2450" s="4"/>
      <c r="J2450" s="6">
        <v>0</v>
      </c>
      <c r="K2450" s="30" t="s">
        <v>3207</v>
      </c>
      <c r="L2450" s="4"/>
      <c r="M2450" s="3"/>
    </row>
    <row r="2451" spans="1:13" x14ac:dyDescent="0.3">
      <c r="A2451" s="3">
        <v>101</v>
      </c>
      <c r="B2451" s="3">
        <v>101</v>
      </c>
      <c r="C2451" s="4">
        <v>1207.501</v>
      </c>
      <c r="D2451" s="4">
        <v>1206.8699999999999</v>
      </c>
      <c r="E2451" s="4">
        <v>1208.1320000000001</v>
      </c>
      <c r="F2451" s="4"/>
      <c r="G2451" s="4"/>
      <c r="H2451" s="28" t="s">
        <v>4029</v>
      </c>
      <c r="I2451" s="4"/>
      <c r="J2451" s="6">
        <v>0</v>
      </c>
      <c r="K2451" s="29" t="s">
        <v>3207</v>
      </c>
      <c r="L2451" s="4"/>
      <c r="M2451" s="3"/>
    </row>
    <row r="2452" spans="1:13" x14ac:dyDescent="0.3">
      <c r="A2452" s="3">
        <v>101</v>
      </c>
      <c r="B2452" s="3">
        <v>101</v>
      </c>
      <c r="C2452" s="4">
        <v>1208.2660000000001</v>
      </c>
      <c r="D2452" s="4">
        <v>1208.1320000000001</v>
      </c>
      <c r="E2452" s="4">
        <v>1208.4000000000001</v>
      </c>
      <c r="F2452" s="4"/>
      <c r="G2452" s="4"/>
      <c r="H2452" s="27" t="s">
        <v>4030</v>
      </c>
      <c r="I2452" s="4"/>
      <c r="J2452" s="6">
        <v>0</v>
      </c>
      <c r="K2452" s="30" t="s">
        <v>3207</v>
      </c>
      <c r="L2452" s="4"/>
      <c r="M2452" s="3"/>
    </row>
    <row r="2453" spans="1:13" x14ac:dyDescent="0.3">
      <c r="A2453" s="3">
        <v>101</v>
      </c>
      <c r="B2453" s="3">
        <v>101</v>
      </c>
      <c r="C2453" s="4">
        <v>1209.03</v>
      </c>
      <c r="D2453" s="4">
        <v>1208.4000000000001</v>
      </c>
      <c r="E2453" s="4">
        <v>1209.6600000000001</v>
      </c>
      <c r="F2453" s="4"/>
      <c r="G2453" s="4"/>
      <c r="H2453" s="28" t="s">
        <v>4031</v>
      </c>
      <c r="I2453" s="4"/>
      <c r="J2453" s="6">
        <v>0</v>
      </c>
      <c r="K2453" s="29" t="s">
        <v>3207</v>
      </c>
      <c r="L2453" s="4"/>
      <c r="M2453" s="3"/>
    </row>
    <row r="2454" spans="1:13" x14ac:dyDescent="0.3">
      <c r="A2454" s="3">
        <v>101</v>
      </c>
      <c r="B2454" s="3">
        <v>101</v>
      </c>
      <c r="C2454" s="4">
        <v>1210.675</v>
      </c>
      <c r="D2454" s="4">
        <v>1209.6600000000001</v>
      </c>
      <c r="E2454" s="4">
        <v>1211.69</v>
      </c>
      <c r="F2454" s="4"/>
      <c r="G2454" s="4"/>
      <c r="H2454" s="27" t="s">
        <v>4032</v>
      </c>
      <c r="I2454" s="4"/>
      <c r="J2454" s="6">
        <v>0</v>
      </c>
      <c r="K2454" s="30" t="s">
        <v>3207</v>
      </c>
      <c r="L2454" s="4"/>
      <c r="M2454" s="3"/>
    </row>
    <row r="2455" spans="1:13" x14ac:dyDescent="0.3">
      <c r="A2455" s="3">
        <v>101</v>
      </c>
      <c r="B2455" s="3">
        <v>101</v>
      </c>
      <c r="C2455" s="4">
        <v>1211.9880000000001</v>
      </c>
      <c r="D2455" s="4">
        <v>1211.69</v>
      </c>
      <c r="E2455" s="4">
        <v>1212.2850000000001</v>
      </c>
      <c r="F2455" s="4"/>
      <c r="G2455" s="4"/>
      <c r="H2455" s="28" t="s">
        <v>4033</v>
      </c>
      <c r="I2455" s="4"/>
      <c r="J2455" s="6">
        <v>0</v>
      </c>
      <c r="K2455" s="29" t="s">
        <v>3207</v>
      </c>
      <c r="L2455" s="4"/>
      <c r="M2455" s="3"/>
    </row>
    <row r="2456" spans="1:13" x14ac:dyDescent="0.3">
      <c r="A2456" s="3">
        <v>101</v>
      </c>
      <c r="B2456" s="3">
        <v>101</v>
      </c>
      <c r="C2456" s="4">
        <v>1212.4079999999999</v>
      </c>
      <c r="D2456" s="4">
        <v>1212.2850000000001</v>
      </c>
      <c r="E2456" s="4">
        <v>1212.53</v>
      </c>
      <c r="F2456" s="4"/>
      <c r="G2456" s="4"/>
      <c r="H2456" s="27" t="s">
        <v>4034</v>
      </c>
      <c r="I2456" s="4"/>
      <c r="J2456" s="6">
        <v>0</v>
      </c>
      <c r="K2456" s="30" t="s">
        <v>3207</v>
      </c>
      <c r="L2456" s="4"/>
      <c r="M2456" s="3"/>
    </row>
    <row r="2457" spans="1:13" x14ac:dyDescent="0.3">
      <c r="A2457" s="3">
        <v>101</v>
      </c>
      <c r="B2457" s="3">
        <v>101</v>
      </c>
      <c r="C2457" s="4">
        <v>1212.865</v>
      </c>
      <c r="D2457" s="4">
        <v>1212.53</v>
      </c>
      <c r="E2457" s="4">
        <v>1213.2</v>
      </c>
      <c r="F2457" s="4"/>
      <c r="G2457" s="4"/>
      <c r="H2457" s="28" t="s">
        <v>4035</v>
      </c>
      <c r="I2457" s="4"/>
      <c r="J2457" s="6">
        <v>0</v>
      </c>
      <c r="K2457" s="29" t="s">
        <v>3207</v>
      </c>
      <c r="L2457" s="4"/>
      <c r="M2457" s="3"/>
    </row>
    <row r="2458" spans="1:13" x14ac:dyDescent="0.3">
      <c r="A2458" s="3">
        <v>101</v>
      </c>
      <c r="B2458" s="3">
        <v>101</v>
      </c>
      <c r="C2458" s="4">
        <v>1213.345</v>
      </c>
      <c r="D2458" s="4">
        <v>1213.2</v>
      </c>
      <c r="E2458" s="4">
        <v>1213.489</v>
      </c>
      <c r="F2458" s="4"/>
      <c r="G2458" s="4"/>
      <c r="H2458" s="27" t="s">
        <v>4036</v>
      </c>
      <c r="I2458" s="4"/>
      <c r="J2458" s="6">
        <v>0</v>
      </c>
      <c r="K2458" s="30" t="s">
        <v>3207</v>
      </c>
      <c r="L2458" s="4"/>
      <c r="M2458" s="3"/>
    </row>
    <row r="2459" spans="1:13" x14ac:dyDescent="0.3">
      <c r="A2459" s="3">
        <v>101</v>
      </c>
      <c r="B2459" s="3">
        <v>101</v>
      </c>
      <c r="C2459" s="4">
        <v>1213.9100000000001</v>
      </c>
      <c r="D2459" s="4">
        <v>1213.489</v>
      </c>
      <c r="E2459" s="4">
        <v>1214.33</v>
      </c>
      <c r="F2459" s="4"/>
      <c r="G2459" s="4"/>
      <c r="H2459" s="28" t="s">
        <v>4037</v>
      </c>
      <c r="I2459" s="4"/>
      <c r="J2459" s="6">
        <v>0</v>
      </c>
      <c r="K2459" s="29" t="s">
        <v>3207</v>
      </c>
      <c r="L2459" s="4"/>
      <c r="M2459" s="3"/>
    </row>
    <row r="2460" spans="1:13" x14ac:dyDescent="0.3">
      <c r="A2460" s="3">
        <v>101</v>
      </c>
      <c r="B2460" s="3">
        <v>101</v>
      </c>
      <c r="C2460" s="4">
        <v>1214.4179999999999</v>
      </c>
      <c r="D2460" s="4">
        <v>1214.33</v>
      </c>
      <c r="E2460" s="4">
        <v>1214.5050000000001</v>
      </c>
      <c r="F2460" s="4"/>
      <c r="G2460" s="4"/>
      <c r="H2460" s="27" t="s">
        <v>4038</v>
      </c>
      <c r="I2460" s="4"/>
      <c r="J2460" s="6">
        <v>0</v>
      </c>
      <c r="K2460" s="30" t="s">
        <v>3207</v>
      </c>
      <c r="L2460" s="4"/>
      <c r="M2460" s="3"/>
    </row>
    <row r="2461" spans="1:13" x14ac:dyDescent="0.3">
      <c r="A2461" s="3">
        <v>101</v>
      </c>
      <c r="B2461" s="3">
        <v>101</v>
      </c>
      <c r="C2461" s="4">
        <v>1214.7329999999999</v>
      </c>
      <c r="D2461" s="4">
        <v>1214.5050000000001</v>
      </c>
      <c r="E2461" s="4">
        <v>1214.96</v>
      </c>
      <c r="F2461" s="4"/>
      <c r="G2461" s="4"/>
      <c r="H2461" s="28" t="s">
        <v>4039</v>
      </c>
      <c r="I2461" s="4"/>
      <c r="J2461" s="6">
        <v>0</v>
      </c>
      <c r="K2461" s="29" t="s">
        <v>3207</v>
      </c>
      <c r="L2461" s="4"/>
      <c r="M2461" s="3"/>
    </row>
    <row r="2462" spans="1:13" x14ac:dyDescent="0.3">
      <c r="A2462" s="3">
        <v>101</v>
      </c>
      <c r="B2462" s="3">
        <v>101</v>
      </c>
      <c r="C2462" s="4">
        <v>1215.5029999999999</v>
      </c>
      <c r="D2462" s="4">
        <v>1214.96</v>
      </c>
      <c r="E2462" s="4">
        <v>1216.0450000000001</v>
      </c>
      <c r="F2462" s="4"/>
      <c r="G2462" s="4"/>
      <c r="H2462" s="27" t="s">
        <v>4040</v>
      </c>
      <c r="I2462" s="4"/>
      <c r="J2462" s="6">
        <v>0</v>
      </c>
      <c r="K2462" s="30" t="s">
        <v>3207</v>
      </c>
      <c r="L2462" s="4"/>
      <c r="M2462" s="3"/>
    </row>
    <row r="2463" spans="1:13" x14ac:dyDescent="0.3">
      <c r="A2463" s="3">
        <v>101</v>
      </c>
      <c r="B2463" s="3">
        <v>101</v>
      </c>
      <c r="C2463" s="4">
        <v>1216.27</v>
      </c>
      <c r="D2463" s="4">
        <v>1216.0450000000001</v>
      </c>
      <c r="E2463" s="4">
        <v>1216.4949999999999</v>
      </c>
      <c r="F2463" s="4"/>
      <c r="G2463" s="4"/>
      <c r="H2463" s="28" t="s">
        <v>4041</v>
      </c>
      <c r="I2463" s="4"/>
      <c r="J2463" s="6">
        <v>0</v>
      </c>
      <c r="K2463" s="29" t="s">
        <v>3207</v>
      </c>
      <c r="L2463" s="4"/>
      <c r="M2463" s="3"/>
    </row>
    <row r="2464" spans="1:13" x14ac:dyDescent="0.3">
      <c r="A2464" s="3">
        <v>101</v>
      </c>
      <c r="B2464" s="3">
        <v>101</v>
      </c>
      <c r="C2464" s="4">
        <v>1216.8019999999999</v>
      </c>
      <c r="D2464" s="4">
        <v>1216.4949999999999</v>
      </c>
      <c r="E2464" s="4">
        <v>1217.1079999999999</v>
      </c>
      <c r="F2464" s="4"/>
      <c r="G2464" s="4"/>
      <c r="H2464" s="27" t="s">
        <v>4042</v>
      </c>
      <c r="I2464" s="4"/>
      <c r="J2464" s="6">
        <v>0</v>
      </c>
      <c r="K2464" s="30" t="s">
        <v>3207</v>
      </c>
      <c r="L2464" s="4"/>
      <c r="M2464" s="3"/>
    </row>
    <row r="2465" spans="1:13" x14ac:dyDescent="0.3">
      <c r="A2465" s="3">
        <v>101</v>
      </c>
      <c r="B2465" s="3">
        <v>101</v>
      </c>
      <c r="C2465" s="4">
        <v>1217.2339999999999</v>
      </c>
      <c r="D2465" s="4">
        <v>1217.1079999999999</v>
      </c>
      <c r="E2465" s="4">
        <v>1217.3599999999999</v>
      </c>
      <c r="F2465" s="4"/>
      <c r="G2465" s="4"/>
      <c r="H2465" s="28" t="s">
        <v>4043</v>
      </c>
      <c r="I2465" s="4"/>
      <c r="J2465" s="6">
        <v>0</v>
      </c>
      <c r="K2465" s="29" t="s">
        <v>3207</v>
      </c>
      <c r="L2465" s="4"/>
      <c r="M2465" s="3"/>
    </row>
    <row r="2466" spans="1:13" x14ac:dyDescent="0.3">
      <c r="A2466" s="3">
        <v>101</v>
      </c>
      <c r="B2466" s="3">
        <v>101</v>
      </c>
      <c r="C2466" s="4">
        <v>1217.557</v>
      </c>
      <c r="D2466" s="4">
        <v>1217.3599999999999</v>
      </c>
      <c r="E2466" s="4">
        <v>1217.7529999999999</v>
      </c>
      <c r="F2466" s="4"/>
      <c r="G2466" s="4"/>
      <c r="H2466" s="27" t="s">
        <v>4044</v>
      </c>
      <c r="I2466" s="4"/>
      <c r="J2466" s="6">
        <v>0</v>
      </c>
      <c r="K2466" s="30" t="s">
        <v>3207</v>
      </c>
      <c r="L2466" s="4"/>
      <c r="M2466" s="3"/>
    </row>
    <row r="2467" spans="1:13" x14ac:dyDescent="0.3">
      <c r="A2467" s="3">
        <v>101</v>
      </c>
      <c r="B2467" s="3">
        <v>101</v>
      </c>
      <c r="C2467" s="4">
        <v>1218.375</v>
      </c>
      <c r="D2467" s="4">
        <v>1217.7529999999999</v>
      </c>
      <c r="E2467" s="4">
        <v>1218.9960000000001</v>
      </c>
      <c r="F2467" s="4"/>
      <c r="G2467" s="4"/>
      <c r="H2467" s="28" t="s">
        <v>4045</v>
      </c>
      <c r="I2467" s="4"/>
      <c r="J2467" s="6">
        <v>0</v>
      </c>
      <c r="K2467" s="29" t="s">
        <v>3207</v>
      </c>
      <c r="L2467" s="4"/>
      <c r="M2467" s="3"/>
    </row>
    <row r="2468" spans="1:13" x14ac:dyDescent="0.3">
      <c r="A2468" s="3">
        <v>101</v>
      </c>
      <c r="B2468" s="3">
        <v>101</v>
      </c>
      <c r="C2468" s="4">
        <v>1218.4670000000001</v>
      </c>
      <c r="D2468" s="4">
        <v>1218.42</v>
      </c>
      <c r="E2468" s="4">
        <v>1218.5129999999999</v>
      </c>
      <c r="F2468" s="4"/>
      <c r="G2468" s="4"/>
      <c r="H2468" s="27" t="s">
        <v>4046</v>
      </c>
      <c r="I2468" s="4"/>
      <c r="J2468" s="6">
        <v>0</v>
      </c>
      <c r="K2468" s="30" t="s">
        <v>3207</v>
      </c>
      <c r="L2468" s="4"/>
      <c r="M2468" s="3"/>
    </row>
    <row r="2469" spans="1:13" x14ac:dyDescent="0.3">
      <c r="A2469" s="3">
        <v>101</v>
      </c>
      <c r="B2469" s="3">
        <v>101</v>
      </c>
      <c r="C2469" s="4">
        <v>1218.7159999999999</v>
      </c>
      <c r="D2469" s="4">
        <v>1218.5129999999999</v>
      </c>
      <c r="E2469" s="4">
        <v>1218.9179999999999</v>
      </c>
      <c r="F2469" s="4"/>
      <c r="G2469" s="4"/>
      <c r="H2469" s="28" t="s">
        <v>4047</v>
      </c>
      <c r="I2469" s="4"/>
      <c r="J2469" s="6">
        <v>0</v>
      </c>
      <c r="K2469" s="29" t="s">
        <v>3207</v>
      </c>
      <c r="L2469" s="4"/>
      <c r="M2469" s="3"/>
    </row>
    <row r="2470" spans="1:13" x14ac:dyDescent="0.3">
      <c r="A2470" s="3">
        <v>101</v>
      </c>
      <c r="B2470" s="3">
        <v>101</v>
      </c>
      <c r="C2470" s="4">
        <v>1219.01</v>
      </c>
      <c r="D2470" s="4">
        <v>1218.9179999999999</v>
      </c>
      <c r="E2470" s="4">
        <v>1219.1020000000001</v>
      </c>
      <c r="F2470" s="4"/>
      <c r="G2470" s="4"/>
      <c r="H2470" s="27" t="s">
        <v>4048</v>
      </c>
      <c r="I2470" s="4"/>
      <c r="J2470" s="6">
        <v>0</v>
      </c>
      <c r="K2470" s="30" t="s">
        <v>3207</v>
      </c>
      <c r="L2470" s="4"/>
      <c r="M2470" s="3"/>
    </row>
    <row r="2471" spans="1:13" x14ac:dyDescent="0.3">
      <c r="A2471" s="3">
        <v>101</v>
      </c>
      <c r="B2471" s="3">
        <v>101</v>
      </c>
      <c r="C2471" s="4">
        <v>1219.4090000000001</v>
      </c>
      <c r="D2471" s="4">
        <v>1219.1020000000001</v>
      </c>
      <c r="E2471" s="4">
        <v>1219.7149999999999</v>
      </c>
      <c r="F2471" s="4"/>
      <c r="G2471" s="4"/>
      <c r="H2471" s="28" t="s">
        <v>4049</v>
      </c>
      <c r="I2471" s="4"/>
      <c r="J2471" s="6">
        <v>0</v>
      </c>
      <c r="K2471" s="29" t="s">
        <v>3207</v>
      </c>
      <c r="L2471" s="4"/>
      <c r="M2471" s="3"/>
    </row>
    <row r="2472" spans="1:13" x14ac:dyDescent="0.3">
      <c r="A2472" s="3">
        <v>101</v>
      </c>
      <c r="B2472" s="3">
        <v>101</v>
      </c>
      <c r="C2472" s="4">
        <v>1220.2180000000001</v>
      </c>
      <c r="D2472" s="4">
        <v>1219.7149999999999</v>
      </c>
      <c r="E2472" s="4">
        <v>1220.72</v>
      </c>
      <c r="F2472" s="4"/>
      <c r="G2472" s="4"/>
      <c r="H2472" s="27" t="s">
        <v>4050</v>
      </c>
      <c r="I2472" s="4"/>
      <c r="J2472" s="6">
        <v>0</v>
      </c>
      <c r="K2472" s="30" t="s">
        <v>3207</v>
      </c>
      <c r="L2472" s="4"/>
      <c r="M2472" s="3"/>
    </row>
    <row r="2473" spans="1:13" x14ac:dyDescent="0.3">
      <c r="A2473" s="3">
        <v>101</v>
      </c>
      <c r="B2473" s="3">
        <v>101</v>
      </c>
      <c r="C2473" s="4">
        <v>1220.9639999999999</v>
      </c>
      <c r="D2473" s="4">
        <v>1220.72</v>
      </c>
      <c r="E2473" s="4">
        <v>1221.2080000000001</v>
      </c>
      <c r="F2473" s="4"/>
      <c r="G2473" s="4"/>
      <c r="H2473" s="28" t="s">
        <v>4051</v>
      </c>
      <c r="I2473" s="4"/>
      <c r="J2473" s="6">
        <v>0</v>
      </c>
      <c r="K2473" s="29" t="s">
        <v>3207</v>
      </c>
      <c r="L2473" s="4"/>
      <c r="M2473" s="3"/>
    </row>
    <row r="2474" spans="1:13" x14ac:dyDescent="0.3">
      <c r="A2474" s="3">
        <v>101</v>
      </c>
      <c r="B2474" s="3">
        <v>101</v>
      </c>
      <c r="C2474" s="4">
        <v>1221.3019999999999</v>
      </c>
      <c r="D2474" s="4">
        <v>1221.2080000000001</v>
      </c>
      <c r="E2474" s="4">
        <v>1221.395</v>
      </c>
      <c r="F2474" s="4"/>
      <c r="G2474" s="4"/>
      <c r="H2474" s="27" t="s">
        <v>4052</v>
      </c>
      <c r="I2474" s="4"/>
      <c r="J2474" s="6">
        <v>0</v>
      </c>
      <c r="K2474" s="30" t="s">
        <v>3207</v>
      </c>
      <c r="L2474" s="4"/>
      <c r="M2474" s="3"/>
    </row>
    <row r="2475" spans="1:13" x14ac:dyDescent="0.3">
      <c r="A2475" s="3">
        <v>101</v>
      </c>
      <c r="B2475" s="3">
        <v>101</v>
      </c>
      <c r="C2475" s="4">
        <v>1221.5329999999999</v>
      </c>
      <c r="D2475" s="4">
        <v>1221.395</v>
      </c>
      <c r="E2475" s="4">
        <v>1221.67</v>
      </c>
      <c r="F2475" s="4"/>
      <c r="G2475" s="4"/>
      <c r="H2475" s="28" t="s">
        <v>4053</v>
      </c>
      <c r="I2475" s="4"/>
      <c r="J2475" s="6">
        <v>0</v>
      </c>
      <c r="K2475" s="29" t="s">
        <v>3207</v>
      </c>
      <c r="L2475" s="4"/>
      <c r="M2475" s="3"/>
    </row>
    <row r="2476" spans="1:13" x14ac:dyDescent="0.3">
      <c r="A2476" s="3">
        <v>101</v>
      </c>
      <c r="B2476" s="3">
        <v>101</v>
      </c>
      <c r="C2476" s="4">
        <v>1221.913</v>
      </c>
      <c r="D2476" s="4">
        <v>1221.67</v>
      </c>
      <c r="E2476" s="4">
        <v>1222.155</v>
      </c>
      <c r="F2476" s="4"/>
      <c r="G2476" s="4"/>
      <c r="H2476" s="27" t="s">
        <v>4054</v>
      </c>
      <c r="I2476" s="4"/>
      <c r="J2476" s="6">
        <v>0</v>
      </c>
      <c r="K2476" s="30" t="s">
        <v>3207</v>
      </c>
      <c r="L2476" s="4"/>
      <c r="M2476" s="3"/>
    </row>
    <row r="2477" spans="1:13" x14ac:dyDescent="0.3">
      <c r="A2477" s="3">
        <v>101</v>
      </c>
      <c r="B2477" s="3">
        <v>101</v>
      </c>
      <c r="C2477" s="4">
        <v>1222.327</v>
      </c>
      <c r="D2477" s="4">
        <v>1222.155</v>
      </c>
      <c r="E2477" s="4">
        <v>1222.498</v>
      </c>
      <c r="F2477" s="4"/>
      <c r="G2477" s="4"/>
      <c r="H2477" s="28" t="s">
        <v>4055</v>
      </c>
      <c r="I2477" s="4"/>
      <c r="J2477" s="6">
        <v>0</v>
      </c>
      <c r="K2477" s="29" t="s">
        <v>3207</v>
      </c>
      <c r="L2477" s="4"/>
      <c r="M2477" s="3"/>
    </row>
    <row r="2478" spans="1:13" x14ac:dyDescent="0.3">
      <c r="A2478" s="3">
        <v>101</v>
      </c>
      <c r="B2478" s="3">
        <v>101</v>
      </c>
      <c r="C2478" s="4">
        <v>1223.3130000000001</v>
      </c>
      <c r="D2478" s="4">
        <v>1222.498</v>
      </c>
      <c r="E2478" s="4">
        <v>1224.127</v>
      </c>
      <c r="F2478" s="4"/>
      <c r="G2478" s="4"/>
      <c r="H2478" s="27" t="s">
        <v>4056</v>
      </c>
      <c r="I2478" s="4"/>
      <c r="J2478" s="6">
        <v>0</v>
      </c>
      <c r="K2478" s="30" t="s">
        <v>3207</v>
      </c>
      <c r="L2478" s="4"/>
      <c r="M2478" s="3"/>
    </row>
    <row r="2479" spans="1:13" x14ac:dyDescent="0.3">
      <c r="A2479" s="3">
        <v>101</v>
      </c>
      <c r="B2479" s="3">
        <v>101</v>
      </c>
      <c r="C2479" s="4">
        <v>1224.578</v>
      </c>
      <c r="D2479" s="4">
        <v>1224.127</v>
      </c>
      <c r="E2479" s="4">
        <v>1225.028</v>
      </c>
      <c r="F2479" s="4"/>
      <c r="G2479" s="4"/>
      <c r="H2479" s="28" t="s">
        <v>4057</v>
      </c>
      <c r="I2479" s="4"/>
      <c r="J2479" s="6">
        <v>0</v>
      </c>
      <c r="K2479" s="29" t="s">
        <v>3207</v>
      </c>
      <c r="L2479" s="4"/>
      <c r="M2479" s="3"/>
    </row>
    <row r="2480" spans="1:13" x14ac:dyDescent="0.3">
      <c r="A2480" s="3">
        <v>101</v>
      </c>
      <c r="B2480" s="3">
        <v>101</v>
      </c>
      <c r="C2480" s="4">
        <v>1225.19</v>
      </c>
      <c r="D2480" s="4">
        <v>1225.028</v>
      </c>
      <c r="E2480" s="4">
        <v>1225.3520000000001</v>
      </c>
      <c r="F2480" s="4"/>
      <c r="G2480" s="4"/>
      <c r="H2480" s="27" t="s">
        <v>4058</v>
      </c>
      <c r="I2480" s="4"/>
      <c r="J2480" s="6">
        <v>0</v>
      </c>
      <c r="K2480" s="30" t="s">
        <v>3207</v>
      </c>
      <c r="L2480" s="4"/>
      <c r="M2480" s="3"/>
    </row>
    <row r="2481" spans="1:13" x14ac:dyDescent="0.3">
      <c r="A2481" s="3">
        <v>101</v>
      </c>
      <c r="B2481" s="3">
        <v>101</v>
      </c>
      <c r="C2481" s="4">
        <v>1225.5260000000001</v>
      </c>
      <c r="D2481" s="4">
        <v>1225.3520000000001</v>
      </c>
      <c r="E2481" s="4">
        <v>1225.7</v>
      </c>
      <c r="F2481" s="4"/>
      <c r="G2481" s="4"/>
      <c r="H2481" s="28" t="s">
        <v>4059</v>
      </c>
      <c r="I2481" s="4"/>
      <c r="J2481" s="6">
        <v>0</v>
      </c>
      <c r="K2481" s="29" t="s">
        <v>3207</v>
      </c>
      <c r="L2481" s="4"/>
      <c r="M2481" s="3"/>
    </row>
    <row r="2482" spans="1:13" x14ac:dyDescent="0.3">
      <c r="A2482" s="3">
        <v>101</v>
      </c>
      <c r="B2482" s="3">
        <v>101</v>
      </c>
      <c r="C2482" s="4">
        <v>1225.8009999999999</v>
      </c>
      <c r="D2482" s="4">
        <v>1225.7</v>
      </c>
      <c r="E2482" s="4">
        <v>1225.9010000000001</v>
      </c>
      <c r="F2482" s="4"/>
      <c r="G2482" s="4"/>
      <c r="H2482" s="27" t="s">
        <v>4060</v>
      </c>
      <c r="I2482" s="4"/>
      <c r="J2482" s="6">
        <v>0</v>
      </c>
      <c r="K2482" s="30" t="s">
        <v>3207</v>
      </c>
      <c r="L2482" s="4"/>
      <c r="M2482" s="3"/>
    </row>
    <row r="2483" spans="1:13" x14ac:dyDescent="0.3">
      <c r="A2483" s="3">
        <v>101</v>
      </c>
      <c r="B2483" s="3">
        <v>101</v>
      </c>
      <c r="C2483" s="4">
        <v>1226.046</v>
      </c>
      <c r="D2483" s="4">
        <v>1225.9010000000001</v>
      </c>
      <c r="E2483" s="4">
        <v>1226.19</v>
      </c>
      <c r="F2483" s="4"/>
      <c r="G2483" s="4"/>
      <c r="H2483" s="28" t="s">
        <v>4061</v>
      </c>
      <c r="I2483" s="4"/>
      <c r="J2483" s="6">
        <v>0</v>
      </c>
      <c r="K2483" s="29" t="s">
        <v>3207</v>
      </c>
      <c r="L2483" s="4"/>
      <c r="M2483" s="3"/>
    </row>
    <row r="2484" spans="1:13" x14ac:dyDescent="0.3">
      <c r="A2484" s="3">
        <v>101</v>
      </c>
      <c r="B2484" s="3">
        <v>101</v>
      </c>
      <c r="C2484" s="4">
        <v>1226.644</v>
      </c>
      <c r="D2484" s="4">
        <v>1226.19</v>
      </c>
      <c r="E2484" s="4">
        <v>1227.098</v>
      </c>
      <c r="F2484" s="4"/>
      <c r="G2484" s="4"/>
      <c r="H2484" s="27" t="s">
        <v>4062</v>
      </c>
      <c r="I2484" s="4"/>
      <c r="J2484" s="6">
        <v>0</v>
      </c>
      <c r="K2484" s="30" t="s">
        <v>3207</v>
      </c>
      <c r="L2484" s="4"/>
      <c r="M2484" s="3"/>
    </row>
    <row r="2485" spans="1:13" x14ac:dyDescent="0.3">
      <c r="A2485" s="3">
        <v>101</v>
      </c>
      <c r="B2485" s="3">
        <v>101</v>
      </c>
      <c r="C2485" s="4">
        <v>1227.3440000000001</v>
      </c>
      <c r="D2485" s="4">
        <v>1227.098</v>
      </c>
      <c r="E2485" s="4">
        <v>1227.5899999999999</v>
      </c>
      <c r="F2485" s="4"/>
      <c r="G2485" s="4"/>
      <c r="H2485" s="28" t="s">
        <v>4063</v>
      </c>
      <c r="I2485" s="4"/>
      <c r="J2485" s="6">
        <v>0</v>
      </c>
      <c r="K2485" s="29" t="s">
        <v>3207</v>
      </c>
      <c r="L2485" s="4"/>
      <c r="M2485" s="3"/>
    </row>
    <row r="2486" spans="1:13" x14ac:dyDescent="0.3">
      <c r="A2486" s="3">
        <v>101</v>
      </c>
      <c r="B2486" s="3">
        <v>101</v>
      </c>
      <c r="C2486" s="4">
        <v>1227.646</v>
      </c>
      <c r="D2486" s="4">
        <v>1227.5899999999999</v>
      </c>
      <c r="E2486" s="4">
        <v>1227.701</v>
      </c>
      <c r="F2486" s="4"/>
      <c r="G2486" s="4"/>
      <c r="H2486" s="27" t="s">
        <v>4064</v>
      </c>
      <c r="I2486" s="4"/>
      <c r="J2486" s="6">
        <v>0</v>
      </c>
      <c r="K2486" s="30" t="s">
        <v>3207</v>
      </c>
      <c r="L2486" s="4"/>
      <c r="M2486" s="3"/>
    </row>
    <row r="2487" spans="1:13" x14ac:dyDescent="0.3">
      <c r="A2487" s="3">
        <v>101</v>
      </c>
      <c r="B2487" s="3">
        <v>101</v>
      </c>
      <c r="C2487" s="4">
        <v>1227.8510000000001</v>
      </c>
      <c r="D2487" s="4">
        <v>1227.701</v>
      </c>
      <c r="E2487" s="4">
        <v>1228</v>
      </c>
      <c r="F2487" s="4"/>
      <c r="G2487" s="4"/>
      <c r="H2487" s="28" t="s">
        <v>4065</v>
      </c>
      <c r="I2487" s="4"/>
      <c r="J2487" s="6">
        <v>0</v>
      </c>
      <c r="K2487" s="29" t="s">
        <v>3207</v>
      </c>
      <c r="L2487" s="4"/>
      <c r="M2487" s="3"/>
    </row>
    <row r="2488" spans="1:13" x14ac:dyDescent="0.3">
      <c r="A2488" s="3">
        <v>101</v>
      </c>
      <c r="B2488" s="3">
        <v>101</v>
      </c>
      <c r="C2488" s="4">
        <v>1229.038</v>
      </c>
      <c r="D2488" s="4">
        <v>1228</v>
      </c>
      <c r="E2488" s="4">
        <v>1230.075</v>
      </c>
      <c r="F2488" s="4"/>
      <c r="G2488" s="4"/>
      <c r="H2488" s="27" t="s">
        <v>4066</v>
      </c>
      <c r="I2488" s="4"/>
      <c r="J2488" s="6">
        <v>0</v>
      </c>
      <c r="K2488" s="30" t="s">
        <v>3207</v>
      </c>
      <c r="L2488" s="4"/>
      <c r="M2488" s="3"/>
    </row>
    <row r="2489" spans="1:13" x14ac:dyDescent="0.3">
      <c r="A2489" s="3">
        <v>101</v>
      </c>
      <c r="B2489" s="3">
        <v>101</v>
      </c>
      <c r="C2489" s="4">
        <v>1230.1990000000001</v>
      </c>
      <c r="D2489" s="4">
        <v>1230.075</v>
      </c>
      <c r="E2489" s="4">
        <v>1230.3230000000001</v>
      </c>
      <c r="F2489" s="4"/>
      <c r="G2489" s="4"/>
      <c r="H2489" s="28" t="s">
        <v>4067</v>
      </c>
      <c r="I2489" s="4"/>
      <c r="J2489" s="6">
        <v>0</v>
      </c>
      <c r="K2489" s="29" t="s">
        <v>3207</v>
      </c>
      <c r="L2489" s="4"/>
      <c r="M2489" s="3"/>
    </row>
    <row r="2490" spans="1:13" x14ac:dyDescent="0.3">
      <c r="A2490" s="3">
        <v>101</v>
      </c>
      <c r="B2490" s="3">
        <v>101</v>
      </c>
      <c r="C2490" s="4">
        <v>1231.127</v>
      </c>
      <c r="D2490" s="4">
        <v>1230.3230000000001</v>
      </c>
      <c r="E2490" s="4">
        <v>1231.93</v>
      </c>
      <c r="F2490" s="4"/>
      <c r="G2490" s="4"/>
      <c r="H2490" s="27" t="s">
        <v>4068</v>
      </c>
      <c r="I2490" s="4"/>
      <c r="J2490" s="6">
        <v>0</v>
      </c>
      <c r="K2490" s="30" t="s">
        <v>3207</v>
      </c>
      <c r="L2490" s="4"/>
      <c r="M2490" s="3"/>
    </row>
    <row r="2491" spans="1:13" x14ac:dyDescent="0.3">
      <c r="A2491" s="3">
        <v>101</v>
      </c>
      <c r="B2491" s="3">
        <v>101</v>
      </c>
      <c r="C2491" s="4">
        <v>1232.4179999999999</v>
      </c>
      <c r="D2491" s="4">
        <v>1231.93</v>
      </c>
      <c r="E2491" s="4">
        <v>1232.905</v>
      </c>
      <c r="F2491" s="4"/>
      <c r="G2491" s="4"/>
      <c r="H2491" s="28" t="s">
        <v>4069</v>
      </c>
      <c r="I2491" s="4"/>
      <c r="J2491" s="6">
        <v>0</v>
      </c>
      <c r="K2491" s="29" t="s">
        <v>3207</v>
      </c>
      <c r="L2491" s="4"/>
      <c r="M2491" s="3"/>
    </row>
    <row r="2492" spans="1:13" x14ac:dyDescent="0.3">
      <c r="A2492" s="3">
        <v>101</v>
      </c>
      <c r="B2492" s="3">
        <v>101</v>
      </c>
      <c r="C2492" s="4">
        <v>1233.7729999999999</v>
      </c>
      <c r="D2492" s="4">
        <v>1232.905</v>
      </c>
      <c r="E2492" s="4">
        <v>1234.6400000000001</v>
      </c>
      <c r="F2492" s="4"/>
      <c r="G2492" s="4"/>
      <c r="H2492" s="27" t="s">
        <v>4070</v>
      </c>
      <c r="I2492" s="4"/>
      <c r="J2492" s="6">
        <v>0</v>
      </c>
      <c r="K2492" s="30" t="s">
        <v>3207</v>
      </c>
      <c r="L2492" s="4"/>
      <c r="M2492" s="3"/>
    </row>
    <row r="2493" spans="1:13" x14ac:dyDescent="0.3">
      <c r="A2493" s="3">
        <v>101</v>
      </c>
      <c r="B2493" s="3">
        <v>101</v>
      </c>
      <c r="C2493" s="4">
        <v>1234.93</v>
      </c>
      <c r="D2493" s="4">
        <v>1234.6400000000001</v>
      </c>
      <c r="E2493" s="4">
        <v>1235.22</v>
      </c>
      <c r="F2493" s="4"/>
      <c r="G2493" s="4"/>
      <c r="H2493" s="28" t="s">
        <v>4071</v>
      </c>
      <c r="I2493" s="4"/>
      <c r="J2493" s="6">
        <v>0</v>
      </c>
      <c r="K2493" s="29" t="s">
        <v>3207</v>
      </c>
      <c r="L2493" s="4"/>
      <c r="M2493" s="3"/>
    </row>
    <row r="2494" spans="1:13" x14ac:dyDescent="0.3">
      <c r="A2494" s="3">
        <v>101</v>
      </c>
      <c r="B2494" s="3">
        <v>101</v>
      </c>
      <c r="C2494" s="4">
        <v>1235.385</v>
      </c>
      <c r="D2494" s="4">
        <v>1235.22</v>
      </c>
      <c r="E2494" s="4">
        <v>1235.55</v>
      </c>
      <c r="F2494" s="4"/>
      <c r="G2494" s="4"/>
      <c r="H2494" s="27" t="s">
        <v>4072</v>
      </c>
      <c r="I2494" s="4"/>
      <c r="J2494" s="6">
        <v>0</v>
      </c>
      <c r="K2494" s="30" t="s">
        <v>3207</v>
      </c>
      <c r="L2494" s="4"/>
      <c r="M2494" s="3"/>
    </row>
    <row r="2495" spans="1:13" x14ac:dyDescent="0.3">
      <c r="A2495" s="3">
        <v>101</v>
      </c>
      <c r="B2495" s="3">
        <v>101</v>
      </c>
      <c r="C2495" s="4">
        <v>1235.7909999999999</v>
      </c>
      <c r="D2495" s="4">
        <v>1235.55</v>
      </c>
      <c r="E2495" s="4">
        <v>1236.0319999999999</v>
      </c>
      <c r="F2495" s="4"/>
      <c r="G2495" s="4"/>
      <c r="H2495" s="28" t="s">
        <v>4073</v>
      </c>
      <c r="I2495" s="4"/>
      <c r="J2495" s="6">
        <v>0</v>
      </c>
      <c r="K2495" s="29" t="s">
        <v>3207</v>
      </c>
      <c r="L2495" s="4"/>
      <c r="M2495" s="3"/>
    </row>
    <row r="2496" spans="1:13" x14ac:dyDescent="0.3">
      <c r="A2496" s="3">
        <v>101</v>
      </c>
      <c r="B2496" s="3">
        <v>101</v>
      </c>
      <c r="C2496" s="4">
        <v>1236.251</v>
      </c>
      <c r="D2496" s="4">
        <v>1236.0319999999999</v>
      </c>
      <c r="E2496" s="4">
        <v>1236.47</v>
      </c>
      <c r="F2496" s="4"/>
      <c r="G2496" s="4"/>
      <c r="H2496" s="27" t="s">
        <v>4074</v>
      </c>
      <c r="I2496" s="4"/>
      <c r="J2496" s="6">
        <v>0</v>
      </c>
      <c r="K2496" s="30" t="s">
        <v>3207</v>
      </c>
      <c r="L2496" s="4"/>
      <c r="M2496" s="3"/>
    </row>
    <row r="2497" spans="1:13" x14ac:dyDescent="0.3">
      <c r="A2497" s="3">
        <v>101</v>
      </c>
      <c r="B2497" s="3">
        <v>101</v>
      </c>
      <c r="C2497" s="4">
        <v>1236.73</v>
      </c>
      <c r="D2497" s="4">
        <v>1236.47</v>
      </c>
      <c r="E2497" s="4">
        <v>1236.99</v>
      </c>
      <c r="F2497" s="4"/>
      <c r="G2497" s="4"/>
      <c r="H2497" s="28" t="s">
        <v>4075</v>
      </c>
      <c r="I2497" s="4"/>
      <c r="J2497" s="6">
        <v>0</v>
      </c>
      <c r="K2497" s="29" t="s">
        <v>3207</v>
      </c>
      <c r="L2497" s="4"/>
      <c r="M2497" s="3"/>
    </row>
    <row r="2498" spans="1:13" x14ac:dyDescent="0.3">
      <c r="A2498" s="3">
        <v>101</v>
      </c>
      <c r="B2498" s="3">
        <v>101</v>
      </c>
      <c r="C2498" s="4">
        <v>1237.048</v>
      </c>
      <c r="D2498" s="4">
        <v>1236.99</v>
      </c>
      <c r="E2498" s="4">
        <v>1237.106</v>
      </c>
      <c r="F2498" s="4"/>
      <c r="G2498" s="4"/>
      <c r="H2498" s="27" t="s">
        <v>4076</v>
      </c>
      <c r="I2498" s="4"/>
      <c r="J2498" s="6">
        <v>0</v>
      </c>
      <c r="K2498" s="30" t="s">
        <v>3207</v>
      </c>
      <c r="L2498" s="4"/>
      <c r="M2498" s="3"/>
    </row>
    <row r="2499" spans="1:13" x14ac:dyDescent="0.3">
      <c r="A2499" s="3">
        <v>101</v>
      </c>
      <c r="B2499" s="3">
        <v>101</v>
      </c>
      <c r="C2499" s="4">
        <v>1237.6010000000001</v>
      </c>
      <c r="D2499" s="4">
        <v>1237.106</v>
      </c>
      <c r="E2499" s="4">
        <v>1238.095</v>
      </c>
      <c r="F2499" s="4"/>
      <c r="G2499" s="4"/>
      <c r="H2499" s="28" t="s">
        <v>4077</v>
      </c>
      <c r="I2499" s="4"/>
      <c r="J2499" s="6">
        <v>0</v>
      </c>
      <c r="K2499" s="29" t="s">
        <v>3207</v>
      </c>
      <c r="L2499" s="4"/>
      <c r="M2499" s="3"/>
    </row>
    <row r="2500" spans="1:13" x14ac:dyDescent="0.3">
      <c r="A2500" s="3">
        <v>101</v>
      </c>
      <c r="B2500" s="3">
        <v>101</v>
      </c>
      <c r="C2500" s="4">
        <v>1238.163</v>
      </c>
      <c r="D2500" s="4">
        <v>1238.095</v>
      </c>
      <c r="E2500" s="4">
        <v>1238.231</v>
      </c>
      <c r="F2500" s="4"/>
      <c r="G2500" s="4"/>
      <c r="H2500" s="27" t="s">
        <v>4078</v>
      </c>
      <c r="I2500" s="4"/>
      <c r="J2500" s="6">
        <v>0</v>
      </c>
      <c r="K2500" s="30" t="s">
        <v>3207</v>
      </c>
      <c r="L2500" s="4"/>
      <c r="M2500" s="3"/>
    </row>
    <row r="2501" spans="1:13" x14ac:dyDescent="0.3">
      <c r="A2501" s="3">
        <v>101</v>
      </c>
      <c r="B2501" s="3">
        <v>101</v>
      </c>
      <c r="C2501" s="4">
        <v>1238.431</v>
      </c>
      <c r="D2501" s="4">
        <v>1238.231</v>
      </c>
      <c r="E2501" s="4">
        <v>1238.6310000000001</v>
      </c>
      <c r="F2501" s="4"/>
      <c r="G2501" s="4"/>
      <c r="H2501" s="28" t="s">
        <v>4079</v>
      </c>
      <c r="I2501" s="4"/>
      <c r="J2501" s="6">
        <v>0</v>
      </c>
      <c r="K2501" s="29" t="s">
        <v>3207</v>
      </c>
      <c r="L2501" s="4"/>
      <c r="M2501" s="3"/>
    </row>
    <row r="2502" spans="1:13" x14ac:dyDescent="0.3">
      <c r="A2502" s="3">
        <v>101</v>
      </c>
      <c r="B2502" s="3">
        <v>101</v>
      </c>
      <c r="C2502" s="4">
        <v>1238.665</v>
      </c>
      <c r="D2502" s="4">
        <v>1238.6310000000001</v>
      </c>
      <c r="E2502" s="4">
        <v>1238.6980000000001</v>
      </c>
      <c r="F2502" s="4"/>
      <c r="G2502" s="4"/>
      <c r="H2502" s="27" t="s">
        <v>4080</v>
      </c>
      <c r="I2502" s="4"/>
      <c r="J2502" s="6">
        <v>0</v>
      </c>
      <c r="K2502" s="30" t="s">
        <v>3207</v>
      </c>
      <c r="L2502" s="4"/>
      <c r="M2502" s="3"/>
    </row>
    <row r="2503" spans="1:13" x14ac:dyDescent="0.3">
      <c r="A2503" s="3">
        <v>101</v>
      </c>
      <c r="B2503" s="3">
        <v>101</v>
      </c>
      <c r="C2503" s="4">
        <v>1238.7090000000001</v>
      </c>
      <c r="D2503" s="4">
        <v>1238.6980000000001</v>
      </c>
      <c r="E2503" s="4">
        <v>1238.72</v>
      </c>
      <c r="F2503" s="4"/>
      <c r="G2503" s="4"/>
      <c r="H2503" s="28" t="s">
        <v>4081</v>
      </c>
      <c r="I2503" s="4"/>
      <c r="J2503" s="6">
        <v>0</v>
      </c>
      <c r="K2503" s="29" t="s">
        <v>3207</v>
      </c>
      <c r="L2503" s="4"/>
      <c r="M2503" s="3"/>
    </row>
    <row r="2504" spans="1:13" x14ac:dyDescent="0.3">
      <c r="A2504" s="3">
        <v>101</v>
      </c>
      <c r="B2504" s="3">
        <v>101</v>
      </c>
      <c r="C2504" s="4">
        <v>1239.2249999999999</v>
      </c>
      <c r="D2504" s="4">
        <v>1238.72</v>
      </c>
      <c r="E2504" s="4">
        <v>1239.73</v>
      </c>
      <c r="F2504" s="4"/>
      <c r="G2504" s="4"/>
      <c r="H2504" s="27" t="s">
        <v>4082</v>
      </c>
      <c r="I2504" s="4"/>
      <c r="J2504" s="6">
        <v>0</v>
      </c>
      <c r="K2504" s="30" t="s">
        <v>3207</v>
      </c>
      <c r="L2504" s="4"/>
      <c r="M2504" s="3"/>
    </row>
    <row r="2505" spans="1:13" x14ac:dyDescent="0.3">
      <c r="A2505" s="3">
        <v>101</v>
      </c>
      <c r="B2505" s="3">
        <v>101</v>
      </c>
      <c r="C2505" s="4">
        <v>1239.8430000000001</v>
      </c>
      <c r="D2505" s="4">
        <v>1239.73</v>
      </c>
      <c r="E2505" s="4">
        <v>1239.9549999999999</v>
      </c>
      <c r="F2505" s="4"/>
      <c r="G2505" s="4"/>
      <c r="H2505" s="28" t="s">
        <v>4083</v>
      </c>
      <c r="I2505" s="4"/>
      <c r="J2505" s="6">
        <v>0</v>
      </c>
      <c r="K2505" s="29" t="s">
        <v>3207</v>
      </c>
      <c r="L2505" s="4"/>
      <c r="M2505" s="3"/>
    </row>
    <row r="2506" spans="1:13" x14ac:dyDescent="0.3">
      <c r="A2506" s="3">
        <v>101</v>
      </c>
      <c r="B2506" s="3">
        <v>101</v>
      </c>
      <c r="C2506" s="4">
        <v>1240.3979999999999</v>
      </c>
      <c r="D2506" s="4">
        <v>1239.9549999999999</v>
      </c>
      <c r="E2506" s="4">
        <v>1240.8399999999999</v>
      </c>
      <c r="F2506" s="4"/>
      <c r="G2506" s="4"/>
      <c r="H2506" s="27" t="s">
        <v>4084</v>
      </c>
      <c r="I2506" s="4"/>
      <c r="J2506" s="6">
        <v>0</v>
      </c>
      <c r="K2506" s="30" t="s">
        <v>3207</v>
      </c>
      <c r="L2506" s="4"/>
      <c r="M2506" s="3"/>
    </row>
    <row r="2507" spans="1:13" x14ac:dyDescent="0.3">
      <c r="A2507" s="3">
        <v>101</v>
      </c>
      <c r="B2507" s="3">
        <v>101</v>
      </c>
      <c r="C2507" s="4">
        <v>1241.1099999999999</v>
      </c>
      <c r="D2507" s="4">
        <v>1240.8399999999999</v>
      </c>
      <c r="E2507" s="4">
        <v>1241.3800000000001</v>
      </c>
      <c r="F2507" s="4"/>
      <c r="G2507" s="4"/>
      <c r="H2507" s="28" t="s">
        <v>4085</v>
      </c>
      <c r="I2507" s="4"/>
      <c r="J2507" s="6">
        <v>0</v>
      </c>
      <c r="K2507" s="29" t="s">
        <v>3207</v>
      </c>
      <c r="L2507" s="4"/>
      <c r="M2507" s="3"/>
    </row>
    <row r="2508" spans="1:13" x14ac:dyDescent="0.3">
      <c r="A2508" s="3">
        <v>101</v>
      </c>
      <c r="B2508" s="3">
        <v>101</v>
      </c>
      <c r="C2508" s="4">
        <v>1241.97</v>
      </c>
      <c r="D2508" s="4">
        <v>1241.3800000000001</v>
      </c>
      <c r="E2508" s="4">
        <v>1242.56</v>
      </c>
      <c r="F2508" s="4"/>
      <c r="G2508" s="4"/>
      <c r="H2508" s="27" t="s">
        <v>4086</v>
      </c>
      <c r="I2508" s="4"/>
      <c r="J2508" s="6">
        <v>0</v>
      </c>
      <c r="K2508" s="30" t="s">
        <v>3207</v>
      </c>
      <c r="L2508" s="4"/>
      <c r="M2508" s="3"/>
    </row>
    <row r="2509" spans="1:13" x14ac:dyDescent="0.3">
      <c r="A2509" s="3">
        <v>101</v>
      </c>
      <c r="B2509" s="3">
        <v>101</v>
      </c>
      <c r="C2509" s="4">
        <v>1242.6500000000001</v>
      </c>
      <c r="D2509" s="4">
        <v>1242.56</v>
      </c>
      <c r="E2509" s="4">
        <v>1242.74</v>
      </c>
      <c r="F2509" s="4"/>
      <c r="G2509" s="4"/>
      <c r="H2509" s="28" t="s">
        <v>4087</v>
      </c>
      <c r="I2509" s="4"/>
      <c r="J2509" s="6">
        <v>0</v>
      </c>
      <c r="K2509" s="29" t="s">
        <v>3207</v>
      </c>
      <c r="L2509" s="4"/>
      <c r="M2509" s="3"/>
    </row>
    <row r="2510" spans="1:13" x14ac:dyDescent="0.3">
      <c r="A2510" s="3">
        <v>101</v>
      </c>
      <c r="B2510" s="3">
        <v>101</v>
      </c>
      <c r="C2510" s="4">
        <v>1242.973</v>
      </c>
      <c r="D2510" s="4">
        <v>1242.74</v>
      </c>
      <c r="E2510" s="4">
        <v>1243.2049999999999</v>
      </c>
      <c r="F2510" s="4"/>
      <c r="G2510" s="4"/>
      <c r="H2510" s="27" t="s">
        <v>4088</v>
      </c>
      <c r="I2510" s="4"/>
      <c r="J2510" s="6">
        <v>0</v>
      </c>
      <c r="K2510" s="30" t="s">
        <v>3207</v>
      </c>
      <c r="L2510" s="4"/>
      <c r="M2510" s="3"/>
    </row>
    <row r="2511" spans="1:13" x14ac:dyDescent="0.3">
      <c r="A2511" s="3">
        <v>101</v>
      </c>
      <c r="B2511" s="3">
        <v>101</v>
      </c>
      <c r="C2511" s="4">
        <v>1243.385</v>
      </c>
      <c r="D2511" s="4">
        <v>1243.2049999999999</v>
      </c>
      <c r="E2511" s="4">
        <v>1243.5650000000001</v>
      </c>
      <c r="F2511" s="4"/>
      <c r="G2511" s="4"/>
      <c r="H2511" s="28" t="s">
        <v>4089</v>
      </c>
      <c r="I2511" s="4"/>
      <c r="J2511" s="6">
        <v>0</v>
      </c>
      <c r="K2511" s="29" t="s">
        <v>3207</v>
      </c>
      <c r="L2511" s="4"/>
      <c r="M2511" s="3"/>
    </row>
    <row r="2512" spans="1:13" x14ac:dyDescent="0.3">
      <c r="A2512" s="3">
        <v>101</v>
      </c>
      <c r="B2512" s="3">
        <v>101</v>
      </c>
      <c r="C2512" s="4">
        <v>1243.8050000000001</v>
      </c>
      <c r="D2512" s="4">
        <v>1243.5650000000001</v>
      </c>
      <c r="E2512" s="4">
        <v>1244.0450000000001</v>
      </c>
      <c r="F2512" s="4"/>
      <c r="G2512" s="4"/>
      <c r="H2512" s="27" t="s">
        <v>4090</v>
      </c>
      <c r="I2512" s="4"/>
      <c r="J2512" s="6">
        <v>0</v>
      </c>
      <c r="K2512" s="30" t="s">
        <v>3207</v>
      </c>
      <c r="L2512" s="4"/>
      <c r="M2512" s="3"/>
    </row>
    <row r="2513" spans="1:13" x14ac:dyDescent="0.3">
      <c r="A2513" s="3">
        <v>101</v>
      </c>
      <c r="B2513" s="3">
        <v>101</v>
      </c>
      <c r="C2513" s="4">
        <v>1244.4349999999999</v>
      </c>
      <c r="D2513" s="4">
        <v>1244.0450000000001</v>
      </c>
      <c r="E2513" s="4">
        <v>1244.825</v>
      </c>
      <c r="F2513" s="4"/>
      <c r="G2513" s="4"/>
      <c r="H2513" s="28" t="s">
        <v>4091</v>
      </c>
      <c r="I2513" s="4"/>
      <c r="J2513" s="6">
        <v>0</v>
      </c>
      <c r="K2513" s="29" t="s">
        <v>3207</v>
      </c>
      <c r="L2513" s="4"/>
      <c r="M2513" s="3"/>
    </row>
    <row r="2514" spans="1:13" x14ac:dyDescent="0.3">
      <c r="A2514" s="3">
        <v>101</v>
      </c>
      <c r="B2514" s="3">
        <v>101</v>
      </c>
      <c r="C2514" s="4">
        <v>1245.2909999999999</v>
      </c>
      <c r="D2514" s="4">
        <v>1244.825</v>
      </c>
      <c r="E2514" s="4">
        <v>1245.7560000000001</v>
      </c>
      <c r="F2514" s="4"/>
      <c r="G2514" s="4"/>
      <c r="H2514" s="27" t="s">
        <v>4092</v>
      </c>
      <c r="I2514" s="4"/>
      <c r="J2514" s="6">
        <v>0</v>
      </c>
      <c r="K2514" s="30" t="s">
        <v>3207</v>
      </c>
      <c r="L2514" s="4"/>
      <c r="M2514" s="3"/>
    </row>
    <row r="2515" spans="1:13" x14ac:dyDescent="0.3">
      <c r="A2515" s="3">
        <v>101</v>
      </c>
      <c r="B2515" s="3">
        <v>101</v>
      </c>
      <c r="C2515" s="4">
        <v>1245.7909999999999</v>
      </c>
      <c r="D2515" s="4">
        <v>1245.7560000000001</v>
      </c>
      <c r="E2515" s="4">
        <v>1245.825</v>
      </c>
      <c r="F2515" s="4"/>
      <c r="G2515" s="4"/>
      <c r="H2515" s="28" t="s">
        <v>4093</v>
      </c>
      <c r="I2515" s="4"/>
      <c r="J2515" s="6">
        <v>0</v>
      </c>
      <c r="K2515" s="29" t="s">
        <v>3207</v>
      </c>
      <c r="L2515" s="4"/>
      <c r="M2515" s="3"/>
    </row>
    <row r="2516" spans="1:13" x14ac:dyDescent="0.3">
      <c r="A2516" s="3">
        <v>101</v>
      </c>
      <c r="B2516" s="3">
        <v>101</v>
      </c>
      <c r="C2516" s="4">
        <v>1246.1099999999999</v>
      </c>
      <c r="D2516" s="4">
        <v>1245.825</v>
      </c>
      <c r="E2516" s="4">
        <v>1246.395</v>
      </c>
      <c r="F2516" s="4"/>
      <c r="G2516" s="4"/>
      <c r="H2516" s="27" t="s">
        <v>4094</v>
      </c>
      <c r="I2516" s="4"/>
      <c r="J2516" s="6">
        <v>0</v>
      </c>
      <c r="K2516" s="30" t="s">
        <v>3207</v>
      </c>
      <c r="L2516" s="4"/>
      <c r="M2516" s="3"/>
    </row>
    <row r="2517" spans="1:13" x14ac:dyDescent="0.3">
      <c r="A2517" s="3">
        <v>101</v>
      </c>
      <c r="B2517" s="3">
        <v>101</v>
      </c>
      <c r="C2517" s="4">
        <v>1246.614</v>
      </c>
      <c r="D2517" s="4">
        <v>1246.395</v>
      </c>
      <c r="E2517" s="4">
        <v>1246.8320000000001</v>
      </c>
      <c r="F2517" s="4"/>
      <c r="G2517" s="4"/>
      <c r="H2517" s="28" t="s">
        <v>4095</v>
      </c>
      <c r="I2517" s="4"/>
      <c r="J2517" s="6">
        <v>0</v>
      </c>
      <c r="K2517" s="29" t="s">
        <v>3207</v>
      </c>
      <c r="L2517" s="4"/>
      <c r="M2517" s="3"/>
    </row>
    <row r="2518" spans="1:13" x14ac:dyDescent="0.3">
      <c r="A2518" s="3">
        <v>101</v>
      </c>
      <c r="B2518" s="3">
        <v>101</v>
      </c>
      <c r="C2518" s="4">
        <v>1247.029</v>
      </c>
      <c r="D2518" s="4">
        <v>1246.8320000000001</v>
      </c>
      <c r="E2518" s="4">
        <v>1247.2249999999999</v>
      </c>
      <c r="F2518" s="4"/>
      <c r="G2518" s="4"/>
      <c r="H2518" s="27" t="s">
        <v>4096</v>
      </c>
      <c r="I2518" s="4"/>
      <c r="J2518" s="6">
        <v>0</v>
      </c>
      <c r="K2518" s="30" t="s">
        <v>3207</v>
      </c>
      <c r="L2518" s="4"/>
      <c r="M2518" s="3"/>
    </row>
    <row r="2519" spans="1:13" x14ac:dyDescent="0.3">
      <c r="A2519" s="3">
        <v>101</v>
      </c>
      <c r="B2519" s="3">
        <v>101</v>
      </c>
      <c r="C2519" s="4">
        <v>1247.268</v>
      </c>
      <c r="D2519" s="4">
        <v>1247.2249999999999</v>
      </c>
      <c r="E2519" s="4">
        <v>1247.31</v>
      </c>
      <c r="F2519" s="4"/>
      <c r="G2519" s="4"/>
      <c r="H2519" s="28" t="s">
        <v>4097</v>
      </c>
      <c r="I2519" s="4"/>
      <c r="J2519" s="6">
        <v>0</v>
      </c>
      <c r="K2519" s="29" t="s">
        <v>3207</v>
      </c>
      <c r="L2519" s="4"/>
      <c r="M2519" s="3"/>
    </row>
    <row r="2520" spans="1:13" x14ac:dyDescent="0.3">
      <c r="A2520" s="3">
        <v>101</v>
      </c>
      <c r="B2520" s="3">
        <v>101</v>
      </c>
      <c r="C2520" s="4">
        <v>1247.5029999999999</v>
      </c>
      <c r="D2520" s="4">
        <v>1247.31</v>
      </c>
      <c r="E2520" s="4">
        <v>1247.6949999999999</v>
      </c>
      <c r="F2520" s="4"/>
      <c r="G2520" s="4"/>
      <c r="H2520" s="27" t="s">
        <v>4098</v>
      </c>
      <c r="I2520" s="4"/>
      <c r="J2520" s="6">
        <v>0</v>
      </c>
      <c r="K2520" s="30" t="s">
        <v>3207</v>
      </c>
      <c r="L2520" s="4"/>
      <c r="M2520" s="3"/>
    </row>
    <row r="2521" spans="1:13" x14ac:dyDescent="0.3">
      <c r="A2521" s="3">
        <v>101</v>
      </c>
      <c r="B2521" s="3">
        <v>101</v>
      </c>
      <c r="C2521" s="4">
        <v>1248.0519999999999</v>
      </c>
      <c r="D2521" s="4">
        <v>1247.6949999999999</v>
      </c>
      <c r="E2521" s="4">
        <v>1248.4079999999999</v>
      </c>
      <c r="F2521" s="4"/>
      <c r="G2521" s="4"/>
      <c r="H2521" s="28" t="s">
        <v>4099</v>
      </c>
      <c r="I2521" s="4"/>
      <c r="J2521" s="6">
        <v>0</v>
      </c>
      <c r="K2521" s="29" t="s">
        <v>3207</v>
      </c>
      <c r="L2521" s="4"/>
      <c r="M2521" s="3"/>
    </row>
    <row r="2522" spans="1:13" x14ac:dyDescent="0.3">
      <c r="A2522" s="3">
        <v>101</v>
      </c>
      <c r="B2522" s="3">
        <v>101</v>
      </c>
      <c r="C2522" s="4">
        <v>1248.664</v>
      </c>
      <c r="D2522" s="4">
        <v>1248.4079999999999</v>
      </c>
      <c r="E2522" s="4">
        <v>1248.92</v>
      </c>
      <c r="F2522" s="4"/>
      <c r="G2522" s="4"/>
      <c r="H2522" s="27" t="s">
        <v>4100</v>
      </c>
      <c r="I2522" s="4"/>
      <c r="J2522" s="6">
        <v>0</v>
      </c>
      <c r="K2522" s="30" t="s">
        <v>3207</v>
      </c>
      <c r="L2522" s="4"/>
      <c r="M2522" s="3"/>
    </row>
    <row r="2523" spans="1:13" x14ac:dyDescent="0.3">
      <c r="A2523" s="3">
        <v>101</v>
      </c>
      <c r="B2523" s="3">
        <v>101</v>
      </c>
      <c r="C2523" s="4">
        <v>1249.0530000000001</v>
      </c>
      <c r="D2523" s="4">
        <v>1248.92</v>
      </c>
      <c r="E2523" s="4">
        <v>1249.1849999999999</v>
      </c>
      <c r="F2523" s="4"/>
      <c r="G2523" s="4"/>
      <c r="H2523" s="28" t="s">
        <v>4101</v>
      </c>
      <c r="I2523" s="4"/>
      <c r="J2523" s="6">
        <v>0</v>
      </c>
      <c r="K2523" s="29" t="s">
        <v>3207</v>
      </c>
      <c r="L2523" s="4"/>
      <c r="M2523" s="3"/>
    </row>
    <row r="2524" spans="1:13" x14ac:dyDescent="0.3">
      <c r="A2524" s="3">
        <v>101</v>
      </c>
      <c r="B2524" s="3">
        <v>101</v>
      </c>
      <c r="C2524" s="4">
        <v>1249.31</v>
      </c>
      <c r="D2524" s="4">
        <v>1249.1849999999999</v>
      </c>
      <c r="E2524" s="4">
        <v>1249.4349999999999</v>
      </c>
      <c r="F2524" s="4"/>
      <c r="G2524" s="4"/>
      <c r="H2524" s="27" t="s">
        <v>4102</v>
      </c>
      <c r="I2524" s="4"/>
      <c r="J2524" s="6">
        <v>0</v>
      </c>
      <c r="K2524" s="30" t="s">
        <v>3207</v>
      </c>
      <c r="L2524" s="4"/>
      <c r="M2524" s="3"/>
    </row>
    <row r="2525" spans="1:13" x14ac:dyDescent="0.3">
      <c r="A2525" s="3">
        <v>101</v>
      </c>
      <c r="B2525" s="3">
        <v>101</v>
      </c>
      <c r="C2525" s="4">
        <v>1249.4839999999999</v>
      </c>
      <c r="D2525" s="4">
        <v>1249.4349999999999</v>
      </c>
      <c r="E2525" s="4">
        <v>1249.5319999999999</v>
      </c>
      <c r="F2525" s="4"/>
      <c r="G2525" s="4"/>
      <c r="H2525" s="28" t="s">
        <v>4103</v>
      </c>
      <c r="I2525" s="4"/>
      <c r="J2525" s="6">
        <v>0</v>
      </c>
      <c r="K2525" s="29" t="s">
        <v>3207</v>
      </c>
      <c r="L2525" s="4"/>
      <c r="M2525" s="3"/>
    </row>
    <row r="2526" spans="1:13" x14ac:dyDescent="0.3">
      <c r="A2526" s="3">
        <v>101</v>
      </c>
      <c r="B2526" s="3">
        <v>101</v>
      </c>
      <c r="C2526" s="4">
        <v>1249.921</v>
      </c>
      <c r="D2526" s="4">
        <v>1249.5319999999999</v>
      </c>
      <c r="E2526" s="4">
        <v>1250.31</v>
      </c>
      <c r="F2526" s="4"/>
      <c r="G2526" s="4"/>
      <c r="H2526" s="27" t="s">
        <v>4104</v>
      </c>
      <c r="I2526" s="4"/>
      <c r="J2526" s="6">
        <v>0</v>
      </c>
      <c r="K2526" s="30" t="s">
        <v>3207</v>
      </c>
      <c r="L2526" s="4"/>
      <c r="M2526" s="3"/>
    </row>
    <row r="2527" spans="1:13" x14ac:dyDescent="0.3">
      <c r="A2527" s="3">
        <v>101</v>
      </c>
      <c r="B2527" s="3">
        <v>101</v>
      </c>
      <c r="C2527" s="4">
        <v>1250.508</v>
      </c>
      <c r="D2527" s="4">
        <v>1250.31</v>
      </c>
      <c r="E2527" s="4">
        <v>1250.7049999999999</v>
      </c>
      <c r="F2527" s="4"/>
      <c r="G2527" s="4"/>
      <c r="H2527" s="28" t="s">
        <v>4105</v>
      </c>
      <c r="I2527" s="4"/>
      <c r="J2527" s="6">
        <v>0</v>
      </c>
      <c r="K2527" s="29" t="s">
        <v>3207</v>
      </c>
      <c r="L2527" s="4"/>
      <c r="M2527" s="3"/>
    </row>
    <row r="2528" spans="1:13" x14ac:dyDescent="0.3">
      <c r="A2528" s="3">
        <v>101</v>
      </c>
      <c r="B2528" s="3">
        <v>101</v>
      </c>
      <c r="C2528" s="4">
        <v>1250.7539999999999</v>
      </c>
      <c r="D2528" s="4">
        <v>1250.7049999999999</v>
      </c>
      <c r="E2528" s="4">
        <v>1250.8019999999999</v>
      </c>
      <c r="F2528" s="4"/>
      <c r="G2528" s="4"/>
      <c r="H2528" s="27" t="s">
        <v>4106</v>
      </c>
      <c r="I2528" s="4"/>
      <c r="J2528" s="6">
        <v>0</v>
      </c>
      <c r="K2528" s="30" t="s">
        <v>3207</v>
      </c>
      <c r="L2528" s="4"/>
      <c r="M2528" s="3"/>
    </row>
    <row r="2529" spans="1:13" x14ac:dyDescent="0.3">
      <c r="A2529" s="3">
        <v>101</v>
      </c>
      <c r="B2529" s="3">
        <v>101</v>
      </c>
      <c r="C2529" s="4">
        <v>1251.1210000000001</v>
      </c>
      <c r="D2529" s="4">
        <v>1250.8019999999999</v>
      </c>
      <c r="E2529" s="4">
        <v>1251.44</v>
      </c>
      <c r="F2529" s="4"/>
      <c r="G2529" s="4"/>
      <c r="H2529" s="28" t="s">
        <v>4107</v>
      </c>
      <c r="I2529" s="4"/>
      <c r="J2529" s="6">
        <v>0</v>
      </c>
      <c r="K2529" s="29" t="s">
        <v>3207</v>
      </c>
      <c r="L2529" s="4"/>
      <c r="M2529" s="3"/>
    </row>
    <row r="2530" spans="1:13" x14ac:dyDescent="0.3">
      <c r="A2530" s="3">
        <v>101</v>
      </c>
      <c r="B2530" s="3">
        <v>101</v>
      </c>
      <c r="C2530" s="4">
        <v>1251.479</v>
      </c>
      <c r="D2530" s="4">
        <v>1251.44</v>
      </c>
      <c r="E2530" s="4">
        <v>1251.5170000000001</v>
      </c>
      <c r="F2530" s="4"/>
      <c r="G2530" s="4"/>
      <c r="H2530" s="27" t="s">
        <v>4108</v>
      </c>
      <c r="I2530" s="4"/>
      <c r="J2530" s="6">
        <v>0</v>
      </c>
      <c r="K2530" s="30" t="s">
        <v>3207</v>
      </c>
      <c r="L2530" s="4"/>
      <c r="M2530" s="3"/>
    </row>
    <row r="2531" spans="1:13" x14ac:dyDescent="0.3">
      <c r="A2531" s="3">
        <v>101</v>
      </c>
      <c r="B2531" s="3">
        <v>101</v>
      </c>
      <c r="C2531" s="4">
        <v>1252.03</v>
      </c>
      <c r="D2531" s="4">
        <v>1251.5170000000001</v>
      </c>
      <c r="E2531" s="4">
        <v>1252.5419999999999</v>
      </c>
      <c r="F2531" s="4"/>
      <c r="G2531" s="4"/>
      <c r="H2531" s="28" t="s">
        <v>4109</v>
      </c>
      <c r="I2531" s="4"/>
      <c r="J2531" s="6">
        <v>0</v>
      </c>
      <c r="K2531" s="29" t="s">
        <v>3207</v>
      </c>
      <c r="L2531" s="4"/>
      <c r="M2531" s="3"/>
    </row>
    <row r="2532" spans="1:13" x14ac:dyDescent="0.3">
      <c r="A2532" s="3">
        <v>101</v>
      </c>
      <c r="B2532" s="3">
        <v>101</v>
      </c>
      <c r="C2532" s="4">
        <v>1252.575</v>
      </c>
      <c r="D2532" s="4">
        <v>1252.5419999999999</v>
      </c>
      <c r="E2532" s="4">
        <v>1252.6079999999999</v>
      </c>
      <c r="F2532" s="4"/>
      <c r="G2532" s="4"/>
      <c r="H2532" s="27" t="s">
        <v>4110</v>
      </c>
      <c r="I2532" s="4"/>
      <c r="J2532" s="6">
        <v>0</v>
      </c>
      <c r="K2532" s="30" t="s">
        <v>3207</v>
      </c>
      <c r="L2532" s="4"/>
      <c r="M2532" s="3"/>
    </row>
    <row r="2533" spans="1:13" x14ac:dyDescent="0.3">
      <c r="A2533" s="3">
        <v>101</v>
      </c>
      <c r="B2533" s="3">
        <v>101</v>
      </c>
      <c r="C2533" s="4">
        <v>1252.864</v>
      </c>
      <c r="D2533" s="4">
        <v>1252.6079999999999</v>
      </c>
      <c r="E2533" s="4">
        <v>1253.1199999999999</v>
      </c>
      <c r="F2533" s="4"/>
      <c r="G2533" s="4"/>
      <c r="H2533" s="28" t="s">
        <v>4111</v>
      </c>
      <c r="I2533" s="4"/>
      <c r="J2533" s="6">
        <v>0</v>
      </c>
      <c r="K2533" s="29" t="s">
        <v>3207</v>
      </c>
      <c r="L2533" s="4"/>
      <c r="M2533" s="3"/>
    </row>
    <row r="2534" spans="1:13" x14ac:dyDescent="0.3">
      <c r="A2534" s="3">
        <v>101</v>
      </c>
      <c r="B2534" s="3">
        <v>101</v>
      </c>
      <c r="C2534" s="4">
        <v>1253.19</v>
      </c>
      <c r="D2534" s="4">
        <v>1253.1199999999999</v>
      </c>
      <c r="E2534" s="4">
        <v>1253.26</v>
      </c>
      <c r="F2534" s="4"/>
      <c r="G2534" s="4"/>
      <c r="H2534" s="27" t="s">
        <v>4112</v>
      </c>
      <c r="I2534" s="4"/>
      <c r="J2534" s="6">
        <v>0</v>
      </c>
      <c r="K2534" s="30" t="s">
        <v>3207</v>
      </c>
      <c r="L2534" s="4"/>
      <c r="M2534" s="3"/>
    </row>
    <row r="2535" spans="1:13" x14ac:dyDescent="0.3">
      <c r="A2535" s="3">
        <v>101</v>
      </c>
      <c r="B2535" s="3">
        <v>101</v>
      </c>
      <c r="C2535" s="4">
        <v>1253.443</v>
      </c>
      <c r="D2535" s="4">
        <v>1253.26</v>
      </c>
      <c r="E2535" s="4">
        <v>1253.625</v>
      </c>
      <c r="F2535" s="4"/>
      <c r="G2535" s="4"/>
      <c r="H2535" s="28" t="s">
        <v>4113</v>
      </c>
      <c r="I2535" s="4"/>
      <c r="J2535" s="6">
        <v>0</v>
      </c>
      <c r="K2535" s="29" t="s">
        <v>3207</v>
      </c>
      <c r="L2535" s="4"/>
      <c r="M2535" s="3"/>
    </row>
    <row r="2536" spans="1:13" x14ac:dyDescent="0.3">
      <c r="A2536" s="3">
        <v>101</v>
      </c>
      <c r="B2536" s="3">
        <v>101</v>
      </c>
      <c r="C2536" s="4">
        <v>1253.7629999999999</v>
      </c>
      <c r="D2536" s="4">
        <v>1253.625</v>
      </c>
      <c r="E2536" s="4">
        <v>1253.9000000000001</v>
      </c>
      <c r="F2536" s="4"/>
      <c r="G2536" s="4"/>
      <c r="H2536" s="27" t="s">
        <v>4114</v>
      </c>
      <c r="I2536" s="4"/>
      <c r="J2536" s="6">
        <v>0</v>
      </c>
      <c r="K2536" s="30" t="s">
        <v>3207</v>
      </c>
      <c r="L2536" s="4"/>
      <c r="M2536" s="3"/>
    </row>
    <row r="2537" spans="1:13" x14ac:dyDescent="0.3">
      <c r="A2537" s="3">
        <v>101</v>
      </c>
      <c r="B2537" s="3">
        <v>101</v>
      </c>
      <c r="C2537" s="4">
        <v>1254.2260000000001</v>
      </c>
      <c r="D2537" s="4">
        <v>1253.9000000000001</v>
      </c>
      <c r="E2537" s="4">
        <v>1254.5519999999999</v>
      </c>
      <c r="F2537" s="4"/>
      <c r="G2537" s="4"/>
      <c r="H2537" s="28" t="s">
        <v>4115</v>
      </c>
      <c r="I2537" s="4"/>
      <c r="J2537" s="6">
        <v>0</v>
      </c>
      <c r="K2537" s="29" t="s">
        <v>3207</v>
      </c>
      <c r="L2537" s="4"/>
      <c r="M2537" s="3"/>
    </row>
    <row r="2538" spans="1:13" x14ac:dyDescent="0.3">
      <c r="A2538" s="3">
        <v>101</v>
      </c>
      <c r="B2538" s="3">
        <v>101</v>
      </c>
      <c r="C2538" s="4">
        <v>1254.761</v>
      </c>
      <c r="D2538" s="4">
        <v>1254.5519999999999</v>
      </c>
      <c r="E2538" s="4">
        <v>1254.97</v>
      </c>
      <c r="F2538" s="4"/>
      <c r="G2538" s="4"/>
      <c r="H2538" s="27" t="s">
        <v>4116</v>
      </c>
      <c r="I2538" s="4"/>
      <c r="J2538" s="6">
        <v>0</v>
      </c>
      <c r="K2538" s="30" t="s">
        <v>3207</v>
      </c>
      <c r="L2538" s="4"/>
      <c r="M2538" s="3"/>
    </row>
    <row r="2539" spans="1:13" x14ac:dyDescent="0.3">
      <c r="A2539" s="3">
        <v>101</v>
      </c>
      <c r="B2539" s="3">
        <v>101</v>
      </c>
      <c r="C2539" s="4">
        <v>1255.18</v>
      </c>
      <c r="D2539" s="4">
        <v>1254.97</v>
      </c>
      <c r="E2539" s="4">
        <v>1255.3900000000001</v>
      </c>
      <c r="F2539" s="4"/>
      <c r="G2539" s="4"/>
      <c r="H2539" s="28" t="s">
        <v>4117</v>
      </c>
      <c r="I2539" s="4"/>
      <c r="J2539" s="6">
        <v>0</v>
      </c>
      <c r="K2539" s="29" t="s">
        <v>3207</v>
      </c>
      <c r="L2539" s="4"/>
      <c r="M2539" s="3"/>
    </row>
    <row r="2540" spans="1:13" x14ac:dyDescent="0.3">
      <c r="A2540" s="3">
        <v>101</v>
      </c>
      <c r="B2540" s="3">
        <v>101</v>
      </c>
      <c r="C2540" s="4">
        <v>1255.905</v>
      </c>
      <c r="D2540" s="4">
        <v>1255.3900000000001</v>
      </c>
      <c r="E2540" s="4">
        <v>1256.42</v>
      </c>
      <c r="F2540" s="4"/>
      <c r="G2540" s="4"/>
      <c r="H2540" s="27" t="s">
        <v>4118</v>
      </c>
      <c r="I2540" s="4"/>
      <c r="J2540" s="6">
        <v>0</v>
      </c>
      <c r="K2540" s="30" t="s">
        <v>3207</v>
      </c>
      <c r="L2540" s="4"/>
      <c r="M2540" s="3"/>
    </row>
    <row r="2541" spans="1:13" x14ac:dyDescent="0.3">
      <c r="A2541" s="3">
        <v>101</v>
      </c>
      <c r="B2541" s="3">
        <v>101</v>
      </c>
      <c r="C2541" s="4">
        <v>1256.575</v>
      </c>
      <c r="D2541" s="4">
        <v>1256.42</v>
      </c>
      <c r="E2541" s="4">
        <v>1256.73</v>
      </c>
      <c r="F2541" s="4"/>
      <c r="G2541" s="4"/>
      <c r="H2541" s="28" t="s">
        <v>4119</v>
      </c>
      <c r="I2541" s="4"/>
      <c r="J2541" s="6">
        <v>0</v>
      </c>
      <c r="K2541" s="29" t="s">
        <v>3207</v>
      </c>
      <c r="L2541" s="4"/>
      <c r="M2541" s="3"/>
    </row>
    <row r="2542" spans="1:13" x14ac:dyDescent="0.3">
      <c r="A2542" s="3">
        <v>101</v>
      </c>
      <c r="B2542" s="3">
        <v>101</v>
      </c>
      <c r="C2542" s="4">
        <v>1257.5070000000001</v>
      </c>
      <c r="D2542" s="4">
        <v>1256.73</v>
      </c>
      <c r="E2542" s="4">
        <v>1258.2829999999999</v>
      </c>
      <c r="F2542" s="4"/>
      <c r="G2542" s="4"/>
      <c r="H2542" s="27" t="s">
        <v>4120</v>
      </c>
      <c r="I2542" s="4"/>
      <c r="J2542" s="6">
        <v>0</v>
      </c>
      <c r="K2542" s="30" t="s">
        <v>3207</v>
      </c>
      <c r="L2542" s="4"/>
      <c r="M2542" s="3"/>
    </row>
    <row r="2543" spans="1:13" x14ac:dyDescent="0.3">
      <c r="A2543" s="3">
        <v>101</v>
      </c>
      <c r="B2543" s="3">
        <v>101</v>
      </c>
      <c r="C2543" s="4">
        <v>1258.799</v>
      </c>
      <c r="D2543" s="4">
        <v>1258.2829999999999</v>
      </c>
      <c r="E2543" s="4">
        <v>1259.3150000000001</v>
      </c>
      <c r="F2543" s="4"/>
      <c r="G2543" s="4"/>
      <c r="H2543" s="28" t="s">
        <v>4121</v>
      </c>
      <c r="I2543" s="4"/>
      <c r="J2543" s="6">
        <v>0</v>
      </c>
      <c r="K2543" s="29" t="s">
        <v>3207</v>
      </c>
      <c r="L2543" s="4"/>
      <c r="M2543" s="3"/>
    </row>
    <row r="2544" spans="1:13" x14ac:dyDescent="0.3">
      <c r="A2544" s="3">
        <v>101</v>
      </c>
      <c r="B2544" s="3">
        <v>101</v>
      </c>
      <c r="C2544" s="4">
        <v>1259.373</v>
      </c>
      <c r="D2544" s="4">
        <v>1259.3150000000001</v>
      </c>
      <c r="E2544" s="4">
        <v>1259.43</v>
      </c>
      <c r="F2544" s="4"/>
      <c r="G2544" s="4"/>
      <c r="H2544" s="27" t="s">
        <v>4122</v>
      </c>
      <c r="I2544" s="4"/>
      <c r="J2544" s="6">
        <v>0</v>
      </c>
      <c r="K2544" s="30" t="s">
        <v>3207</v>
      </c>
      <c r="L2544" s="4"/>
      <c r="M2544" s="3"/>
    </row>
    <row r="2545" spans="1:13" x14ac:dyDescent="0.3">
      <c r="A2545" s="3">
        <v>101</v>
      </c>
      <c r="B2545" s="3">
        <v>101</v>
      </c>
      <c r="C2545" s="4">
        <v>1259.5899999999999</v>
      </c>
      <c r="D2545" s="4">
        <v>1259.43</v>
      </c>
      <c r="E2545" s="4">
        <v>1259.75</v>
      </c>
      <c r="F2545" s="4"/>
      <c r="G2545" s="4"/>
      <c r="H2545" s="28" t="s">
        <v>4123</v>
      </c>
      <c r="I2545" s="4"/>
      <c r="J2545" s="6">
        <v>0</v>
      </c>
      <c r="K2545" s="29" t="s">
        <v>3207</v>
      </c>
      <c r="L2545" s="4"/>
      <c r="M2545" s="3"/>
    </row>
    <row r="2546" spans="1:13" x14ac:dyDescent="0.3">
      <c r="A2546" s="3">
        <v>101</v>
      </c>
      <c r="B2546" s="3">
        <v>101</v>
      </c>
      <c r="C2546" s="4">
        <v>1259.97</v>
      </c>
      <c r="D2546" s="4">
        <v>1259.75</v>
      </c>
      <c r="E2546" s="4">
        <v>1260.19</v>
      </c>
      <c r="F2546" s="4"/>
      <c r="G2546" s="4"/>
      <c r="H2546" s="27" t="s">
        <v>4124</v>
      </c>
      <c r="I2546" s="4"/>
      <c r="J2546" s="6">
        <v>0</v>
      </c>
      <c r="K2546" s="30" t="s">
        <v>3207</v>
      </c>
      <c r="L2546" s="4"/>
      <c r="M2546" s="3"/>
    </row>
    <row r="2547" spans="1:13" x14ac:dyDescent="0.3">
      <c r="A2547" s="3">
        <v>101</v>
      </c>
      <c r="B2547" s="3">
        <v>101</v>
      </c>
      <c r="C2547" s="4">
        <v>1260.345</v>
      </c>
      <c r="D2547" s="4">
        <v>1260.19</v>
      </c>
      <c r="E2547" s="4">
        <v>1260.5</v>
      </c>
      <c r="F2547" s="4"/>
      <c r="G2547" s="4"/>
      <c r="H2547" s="28" t="s">
        <v>4125</v>
      </c>
      <c r="I2547" s="4"/>
      <c r="J2547" s="6">
        <v>0</v>
      </c>
      <c r="K2547" s="29" t="s">
        <v>3207</v>
      </c>
      <c r="L2547" s="4"/>
      <c r="M2547" s="3"/>
    </row>
    <row r="2548" spans="1:13" x14ac:dyDescent="0.3">
      <c r="A2548" s="3">
        <v>101</v>
      </c>
      <c r="B2548" s="3">
        <v>101</v>
      </c>
      <c r="C2548" s="4">
        <v>1260.5530000000001</v>
      </c>
      <c r="D2548" s="4">
        <v>1260.5</v>
      </c>
      <c r="E2548" s="4">
        <v>1260.605</v>
      </c>
      <c r="F2548" s="4"/>
      <c r="G2548" s="4"/>
      <c r="H2548" s="27" t="s">
        <v>4126</v>
      </c>
      <c r="I2548" s="4"/>
      <c r="J2548" s="6">
        <v>0</v>
      </c>
      <c r="K2548" s="30" t="s">
        <v>3207</v>
      </c>
      <c r="L2548" s="4"/>
      <c r="M2548" s="3"/>
    </row>
    <row r="2549" spans="1:13" x14ac:dyDescent="0.3">
      <c r="A2549" s="3">
        <v>101</v>
      </c>
      <c r="B2549" s="3">
        <v>101</v>
      </c>
      <c r="C2549" s="4">
        <v>1260.768</v>
      </c>
      <c r="D2549" s="4">
        <v>1260.605</v>
      </c>
      <c r="E2549" s="4">
        <v>1260.93</v>
      </c>
      <c r="F2549" s="4"/>
      <c r="G2549" s="4"/>
      <c r="H2549" s="28" t="s">
        <v>4127</v>
      </c>
      <c r="I2549" s="4"/>
      <c r="J2549" s="6">
        <v>0</v>
      </c>
      <c r="K2549" s="29" t="s">
        <v>3207</v>
      </c>
      <c r="L2549" s="4"/>
      <c r="M2549" s="3"/>
    </row>
    <row r="2550" spans="1:13" x14ac:dyDescent="0.3">
      <c r="A2550" s="3">
        <v>101</v>
      </c>
      <c r="B2550" s="3">
        <v>101</v>
      </c>
      <c r="C2550" s="4">
        <v>1261.008</v>
      </c>
      <c r="D2550" s="4">
        <v>1260.93</v>
      </c>
      <c r="E2550" s="4">
        <v>1261.085</v>
      </c>
      <c r="F2550" s="4"/>
      <c r="G2550" s="4"/>
      <c r="H2550" s="27" t="s">
        <v>4128</v>
      </c>
      <c r="I2550" s="4"/>
      <c r="J2550" s="6">
        <v>0</v>
      </c>
      <c r="K2550" s="30" t="s">
        <v>3207</v>
      </c>
      <c r="L2550" s="4"/>
      <c r="M2550" s="3"/>
    </row>
    <row r="2551" spans="1:13" x14ac:dyDescent="0.3">
      <c r="A2551" s="3">
        <v>101</v>
      </c>
      <c r="B2551" s="3">
        <v>101</v>
      </c>
      <c r="C2551" s="4">
        <v>1261.298</v>
      </c>
      <c r="D2551" s="4">
        <v>1261.085</v>
      </c>
      <c r="E2551" s="4">
        <v>1261.51</v>
      </c>
      <c r="F2551" s="4"/>
      <c r="G2551" s="4"/>
      <c r="H2551" s="28" t="s">
        <v>4129</v>
      </c>
      <c r="I2551" s="4"/>
      <c r="J2551" s="6">
        <v>0</v>
      </c>
      <c r="K2551" s="29" t="s">
        <v>3207</v>
      </c>
      <c r="L2551" s="4"/>
      <c r="M2551" s="3"/>
    </row>
    <row r="2552" spans="1:13" x14ac:dyDescent="0.3">
      <c r="A2552" s="3">
        <v>101</v>
      </c>
      <c r="B2552" s="3">
        <v>101</v>
      </c>
      <c r="C2552" s="4">
        <v>1261.548</v>
      </c>
      <c r="D2552" s="4">
        <v>1261.51</v>
      </c>
      <c r="E2552" s="4">
        <v>1261.585</v>
      </c>
      <c r="F2552" s="4"/>
      <c r="G2552" s="4"/>
      <c r="H2552" s="27" t="s">
        <v>4130</v>
      </c>
      <c r="I2552" s="4"/>
      <c r="J2552" s="6">
        <v>0</v>
      </c>
      <c r="K2552" s="30" t="s">
        <v>3207</v>
      </c>
      <c r="L2552" s="4"/>
      <c r="M2552" s="3"/>
    </row>
    <row r="2553" spans="1:13" x14ac:dyDescent="0.3">
      <c r="A2553" s="3">
        <v>101</v>
      </c>
      <c r="B2553" s="3">
        <v>101</v>
      </c>
      <c r="C2553" s="4">
        <v>1261.95</v>
      </c>
      <c r="D2553" s="4">
        <v>1261.585</v>
      </c>
      <c r="E2553" s="4">
        <v>1262.3150000000001</v>
      </c>
      <c r="F2553" s="4"/>
      <c r="G2553" s="4"/>
      <c r="H2553" s="28" t="s">
        <v>4131</v>
      </c>
      <c r="I2553" s="4"/>
      <c r="J2553" s="6">
        <v>0</v>
      </c>
      <c r="K2553" s="29" t="s">
        <v>3207</v>
      </c>
      <c r="L2553" s="4"/>
      <c r="M2553" s="3"/>
    </row>
    <row r="2554" spans="1:13" x14ac:dyDescent="0.3">
      <c r="A2554" s="3">
        <v>101</v>
      </c>
      <c r="B2554" s="3">
        <v>101</v>
      </c>
      <c r="C2554" s="4">
        <v>1262.635</v>
      </c>
      <c r="D2554" s="4">
        <v>1262.3150000000001</v>
      </c>
      <c r="E2554" s="4">
        <v>1262.9549999999999</v>
      </c>
      <c r="F2554" s="4"/>
      <c r="G2554" s="4"/>
      <c r="H2554" s="27" t="s">
        <v>4132</v>
      </c>
      <c r="I2554" s="4"/>
      <c r="J2554" s="6">
        <v>0</v>
      </c>
      <c r="K2554" s="30" t="s">
        <v>3207</v>
      </c>
      <c r="L2554" s="4"/>
      <c r="M2554" s="3"/>
    </row>
    <row r="2555" spans="1:13" x14ac:dyDescent="0.3">
      <c r="A2555" s="3">
        <v>101</v>
      </c>
      <c r="B2555" s="3">
        <v>101</v>
      </c>
      <c r="C2555" s="4">
        <v>1263.27</v>
      </c>
      <c r="D2555" s="4">
        <v>1262.9549999999999</v>
      </c>
      <c r="E2555" s="4">
        <v>1263.585</v>
      </c>
      <c r="F2555" s="4"/>
      <c r="G2555" s="4"/>
      <c r="H2555" s="28" t="s">
        <v>4133</v>
      </c>
      <c r="I2555" s="4"/>
      <c r="J2555" s="6">
        <v>0</v>
      </c>
      <c r="K2555" s="29" t="s">
        <v>3207</v>
      </c>
      <c r="L2555" s="4"/>
      <c r="M2555" s="3"/>
    </row>
    <row r="2556" spans="1:13" x14ac:dyDescent="0.3">
      <c r="A2556" s="3">
        <v>101</v>
      </c>
      <c r="B2556" s="3">
        <v>101</v>
      </c>
      <c r="C2556" s="4">
        <v>1263.653</v>
      </c>
      <c r="D2556" s="4">
        <v>1263.585</v>
      </c>
      <c r="E2556" s="4">
        <v>1263.72</v>
      </c>
      <c r="F2556" s="4"/>
      <c r="G2556" s="4"/>
      <c r="H2556" s="27" t="s">
        <v>4134</v>
      </c>
      <c r="I2556" s="4"/>
      <c r="J2556" s="6">
        <v>0</v>
      </c>
      <c r="K2556" s="30" t="s">
        <v>3207</v>
      </c>
      <c r="L2556" s="4"/>
      <c r="M2556" s="3"/>
    </row>
    <row r="2557" spans="1:13" x14ac:dyDescent="0.3">
      <c r="A2557" s="3">
        <v>101</v>
      </c>
      <c r="B2557" s="3">
        <v>101</v>
      </c>
      <c r="C2557" s="4">
        <v>1264.07</v>
      </c>
      <c r="D2557" s="4">
        <v>1263.72</v>
      </c>
      <c r="E2557" s="4">
        <v>1264.42</v>
      </c>
      <c r="F2557" s="4"/>
      <c r="G2557" s="4"/>
      <c r="H2557" s="28" t="s">
        <v>4135</v>
      </c>
      <c r="I2557" s="4"/>
      <c r="J2557" s="6">
        <v>0</v>
      </c>
      <c r="K2557" s="29" t="s">
        <v>3207</v>
      </c>
      <c r="L2557" s="4"/>
      <c r="M2557" s="3"/>
    </row>
    <row r="2558" spans="1:13" x14ac:dyDescent="0.3">
      <c r="A2558" s="3">
        <v>101</v>
      </c>
      <c r="B2558" s="3">
        <v>101</v>
      </c>
      <c r="C2558" s="4">
        <v>1264.4949999999999</v>
      </c>
      <c r="D2558" s="4">
        <v>1264.42</v>
      </c>
      <c r="E2558" s="4">
        <v>1264.57</v>
      </c>
      <c r="F2558" s="4"/>
      <c r="G2558" s="4"/>
      <c r="H2558" s="27" t="s">
        <v>4136</v>
      </c>
      <c r="I2558" s="4"/>
      <c r="J2558" s="6">
        <v>0</v>
      </c>
      <c r="K2558" s="30" t="s">
        <v>3207</v>
      </c>
      <c r="L2558" s="4"/>
      <c r="M2558" s="3"/>
    </row>
    <row r="2559" spans="1:13" x14ac:dyDescent="0.3">
      <c r="A2559" s="3">
        <v>101</v>
      </c>
      <c r="B2559" s="3">
        <v>101</v>
      </c>
      <c r="C2559" s="4">
        <v>1264.8</v>
      </c>
      <c r="D2559" s="4">
        <v>1264.57</v>
      </c>
      <c r="E2559" s="4">
        <v>1265.03</v>
      </c>
      <c r="F2559" s="4"/>
      <c r="G2559" s="4"/>
      <c r="H2559" s="28" t="s">
        <v>4137</v>
      </c>
      <c r="I2559" s="4"/>
      <c r="J2559" s="6">
        <v>0</v>
      </c>
      <c r="K2559" s="29" t="s">
        <v>3207</v>
      </c>
      <c r="L2559" s="4"/>
      <c r="M2559" s="3"/>
    </row>
    <row r="2560" spans="1:13" x14ac:dyDescent="0.3">
      <c r="A2560" s="3">
        <v>101</v>
      </c>
      <c r="B2560" s="3">
        <v>101</v>
      </c>
      <c r="C2560" s="4">
        <v>1265.07</v>
      </c>
      <c r="D2560" s="4">
        <v>1265.03</v>
      </c>
      <c r="E2560" s="4">
        <v>1265.1099999999999</v>
      </c>
      <c r="F2560" s="4"/>
      <c r="G2560" s="4"/>
      <c r="H2560" s="27" t="s">
        <v>4138</v>
      </c>
      <c r="I2560" s="4"/>
      <c r="J2560" s="6">
        <v>0</v>
      </c>
      <c r="K2560" s="30" t="s">
        <v>3207</v>
      </c>
      <c r="L2560" s="4"/>
      <c r="M2560" s="3"/>
    </row>
    <row r="2561" spans="1:13" x14ac:dyDescent="0.3">
      <c r="A2561" s="3">
        <v>101</v>
      </c>
      <c r="B2561" s="3">
        <v>101</v>
      </c>
      <c r="C2561" s="4">
        <v>1265.528</v>
      </c>
      <c r="D2561" s="4">
        <v>1265.1099999999999</v>
      </c>
      <c r="E2561" s="4">
        <v>1265.9449999999999</v>
      </c>
      <c r="F2561" s="4"/>
      <c r="G2561" s="4"/>
      <c r="H2561" s="28" t="s">
        <v>4139</v>
      </c>
      <c r="I2561" s="4"/>
      <c r="J2561" s="6">
        <v>0</v>
      </c>
      <c r="K2561" s="29" t="s">
        <v>3207</v>
      </c>
      <c r="L2561" s="4"/>
      <c r="M2561" s="3"/>
    </row>
    <row r="2562" spans="1:13" x14ac:dyDescent="0.3">
      <c r="A2562" s="3">
        <v>101</v>
      </c>
      <c r="B2562" s="3">
        <v>101</v>
      </c>
      <c r="C2562" s="4">
        <v>1265.98</v>
      </c>
      <c r="D2562" s="4">
        <v>1265.9449999999999</v>
      </c>
      <c r="E2562" s="4">
        <v>1266.0150000000001</v>
      </c>
      <c r="F2562" s="4"/>
      <c r="G2562" s="4"/>
      <c r="H2562" s="27" t="s">
        <v>4140</v>
      </c>
      <c r="I2562" s="4"/>
      <c r="J2562" s="6">
        <v>0</v>
      </c>
      <c r="K2562" s="30" t="s">
        <v>3207</v>
      </c>
      <c r="L2562" s="4"/>
      <c r="M2562" s="3"/>
    </row>
    <row r="2563" spans="1:13" x14ac:dyDescent="0.3">
      <c r="A2563" s="3">
        <v>101</v>
      </c>
      <c r="B2563" s="3">
        <v>101</v>
      </c>
      <c r="C2563" s="4">
        <v>1266.249</v>
      </c>
      <c r="D2563" s="4">
        <v>1266.0150000000001</v>
      </c>
      <c r="E2563" s="4">
        <v>1266.4829999999999</v>
      </c>
      <c r="F2563" s="4"/>
      <c r="G2563" s="4"/>
      <c r="H2563" s="28" t="s">
        <v>4141</v>
      </c>
      <c r="I2563" s="4"/>
      <c r="J2563" s="6">
        <v>0</v>
      </c>
      <c r="K2563" s="29" t="s">
        <v>3207</v>
      </c>
      <c r="L2563" s="4"/>
      <c r="M2563" s="3"/>
    </row>
    <row r="2564" spans="1:13" x14ac:dyDescent="0.3">
      <c r="A2564" s="3">
        <v>101</v>
      </c>
      <c r="B2564" s="3">
        <v>101</v>
      </c>
      <c r="C2564" s="4">
        <v>1266.5540000000001</v>
      </c>
      <c r="D2564" s="4">
        <v>1266.4829999999999</v>
      </c>
      <c r="E2564" s="4">
        <v>1266.625</v>
      </c>
      <c r="F2564" s="4"/>
      <c r="G2564" s="4"/>
      <c r="H2564" s="27" t="s">
        <v>4142</v>
      </c>
      <c r="I2564" s="4"/>
      <c r="J2564" s="6">
        <v>0</v>
      </c>
      <c r="K2564" s="30" t="s">
        <v>3207</v>
      </c>
      <c r="L2564" s="4"/>
      <c r="M2564" s="3"/>
    </row>
    <row r="2565" spans="1:13" x14ac:dyDescent="0.3">
      <c r="A2565" s="3">
        <v>101</v>
      </c>
      <c r="B2565" s="3">
        <v>101</v>
      </c>
      <c r="C2565" s="4">
        <v>1266.8800000000001</v>
      </c>
      <c r="D2565" s="4">
        <v>1266.625</v>
      </c>
      <c r="E2565" s="4">
        <v>1267.135</v>
      </c>
      <c r="F2565" s="4"/>
      <c r="G2565" s="4"/>
      <c r="H2565" s="28" t="s">
        <v>4143</v>
      </c>
      <c r="I2565" s="4"/>
      <c r="J2565" s="6">
        <v>0</v>
      </c>
      <c r="K2565" s="29" t="s">
        <v>3207</v>
      </c>
      <c r="L2565" s="4"/>
      <c r="M2565" s="3"/>
    </row>
    <row r="2566" spans="1:13" x14ac:dyDescent="0.3">
      <c r="A2566" s="3">
        <v>101</v>
      </c>
      <c r="B2566" s="3">
        <v>101</v>
      </c>
      <c r="C2566" s="4">
        <v>1267.213</v>
      </c>
      <c r="D2566" s="4">
        <v>1267.135</v>
      </c>
      <c r="E2566" s="4">
        <v>1267.29</v>
      </c>
      <c r="F2566" s="4"/>
      <c r="G2566" s="4"/>
      <c r="H2566" s="27" t="s">
        <v>4144</v>
      </c>
      <c r="I2566" s="4"/>
      <c r="J2566" s="6">
        <v>0</v>
      </c>
      <c r="K2566" s="30" t="s">
        <v>3207</v>
      </c>
      <c r="L2566" s="4"/>
      <c r="M2566" s="3"/>
    </row>
    <row r="2567" spans="1:13" x14ac:dyDescent="0.3">
      <c r="A2567" s="3">
        <v>101</v>
      </c>
      <c r="B2567" s="3">
        <v>101</v>
      </c>
      <c r="C2567" s="4">
        <v>1267.5050000000001</v>
      </c>
      <c r="D2567" s="4">
        <v>1267.29</v>
      </c>
      <c r="E2567" s="4">
        <v>1267.72</v>
      </c>
      <c r="F2567" s="4"/>
      <c r="G2567" s="4"/>
      <c r="H2567" s="28" t="s">
        <v>4145</v>
      </c>
      <c r="I2567" s="4"/>
      <c r="J2567" s="6">
        <v>0</v>
      </c>
      <c r="K2567" s="29" t="s">
        <v>3207</v>
      </c>
      <c r="L2567" s="4"/>
      <c r="M2567" s="3"/>
    </row>
    <row r="2568" spans="1:13" x14ac:dyDescent="0.3">
      <c r="A2568" s="3">
        <v>101</v>
      </c>
      <c r="B2568" s="3">
        <v>101</v>
      </c>
      <c r="C2568" s="4">
        <v>1267.8599999999999</v>
      </c>
      <c r="D2568" s="4">
        <v>1267.72</v>
      </c>
      <c r="E2568" s="4">
        <v>1268</v>
      </c>
      <c r="F2568" s="4"/>
      <c r="G2568" s="4"/>
      <c r="H2568" s="27" t="s">
        <v>4146</v>
      </c>
      <c r="I2568" s="4"/>
      <c r="J2568" s="6">
        <v>0</v>
      </c>
      <c r="K2568" s="30" t="s">
        <v>3207</v>
      </c>
      <c r="L2568" s="4"/>
      <c r="M2568" s="3"/>
    </row>
    <row r="2569" spans="1:13" x14ac:dyDescent="0.3">
      <c r="A2569" s="3">
        <v>101</v>
      </c>
      <c r="B2569" s="3">
        <v>101</v>
      </c>
      <c r="C2569" s="4">
        <v>1268.3030000000001</v>
      </c>
      <c r="D2569" s="4">
        <v>1268</v>
      </c>
      <c r="E2569" s="4">
        <v>1268.605</v>
      </c>
      <c r="F2569" s="4"/>
      <c r="G2569" s="4"/>
      <c r="H2569" s="28" t="s">
        <v>4147</v>
      </c>
      <c r="I2569" s="4"/>
      <c r="J2569" s="6">
        <v>0</v>
      </c>
      <c r="K2569" s="29" t="s">
        <v>3207</v>
      </c>
      <c r="L2569" s="4"/>
      <c r="M2569" s="3"/>
    </row>
    <row r="2570" spans="1:13" x14ac:dyDescent="0.3">
      <c r="A2570" s="3">
        <v>101</v>
      </c>
      <c r="B2570" s="3">
        <v>101</v>
      </c>
      <c r="C2570" s="4">
        <v>1268.6590000000001</v>
      </c>
      <c r="D2570" s="4">
        <v>1268.605</v>
      </c>
      <c r="E2570" s="4">
        <v>1268.713</v>
      </c>
      <c r="F2570" s="4"/>
      <c r="G2570" s="4"/>
      <c r="H2570" s="27" t="s">
        <v>4148</v>
      </c>
      <c r="I2570" s="4"/>
      <c r="J2570" s="6">
        <v>0</v>
      </c>
      <c r="K2570" s="30" t="s">
        <v>3207</v>
      </c>
      <c r="L2570" s="4"/>
      <c r="M2570" s="3"/>
    </row>
    <row r="2571" spans="1:13" x14ac:dyDescent="0.3">
      <c r="A2571" s="3">
        <v>101</v>
      </c>
      <c r="B2571" s="3">
        <v>101</v>
      </c>
      <c r="C2571" s="4">
        <v>1269.172</v>
      </c>
      <c r="D2571" s="4">
        <v>1268.713</v>
      </c>
      <c r="E2571" s="4">
        <v>1269.6300000000001</v>
      </c>
      <c r="F2571" s="4"/>
      <c r="G2571" s="4"/>
      <c r="H2571" s="28" t="s">
        <v>4149</v>
      </c>
      <c r="I2571" s="4"/>
      <c r="J2571" s="6">
        <v>0</v>
      </c>
      <c r="K2571" s="29" t="s">
        <v>3207</v>
      </c>
      <c r="L2571" s="4"/>
      <c r="M2571" s="3"/>
    </row>
    <row r="2572" spans="1:13" x14ac:dyDescent="0.3">
      <c r="A2572" s="3">
        <v>101</v>
      </c>
      <c r="B2572" s="3">
        <v>101</v>
      </c>
      <c r="C2572" s="4">
        <v>1269.691</v>
      </c>
      <c r="D2572" s="4">
        <v>1269.6300000000001</v>
      </c>
      <c r="E2572" s="4">
        <v>1269.752</v>
      </c>
      <c r="F2572" s="4"/>
      <c r="G2572" s="4"/>
      <c r="H2572" s="27" t="s">
        <v>4150</v>
      </c>
      <c r="I2572" s="4"/>
      <c r="J2572" s="6">
        <v>0</v>
      </c>
      <c r="K2572" s="30" t="s">
        <v>3207</v>
      </c>
      <c r="L2572" s="4"/>
      <c r="M2572" s="3"/>
    </row>
    <row r="2573" spans="1:13" x14ac:dyDescent="0.3">
      <c r="A2573" s="3">
        <v>101</v>
      </c>
      <c r="B2573" s="3">
        <v>101</v>
      </c>
      <c r="C2573" s="4">
        <v>1270.173</v>
      </c>
      <c r="D2573" s="4">
        <v>1269.752</v>
      </c>
      <c r="E2573" s="4">
        <v>1270.5930000000001</v>
      </c>
      <c r="F2573" s="4"/>
      <c r="G2573" s="4"/>
      <c r="H2573" s="28" t="s">
        <v>4151</v>
      </c>
      <c r="I2573" s="4"/>
      <c r="J2573" s="6">
        <v>0</v>
      </c>
      <c r="K2573" s="29" t="s">
        <v>3207</v>
      </c>
      <c r="L2573" s="4"/>
      <c r="M2573" s="3"/>
    </row>
    <row r="2574" spans="1:13" x14ac:dyDescent="0.3">
      <c r="A2574" s="3">
        <v>101</v>
      </c>
      <c r="B2574" s="3">
        <v>101</v>
      </c>
      <c r="C2574" s="4">
        <v>1270.797</v>
      </c>
      <c r="D2574" s="4">
        <v>1270.5930000000001</v>
      </c>
      <c r="E2574" s="4">
        <v>1271</v>
      </c>
      <c r="F2574" s="4"/>
      <c r="G2574" s="4"/>
      <c r="H2574" s="27" t="s">
        <v>4152</v>
      </c>
      <c r="I2574" s="4"/>
      <c r="J2574" s="6">
        <v>0</v>
      </c>
      <c r="K2574" s="30" t="s">
        <v>3207</v>
      </c>
      <c r="L2574" s="4"/>
      <c r="M2574" s="3"/>
    </row>
    <row r="2575" spans="1:13" x14ac:dyDescent="0.3">
      <c r="A2575" s="3">
        <v>101</v>
      </c>
      <c r="B2575" s="3">
        <v>101</v>
      </c>
      <c r="C2575" s="4">
        <v>1271.3309999999999</v>
      </c>
      <c r="D2575" s="4">
        <v>1271</v>
      </c>
      <c r="E2575" s="4">
        <v>1271.662</v>
      </c>
      <c r="F2575" s="4"/>
      <c r="G2575" s="4"/>
      <c r="H2575" s="28" t="s">
        <v>4153</v>
      </c>
      <c r="I2575" s="4"/>
      <c r="J2575" s="6">
        <v>0</v>
      </c>
      <c r="K2575" s="29" t="s">
        <v>3207</v>
      </c>
      <c r="L2575" s="4"/>
      <c r="M2575" s="3"/>
    </row>
    <row r="2576" spans="1:13" x14ac:dyDescent="0.3">
      <c r="A2576" s="3">
        <v>101</v>
      </c>
      <c r="B2576" s="3">
        <v>101</v>
      </c>
      <c r="C2576" s="4">
        <v>1271.9179999999999</v>
      </c>
      <c r="D2576" s="4">
        <v>1271.662</v>
      </c>
      <c r="E2576" s="4">
        <v>1272.173</v>
      </c>
      <c r="F2576" s="4"/>
      <c r="G2576" s="4"/>
      <c r="H2576" s="27" t="s">
        <v>4154</v>
      </c>
      <c r="I2576" s="4"/>
      <c r="J2576" s="6">
        <v>0</v>
      </c>
      <c r="K2576" s="30" t="s">
        <v>3207</v>
      </c>
      <c r="L2576" s="4"/>
      <c r="M2576" s="3"/>
    </row>
    <row r="2577" spans="1:13" x14ac:dyDescent="0.3">
      <c r="A2577" s="3">
        <v>101</v>
      </c>
      <c r="B2577" s="3">
        <v>101</v>
      </c>
      <c r="C2577" s="4">
        <v>1272.443</v>
      </c>
      <c r="D2577" s="4">
        <v>1272.173</v>
      </c>
      <c r="E2577" s="4">
        <v>1272.712</v>
      </c>
      <c r="F2577" s="4"/>
      <c r="G2577" s="4"/>
      <c r="H2577" s="28" t="s">
        <v>4155</v>
      </c>
      <c r="I2577" s="4"/>
      <c r="J2577" s="6">
        <v>0</v>
      </c>
      <c r="K2577" s="29" t="s">
        <v>3207</v>
      </c>
      <c r="L2577" s="4"/>
      <c r="M2577" s="3"/>
    </row>
    <row r="2578" spans="1:13" x14ac:dyDescent="0.3">
      <c r="A2578" s="3">
        <v>101</v>
      </c>
      <c r="B2578" s="3">
        <v>101</v>
      </c>
      <c r="C2578" s="4">
        <v>1272.749</v>
      </c>
      <c r="D2578" s="4">
        <v>1272.712</v>
      </c>
      <c r="E2578" s="4">
        <v>1272.7850000000001</v>
      </c>
      <c r="F2578" s="4"/>
      <c r="G2578" s="4"/>
      <c r="H2578" s="27" t="s">
        <v>4156</v>
      </c>
      <c r="I2578" s="4"/>
      <c r="J2578" s="6">
        <v>0</v>
      </c>
      <c r="K2578" s="30" t="s">
        <v>3207</v>
      </c>
      <c r="L2578" s="4"/>
      <c r="M2578" s="3"/>
    </row>
    <row r="2579" spans="1:13" x14ac:dyDescent="0.3">
      <c r="A2579" s="3">
        <v>101</v>
      </c>
      <c r="B2579" s="3">
        <v>101</v>
      </c>
      <c r="C2579" s="4">
        <v>1272.913</v>
      </c>
      <c r="D2579" s="4">
        <v>1272.7850000000001</v>
      </c>
      <c r="E2579" s="4">
        <v>1273.04</v>
      </c>
      <c r="F2579" s="4"/>
      <c r="G2579" s="4"/>
      <c r="H2579" s="28" t="s">
        <v>4157</v>
      </c>
      <c r="I2579" s="4"/>
      <c r="J2579" s="6">
        <v>0</v>
      </c>
      <c r="K2579" s="29" t="s">
        <v>3207</v>
      </c>
      <c r="L2579" s="4"/>
      <c r="M2579" s="3"/>
    </row>
    <row r="2580" spans="1:13" x14ac:dyDescent="0.3">
      <c r="A2580" s="3">
        <v>101</v>
      </c>
      <c r="B2580" s="3">
        <v>101</v>
      </c>
      <c r="C2580" s="4">
        <v>1273.385</v>
      </c>
      <c r="D2580" s="4">
        <v>1273.04</v>
      </c>
      <c r="E2580" s="4">
        <v>1273.73</v>
      </c>
      <c r="F2580" s="4"/>
      <c r="G2580" s="4"/>
      <c r="H2580" s="27" t="s">
        <v>4158</v>
      </c>
      <c r="I2580" s="4"/>
      <c r="J2580" s="6">
        <v>0</v>
      </c>
      <c r="K2580" s="30" t="s">
        <v>3207</v>
      </c>
      <c r="L2580" s="4"/>
      <c r="M2580" s="3"/>
    </row>
    <row r="2581" spans="1:13" x14ac:dyDescent="0.3">
      <c r="A2581" s="3">
        <v>101</v>
      </c>
      <c r="B2581" s="3">
        <v>101</v>
      </c>
      <c r="C2581" s="4">
        <v>1274.0650000000001</v>
      </c>
      <c r="D2581" s="4">
        <v>1273.73</v>
      </c>
      <c r="E2581" s="4">
        <v>1274.4000000000001</v>
      </c>
      <c r="F2581" s="4"/>
      <c r="G2581" s="4"/>
      <c r="H2581" s="28" t="s">
        <v>4159</v>
      </c>
      <c r="I2581" s="4"/>
      <c r="J2581" s="6">
        <v>0</v>
      </c>
      <c r="K2581" s="29" t="s">
        <v>3207</v>
      </c>
      <c r="L2581" s="4"/>
      <c r="M2581" s="3"/>
    </row>
    <row r="2582" spans="1:13" x14ac:dyDescent="0.3">
      <c r="A2582" s="3">
        <v>101</v>
      </c>
      <c r="B2582" s="3">
        <v>101</v>
      </c>
      <c r="C2582" s="4">
        <v>1274.4349999999999</v>
      </c>
      <c r="D2582" s="4">
        <v>1274.4000000000001</v>
      </c>
      <c r="E2582" s="4">
        <v>1274.47</v>
      </c>
      <c r="F2582" s="4"/>
      <c r="G2582" s="4"/>
      <c r="H2582" s="27" t="s">
        <v>4160</v>
      </c>
      <c r="I2582" s="4"/>
      <c r="J2582" s="6">
        <v>0</v>
      </c>
      <c r="K2582" s="30" t="s">
        <v>3207</v>
      </c>
      <c r="L2582" s="4"/>
      <c r="M2582" s="3"/>
    </row>
    <row r="2583" spans="1:13" x14ac:dyDescent="0.3">
      <c r="A2583" s="3">
        <v>101</v>
      </c>
      <c r="B2583" s="3">
        <v>101</v>
      </c>
      <c r="C2583" s="4">
        <v>1274.7529999999999</v>
      </c>
      <c r="D2583" s="4">
        <v>1274.47</v>
      </c>
      <c r="E2583" s="4">
        <v>1275.0350000000001</v>
      </c>
      <c r="F2583" s="4"/>
      <c r="G2583" s="4"/>
      <c r="H2583" s="28" t="s">
        <v>4161</v>
      </c>
      <c r="I2583" s="4"/>
      <c r="J2583" s="6">
        <v>0</v>
      </c>
      <c r="K2583" s="29" t="s">
        <v>3207</v>
      </c>
      <c r="L2583" s="4"/>
      <c r="M2583" s="3"/>
    </row>
    <row r="2584" spans="1:13" x14ac:dyDescent="0.3">
      <c r="A2584" s="3">
        <v>101</v>
      </c>
      <c r="B2584" s="3">
        <v>101</v>
      </c>
      <c r="C2584" s="4">
        <v>1275.423</v>
      </c>
      <c r="D2584" s="4">
        <v>1275.0350000000001</v>
      </c>
      <c r="E2584" s="4">
        <v>1275.81</v>
      </c>
      <c r="F2584" s="4"/>
      <c r="G2584" s="4"/>
      <c r="H2584" s="27" t="s">
        <v>4162</v>
      </c>
      <c r="I2584" s="4"/>
      <c r="J2584" s="6">
        <v>0</v>
      </c>
      <c r="K2584" s="30" t="s">
        <v>3207</v>
      </c>
      <c r="L2584" s="4"/>
      <c r="M2584" s="3"/>
    </row>
    <row r="2585" spans="1:13" x14ac:dyDescent="0.3">
      <c r="A2585" s="3">
        <v>101</v>
      </c>
      <c r="B2585" s="3">
        <v>101</v>
      </c>
      <c r="C2585" s="4">
        <v>1275.998</v>
      </c>
      <c r="D2585" s="4">
        <v>1275.81</v>
      </c>
      <c r="E2585" s="4">
        <v>1276.1849999999999</v>
      </c>
      <c r="F2585" s="4"/>
      <c r="G2585" s="4"/>
      <c r="H2585" s="28" t="s">
        <v>4163</v>
      </c>
      <c r="I2585" s="4"/>
      <c r="J2585" s="6">
        <v>0</v>
      </c>
      <c r="K2585" s="29" t="s">
        <v>3207</v>
      </c>
      <c r="L2585" s="4"/>
      <c r="M2585" s="3"/>
    </row>
    <row r="2586" spans="1:13" x14ac:dyDescent="0.3">
      <c r="A2586" s="3">
        <v>101</v>
      </c>
      <c r="B2586" s="3">
        <v>101</v>
      </c>
      <c r="C2586" s="4">
        <v>1276.248</v>
      </c>
      <c r="D2586" s="4">
        <v>1276.1849999999999</v>
      </c>
      <c r="E2586" s="4">
        <v>1276.31</v>
      </c>
      <c r="F2586" s="4"/>
      <c r="G2586" s="4"/>
      <c r="H2586" s="27" t="s">
        <v>4164</v>
      </c>
      <c r="I2586" s="4"/>
      <c r="J2586" s="6">
        <v>0</v>
      </c>
      <c r="K2586" s="30" t="s">
        <v>3207</v>
      </c>
      <c r="L2586" s="4"/>
      <c r="M2586" s="3"/>
    </row>
    <row r="2587" spans="1:13" x14ac:dyDescent="0.3">
      <c r="A2587" s="3">
        <v>101</v>
      </c>
      <c r="B2587" s="3">
        <v>101</v>
      </c>
      <c r="C2587" s="4">
        <v>1276.5419999999999</v>
      </c>
      <c r="D2587" s="4">
        <v>1276.31</v>
      </c>
      <c r="E2587" s="4">
        <v>1276.7729999999999</v>
      </c>
      <c r="F2587" s="4"/>
      <c r="G2587" s="4"/>
      <c r="H2587" s="28" t="s">
        <v>4165</v>
      </c>
      <c r="I2587" s="4"/>
      <c r="J2587" s="6">
        <v>0</v>
      </c>
      <c r="K2587" s="29" t="s">
        <v>3207</v>
      </c>
      <c r="L2587" s="4"/>
      <c r="M2587" s="3"/>
    </row>
    <row r="2588" spans="1:13" x14ac:dyDescent="0.3">
      <c r="A2588" s="3">
        <v>101</v>
      </c>
      <c r="B2588" s="3">
        <v>101</v>
      </c>
      <c r="C2588" s="4">
        <v>1277.4490000000001</v>
      </c>
      <c r="D2588" s="4">
        <v>1276.7729999999999</v>
      </c>
      <c r="E2588" s="4">
        <v>1278.125</v>
      </c>
      <c r="F2588" s="4"/>
      <c r="G2588" s="4"/>
      <c r="H2588" s="27" t="s">
        <v>4166</v>
      </c>
      <c r="I2588" s="4"/>
      <c r="J2588" s="6">
        <v>0</v>
      </c>
      <c r="K2588" s="30" t="s">
        <v>3207</v>
      </c>
      <c r="L2588" s="4"/>
      <c r="M2588" s="3"/>
    </row>
    <row r="2589" spans="1:13" x14ac:dyDescent="0.3">
      <c r="A2589" s="3">
        <v>101</v>
      </c>
      <c r="B2589" s="3">
        <v>101</v>
      </c>
      <c r="C2589" s="4">
        <v>1278.588</v>
      </c>
      <c r="D2589" s="4">
        <v>1278.125</v>
      </c>
      <c r="E2589" s="4">
        <v>1279.05</v>
      </c>
      <c r="F2589" s="4"/>
      <c r="G2589" s="4"/>
      <c r="H2589" s="28" t="s">
        <v>4167</v>
      </c>
      <c r="I2589" s="4"/>
      <c r="J2589" s="6">
        <v>0</v>
      </c>
      <c r="K2589" s="29" t="s">
        <v>3207</v>
      </c>
      <c r="L2589" s="4"/>
      <c r="M2589" s="3"/>
    </row>
    <row r="2590" spans="1:13" x14ac:dyDescent="0.3">
      <c r="A2590" s="3">
        <v>101</v>
      </c>
      <c r="B2590" s="3">
        <v>101</v>
      </c>
      <c r="C2590" s="4">
        <v>1279.46</v>
      </c>
      <c r="D2590" s="4">
        <v>1279.05</v>
      </c>
      <c r="E2590" s="4">
        <v>1279.8699999999999</v>
      </c>
      <c r="F2590" s="4"/>
      <c r="G2590" s="4"/>
      <c r="H2590" s="27" t="s">
        <v>4168</v>
      </c>
      <c r="I2590" s="4"/>
      <c r="J2590" s="6">
        <v>0</v>
      </c>
      <c r="K2590" s="30" t="s">
        <v>3207</v>
      </c>
      <c r="L2590" s="4"/>
      <c r="M2590" s="3"/>
    </row>
    <row r="2591" spans="1:13" x14ac:dyDescent="0.3">
      <c r="A2591" s="3">
        <v>101</v>
      </c>
      <c r="B2591" s="3">
        <v>101</v>
      </c>
      <c r="C2591" s="4">
        <v>1280.17</v>
      </c>
      <c r="D2591" s="4">
        <v>1279.8699999999999</v>
      </c>
      <c r="E2591" s="4">
        <v>1280.4690000000001</v>
      </c>
      <c r="F2591" s="4"/>
      <c r="G2591" s="4"/>
      <c r="H2591" s="28" t="s">
        <v>4169</v>
      </c>
      <c r="I2591" s="4"/>
      <c r="J2591" s="6">
        <v>0</v>
      </c>
      <c r="K2591" s="29" t="s">
        <v>3207</v>
      </c>
      <c r="L2591" s="4"/>
      <c r="M2591" s="3"/>
    </row>
    <row r="2592" spans="1:13" x14ac:dyDescent="0.3">
      <c r="A2592" s="3">
        <v>101</v>
      </c>
      <c r="B2592" s="3">
        <v>101</v>
      </c>
      <c r="C2592" s="4">
        <v>1280.5</v>
      </c>
      <c r="D2592" s="4">
        <v>1280.4690000000001</v>
      </c>
      <c r="E2592" s="4">
        <v>1280.53</v>
      </c>
      <c r="F2592" s="4"/>
      <c r="G2592" s="4"/>
      <c r="H2592" s="27" t="s">
        <v>4170</v>
      </c>
      <c r="I2592" s="4"/>
      <c r="J2592" s="6">
        <v>0</v>
      </c>
      <c r="K2592" s="30" t="s">
        <v>3207</v>
      </c>
      <c r="L2592" s="4"/>
      <c r="M2592" s="3"/>
    </row>
    <row r="2593" spans="1:13" x14ac:dyDescent="0.3">
      <c r="A2593" s="3">
        <v>101</v>
      </c>
      <c r="B2593" s="3">
        <v>101</v>
      </c>
      <c r="C2593" s="4">
        <v>1280.8130000000001</v>
      </c>
      <c r="D2593" s="4">
        <v>1280.53</v>
      </c>
      <c r="E2593" s="4">
        <v>1281.096</v>
      </c>
      <c r="F2593" s="4"/>
      <c r="G2593" s="4"/>
      <c r="H2593" s="28" t="s">
        <v>4171</v>
      </c>
      <c r="I2593" s="4"/>
      <c r="J2593" s="6">
        <v>0</v>
      </c>
      <c r="K2593" s="29" t="s">
        <v>3207</v>
      </c>
      <c r="L2593" s="4"/>
      <c r="M2593" s="3"/>
    </row>
    <row r="2594" spans="1:13" x14ac:dyDescent="0.3">
      <c r="A2594" s="3">
        <v>101</v>
      </c>
      <c r="B2594" s="3">
        <v>101</v>
      </c>
      <c r="C2594" s="4">
        <v>1281.145</v>
      </c>
      <c r="D2594" s="4">
        <v>1281.096</v>
      </c>
      <c r="E2594" s="4">
        <v>1281.193</v>
      </c>
      <c r="F2594" s="4"/>
      <c r="G2594" s="4"/>
      <c r="H2594" s="27" t="s">
        <v>4172</v>
      </c>
      <c r="I2594" s="4"/>
      <c r="J2594" s="6">
        <v>0</v>
      </c>
      <c r="K2594" s="30" t="s">
        <v>3207</v>
      </c>
      <c r="L2594" s="4"/>
      <c r="M2594" s="3"/>
    </row>
    <row r="2595" spans="1:13" x14ac:dyDescent="0.3">
      <c r="A2595" s="3">
        <v>101</v>
      </c>
      <c r="B2595" s="3">
        <v>101</v>
      </c>
      <c r="C2595" s="4">
        <v>1281.462</v>
      </c>
      <c r="D2595" s="4">
        <v>1281.193</v>
      </c>
      <c r="E2595" s="4">
        <v>1281.73</v>
      </c>
      <c r="F2595" s="4"/>
      <c r="G2595" s="4"/>
      <c r="H2595" s="28" t="s">
        <v>4173</v>
      </c>
      <c r="I2595" s="4"/>
      <c r="J2595" s="6">
        <v>0</v>
      </c>
      <c r="K2595" s="29" t="s">
        <v>3207</v>
      </c>
      <c r="L2595" s="4"/>
      <c r="M2595" s="3"/>
    </row>
    <row r="2596" spans="1:13" x14ac:dyDescent="0.3">
      <c r="A2596" s="3">
        <v>101</v>
      </c>
      <c r="B2596" s="3">
        <v>101</v>
      </c>
      <c r="C2596" s="4">
        <v>1281.998</v>
      </c>
      <c r="D2596" s="4">
        <v>1281.73</v>
      </c>
      <c r="E2596" s="4">
        <v>1282.2650000000001</v>
      </c>
      <c r="F2596" s="4"/>
      <c r="G2596" s="4"/>
      <c r="H2596" s="27" t="s">
        <v>4174</v>
      </c>
      <c r="I2596" s="4"/>
      <c r="J2596" s="6">
        <v>0</v>
      </c>
      <c r="K2596" s="30" t="s">
        <v>3207</v>
      </c>
      <c r="L2596" s="4"/>
      <c r="M2596" s="3"/>
    </row>
    <row r="2597" spans="1:13" x14ac:dyDescent="0.3">
      <c r="A2597" s="3">
        <v>101</v>
      </c>
      <c r="B2597" s="3">
        <v>101</v>
      </c>
      <c r="C2597" s="4">
        <v>1282.424</v>
      </c>
      <c r="D2597" s="4">
        <v>1282.2650000000001</v>
      </c>
      <c r="E2597" s="4">
        <v>1282.5830000000001</v>
      </c>
      <c r="F2597" s="4"/>
      <c r="G2597" s="4"/>
      <c r="H2597" s="28" t="s">
        <v>4175</v>
      </c>
      <c r="I2597" s="4"/>
      <c r="J2597" s="6">
        <v>0</v>
      </c>
      <c r="K2597" s="29" t="s">
        <v>3207</v>
      </c>
      <c r="L2597" s="4"/>
      <c r="M2597" s="3"/>
    </row>
    <row r="2598" spans="1:13" x14ac:dyDescent="0.3">
      <c r="A2598" s="3">
        <v>101</v>
      </c>
      <c r="B2598" s="3">
        <v>101</v>
      </c>
      <c r="C2598" s="4">
        <v>1282.817</v>
      </c>
      <c r="D2598" s="4">
        <v>1282.5830000000001</v>
      </c>
      <c r="E2598" s="4">
        <v>1283.05</v>
      </c>
      <c r="F2598" s="4"/>
      <c r="G2598" s="4"/>
      <c r="H2598" s="27" t="s">
        <v>4176</v>
      </c>
      <c r="I2598" s="4"/>
      <c r="J2598" s="6">
        <v>0</v>
      </c>
      <c r="K2598" s="30" t="s">
        <v>3207</v>
      </c>
      <c r="L2598" s="4"/>
      <c r="M2598" s="3"/>
    </row>
    <row r="2599" spans="1:13" x14ac:dyDescent="0.3">
      <c r="A2599" s="3">
        <v>101</v>
      </c>
      <c r="B2599" s="3">
        <v>101</v>
      </c>
      <c r="C2599" s="4">
        <v>1283.325</v>
      </c>
      <c r="D2599" s="4">
        <v>1283.05</v>
      </c>
      <c r="E2599" s="4">
        <v>1283.5999999999999</v>
      </c>
      <c r="F2599" s="4"/>
      <c r="G2599" s="4"/>
      <c r="H2599" s="28" t="s">
        <v>4177</v>
      </c>
      <c r="I2599" s="4"/>
      <c r="J2599" s="6">
        <v>0</v>
      </c>
      <c r="K2599" s="29" t="s">
        <v>3207</v>
      </c>
      <c r="L2599" s="4"/>
      <c r="M2599" s="3"/>
    </row>
    <row r="2600" spans="1:13" x14ac:dyDescent="0.3">
      <c r="A2600" s="3">
        <v>101</v>
      </c>
      <c r="B2600" s="3">
        <v>101</v>
      </c>
      <c r="C2600" s="4">
        <v>1283.6780000000001</v>
      </c>
      <c r="D2600" s="4">
        <v>1283.5999999999999</v>
      </c>
      <c r="E2600" s="4">
        <v>1283.7550000000001</v>
      </c>
      <c r="F2600" s="4"/>
      <c r="G2600" s="4"/>
      <c r="H2600" s="27" t="s">
        <v>4178</v>
      </c>
      <c r="I2600" s="4"/>
      <c r="J2600" s="6">
        <v>0</v>
      </c>
      <c r="K2600" s="30" t="s">
        <v>3207</v>
      </c>
      <c r="L2600" s="4"/>
      <c r="M2600" s="3"/>
    </row>
    <row r="2601" spans="1:13" x14ac:dyDescent="0.3">
      <c r="A2601" s="3">
        <v>101</v>
      </c>
      <c r="B2601" s="3">
        <v>101</v>
      </c>
      <c r="C2601" s="4">
        <v>1283.9829999999999</v>
      </c>
      <c r="D2601" s="4">
        <v>1283.7550000000001</v>
      </c>
      <c r="E2601" s="4">
        <v>1284.21</v>
      </c>
      <c r="F2601" s="4"/>
      <c r="G2601" s="4"/>
      <c r="H2601" s="28" t="s">
        <v>4179</v>
      </c>
      <c r="I2601" s="4"/>
      <c r="J2601" s="6">
        <v>0</v>
      </c>
      <c r="K2601" s="29" t="s">
        <v>3207</v>
      </c>
      <c r="L2601" s="4"/>
      <c r="M2601" s="3"/>
    </row>
    <row r="2602" spans="1:13" x14ac:dyDescent="0.3">
      <c r="A2602" s="3">
        <v>101</v>
      </c>
      <c r="B2602" s="3">
        <v>101</v>
      </c>
      <c r="C2602" s="4">
        <v>1284.26</v>
      </c>
      <c r="D2602" s="4">
        <v>1284.21</v>
      </c>
      <c r="E2602" s="4">
        <v>1284.31</v>
      </c>
      <c r="F2602" s="4"/>
      <c r="G2602" s="4"/>
      <c r="H2602" s="27" t="s">
        <v>4180</v>
      </c>
      <c r="I2602" s="4"/>
      <c r="J2602" s="6">
        <v>0</v>
      </c>
      <c r="K2602" s="30" t="s">
        <v>3207</v>
      </c>
      <c r="L2602" s="4"/>
      <c r="M2602" s="3"/>
    </row>
    <row r="2603" spans="1:13" x14ac:dyDescent="0.3">
      <c r="A2603" s="3">
        <v>101</v>
      </c>
      <c r="B2603" s="3">
        <v>101</v>
      </c>
      <c r="C2603" s="4">
        <v>1284.5450000000001</v>
      </c>
      <c r="D2603" s="4">
        <v>1284.31</v>
      </c>
      <c r="E2603" s="4">
        <v>1284.78</v>
      </c>
      <c r="F2603" s="4"/>
      <c r="G2603" s="4"/>
      <c r="H2603" s="28" t="s">
        <v>4181</v>
      </c>
      <c r="I2603" s="4"/>
      <c r="J2603" s="6">
        <v>0</v>
      </c>
      <c r="K2603" s="29" t="s">
        <v>3207</v>
      </c>
      <c r="L2603" s="4"/>
      <c r="M2603" s="3"/>
    </row>
    <row r="2604" spans="1:13" x14ac:dyDescent="0.3">
      <c r="A2604" s="3">
        <v>101</v>
      </c>
      <c r="B2604" s="3">
        <v>101</v>
      </c>
      <c r="C2604" s="4">
        <v>1284.8879999999999</v>
      </c>
      <c r="D2604" s="4">
        <v>1284.78</v>
      </c>
      <c r="E2604" s="4">
        <v>1284.9949999999999</v>
      </c>
      <c r="F2604" s="4"/>
      <c r="G2604" s="4"/>
      <c r="H2604" s="27" t="s">
        <v>4182</v>
      </c>
      <c r="I2604" s="4"/>
      <c r="J2604" s="6">
        <v>0</v>
      </c>
      <c r="K2604" s="30" t="s">
        <v>3207</v>
      </c>
      <c r="L2604" s="4"/>
      <c r="M2604" s="3"/>
    </row>
    <row r="2605" spans="1:13" x14ac:dyDescent="0.3">
      <c r="A2605" s="3">
        <v>101</v>
      </c>
      <c r="B2605" s="3">
        <v>101</v>
      </c>
      <c r="C2605" s="4">
        <v>1285.1479999999999</v>
      </c>
      <c r="D2605" s="4">
        <v>1284.9949999999999</v>
      </c>
      <c r="E2605" s="4">
        <v>1285.3</v>
      </c>
      <c r="F2605" s="4"/>
      <c r="G2605" s="4"/>
      <c r="H2605" s="28" t="s">
        <v>4183</v>
      </c>
      <c r="I2605" s="4"/>
      <c r="J2605" s="6">
        <v>0</v>
      </c>
      <c r="K2605" s="29" t="s">
        <v>3207</v>
      </c>
      <c r="L2605" s="4"/>
      <c r="M2605" s="3"/>
    </row>
    <row r="2606" spans="1:13" x14ac:dyDescent="0.3">
      <c r="A2606" s="3">
        <v>101</v>
      </c>
      <c r="B2606" s="3">
        <v>101</v>
      </c>
      <c r="C2606" s="4">
        <v>1285.575</v>
      </c>
      <c r="D2606" s="4">
        <v>1285.3</v>
      </c>
      <c r="E2606" s="4">
        <v>1285.8499999999999</v>
      </c>
      <c r="F2606" s="4"/>
      <c r="G2606" s="4"/>
      <c r="H2606" s="27" t="s">
        <v>4184</v>
      </c>
      <c r="I2606" s="4"/>
      <c r="J2606" s="6">
        <v>0</v>
      </c>
      <c r="K2606" s="30" t="s">
        <v>3207</v>
      </c>
      <c r="L2606" s="4"/>
      <c r="M2606" s="3"/>
    </row>
    <row r="2607" spans="1:13" x14ac:dyDescent="0.3">
      <c r="A2607" s="3">
        <v>101</v>
      </c>
      <c r="B2607" s="3">
        <v>101</v>
      </c>
      <c r="C2607" s="4">
        <v>1286.165</v>
      </c>
      <c r="D2607" s="4">
        <v>1285.8499999999999</v>
      </c>
      <c r="E2607" s="4">
        <v>1286.48</v>
      </c>
      <c r="F2607" s="4"/>
      <c r="G2607" s="4"/>
      <c r="H2607" s="28" t="s">
        <v>4185</v>
      </c>
      <c r="I2607" s="4"/>
      <c r="J2607" s="6">
        <v>0</v>
      </c>
      <c r="K2607" s="29" t="s">
        <v>3207</v>
      </c>
      <c r="L2607" s="4"/>
      <c r="M2607" s="3"/>
    </row>
    <row r="2608" spans="1:13" x14ac:dyDescent="0.3">
      <c r="A2608" s="3">
        <v>101</v>
      </c>
      <c r="B2608" s="3">
        <v>101</v>
      </c>
      <c r="C2608" s="4">
        <v>1286.4949999999999</v>
      </c>
      <c r="D2608" s="4">
        <v>1286.48</v>
      </c>
      <c r="E2608" s="4">
        <v>1286.51</v>
      </c>
      <c r="F2608" s="4"/>
      <c r="G2608" s="4"/>
      <c r="H2608" s="27" t="s">
        <v>4186</v>
      </c>
      <c r="I2608" s="4"/>
      <c r="J2608" s="6">
        <v>0</v>
      </c>
      <c r="K2608" s="30" t="s">
        <v>3207</v>
      </c>
      <c r="L2608" s="4"/>
      <c r="M2608" s="3"/>
    </row>
    <row r="2609" spans="1:13" x14ac:dyDescent="0.3">
      <c r="A2609" s="3">
        <v>101</v>
      </c>
      <c r="B2609" s="3">
        <v>101</v>
      </c>
      <c r="C2609" s="4">
        <v>1286.8030000000001</v>
      </c>
      <c r="D2609" s="4">
        <v>1286.51</v>
      </c>
      <c r="E2609" s="4">
        <v>1287.096</v>
      </c>
      <c r="F2609" s="4"/>
      <c r="G2609" s="4"/>
      <c r="H2609" s="28" t="s">
        <v>4187</v>
      </c>
      <c r="I2609" s="4"/>
      <c r="J2609" s="6">
        <v>0</v>
      </c>
      <c r="K2609" s="29" t="s">
        <v>3207</v>
      </c>
      <c r="L2609" s="4"/>
      <c r="M2609" s="3"/>
    </row>
    <row r="2610" spans="1:13" x14ac:dyDescent="0.3">
      <c r="A2610" s="3">
        <v>101</v>
      </c>
      <c r="B2610" s="3">
        <v>101</v>
      </c>
      <c r="C2610" s="4">
        <v>1287.1199999999999</v>
      </c>
      <c r="D2610" s="4">
        <v>1287.096</v>
      </c>
      <c r="E2610" s="4">
        <v>1287.143</v>
      </c>
      <c r="F2610" s="4"/>
      <c r="G2610" s="4"/>
      <c r="H2610" s="27" t="s">
        <v>4188</v>
      </c>
      <c r="I2610" s="4"/>
      <c r="J2610" s="6">
        <v>0</v>
      </c>
      <c r="K2610" s="30" t="s">
        <v>3207</v>
      </c>
      <c r="L2610" s="4"/>
      <c r="M2610" s="3"/>
    </row>
    <row r="2611" spans="1:13" x14ac:dyDescent="0.3">
      <c r="A2611" s="3">
        <v>101</v>
      </c>
      <c r="B2611" s="3">
        <v>101</v>
      </c>
      <c r="C2611" s="4">
        <v>1287.3030000000001</v>
      </c>
      <c r="D2611" s="4">
        <v>1287.143</v>
      </c>
      <c r="E2611" s="4">
        <v>1287.463</v>
      </c>
      <c r="F2611" s="4"/>
      <c r="G2611" s="4"/>
      <c r="H2611" s="28" t="s">
        <v>4189</v>
      </c>
      <c r="I2611" s="4"/>
      <c r="J2611" s="6">
        <v>0</v>
      </c>
      <c r="K2611" s="29" t="s">
        <v>3207</v>
      </c>
      <c r="L2611" s="4"/>
      <c r="M2611" s="3"/>
    </row>
    <row r="2612" spans="1:13" x14ac:dyDescent="0.3">
      <c r="A2612" s="3">
        <v>101</v>
      </c>
      <c r="B2612" s="3">
        <v>101</v>
      </c>
      <c r="C2612" s="4">
        <v>1287.567</v>
      </c>
      <c r="D2612" s="4">
        <v>1287.463</v>
      </c>
      <c r="E2612" s="4">
        <v>1287.671</v>
      </c>
      <c r="F2612" s="4"/>
      <c r="G2612" s="4"/>
      <c r="H2612" s="27" t="s">
        <v>4190</v>
      </c>
      <c r="I2612" s="4"/>
      <c r="J2612" s="6">
        <v>0</v>
      </c>
      <c r="K2612" s="30" t="s">
        <v>3207</v>
      </c>
      <c r="L2612" s="4"/>
      <c r="M2612" s="3"/>
    </row>
    <row r="2613" spans="1:13" x14ac:dyDescent="0.3">
      <c r="A2613" s="3">
        <v>101</v>
      </c>
      <c r="B2613" s="3">
        <v>101</v>
      </c>
      <c r="C2613" s="4">
        <v>1287.9269999999999</v>
      </c>
      <c r="D2613" s="4">
        <v>1287.671</v>
      </c>
      <c r="E2613" s="4">
        <v>1288.183</v>
      </c>
      <c r="F2613" s="4"/>
      <c r="G2613" s="4"/>
      <c r="H2613" s="28" t="s">
        <v>4191</v>
      </c>
      <c r="I2613" s="4"/>
      <c r="J2613" s="6">
        <v>0</v>
      </c>
      <c r="K2613" s="29" t="s">
        <v>3207</v>
      </c>
      <c r="L2613" s="4"/>
      <c r="M2613" s="3"/>
    </row>
    <row r="2614" spans="1:13" x14ac:dyDescent="0.3">
      <c r="A2614" s="3">
        <v>101</v>
      </c>
      <c r="B2614" s="3">
        <v>101</v>
      </c>
      <c r="C2614" s="4">
        <v>1288.2639999999999</v>
      </c>
      <c r="D2614" s="4">
        <v>1288.183</v>
      </c>
      <c r="E2614" s="4">
        <v>1288.3440000000001</v>
      </c>
      <c r="F2614" s="4"/>
      <c r="G2614" s="4"/>
      <c r="H2614" s="27" t="s">
        <v>4192</v>
      </c>
      <c r="I2614" s="4"/>
      <c r="J2614" s="6">
        <v>0</v>
      </c>
      <c r="K2614" s="30" t="s">
        <v>3207</v>
      </c>
      <c r="L2614" s="4"/>
      <c r="M2614" s="3"/>
    </row>
    <row r="2615" spans="1:13" x14ac:dyDescent="0.3">
      <c r="A2615" s="3">
        <v>101</v>
      </c>
      <c r="B2615" s="3">
        <v>101</v>
      </c>
      <c r="C2615" s="4">
        <v>1288.5129999999999</v>
      </c>
      <c r="D2615" s="4">
        <v>1288.3440000000001</v>
      </c>
      <c r="E2615" s="4">
        <v>1288.682</v>
      </c>
      <c r="F2615" s="4"/>
      <c r="G2615" s="4"/>
      <c r="H2615" s="28" t="s">
        <v>4193</v>
      </c>
      <c r="I2615" s="4"/>
      <c r="J2615" s="6">
        <v>0</v>
      </c>
      <c r="K2615" s="29" t="s">
        <v>3207</v>
      </c>
      <c r="L2615" s="4"/>
      <c r="M2615" s="3"/>
    </row>
    <row r="2616" spans="1:13" x14ac:dyDescent="0.3">
      <c r="A2616" s="3">
        <v>101</v>
      </c>
      <c r="B2616" s="3">
        <v>101</v>
      </c>
      <c r="C2616" s="4">
        <v>1288.7909999999999</v>
      </c>
      <c r="D2616" s="4">
        <v>1288.682</v>
      </c>
      <c r="E2616" s="4">
        <v>1288.8989999999999</v>
      </c>
      <c r="F2616" s="4"/>
      <c r="G2616" s="4"/>
      <c r="H2616" s="27" t="s">
        <v>4194</v>
      </c>
      <c r="I2616" s="4"/>
      <c r="J2616" s="6">
        <v>0</v>
      </c>
      <c r="K2616" s="30" t="s">
        <v>3207</v>
      </c>
      <c r="L2616" s="4"/>
      <c r="M2616" s="3"/>
    </row>
    <row r="2617" spans="1:13" x14ac:dyDescent="0.3">
      <c r="A2617" s="3">
        <v>101</v>
      </c>
      <c r="B2617" s="3">
        <v>101</v>
      </c>
      <c r="C2617" s="4">
        <v>1289.28</v>
      </c>
      <c r="D2617" s="4">
        <v>1288.8989999999999</v>
      </c>
      <c r="E2617" s="4">
        <v>1289.6600000000001</v>
      </c>
      <c r="F2617" s="4"/>
      <c r="G2617" s="4"/>
      <c r="H2617" s="28" t="s">
        <v>4195</v>
      </c>
      <c r="I2617" s="4"/>
      <c r="J2617" s="6">
        <v>0</v>
      </c>
      <c r="K2617" s="29" t="s">
        <v>3207</v>
      </c>
      <c r="L2617" s="4"/>
      <c r="M2617" s="3"/>
    </row>
    <row r="2618" spans="1:13" x14ac:dyDescent="0.3">
      <c r="A2618" s="3">
        <v>101</v>
      </c>
      <c r="B2618" s="3">
        <v>101</v>
      </c>
      <c r="C2618" s="4">
        <v>1289.83</v>
      </c>
      <c r="D2618" s="4">
        <v>1289.6600000000001</v>
      </c>
      <c r="E2618" s="4">
        <v>1290</v>
      </c>
      <c r="F2618" s="4"/>
      <c r="G2618" s="4"/>
      <c r="H2618" s="27" t="s">
        <v>4196</v>
      </c>
      <c r="I2618" s="4"/>
      <c r="J2618" s="6">
        <v>0</v>
      </c>
      <c r="K2618" s="30" t="s">
        <v>3207</v>
      </c>
      <c r="L2618" s="4"/>
      <c r="M2618" s="3"/>
    </row>
    <row r="2619" spans="1:13" x14ac:dyDescent="0.3">
      <c r="A2619" s="3">
        <v>101</v>
      </c>
      <c r="B2619" s="3">
        <v>101</v>
      </c>
      <c r="C2619" s="4">
        <v>1290.3679999999999</v>
      </c>
      <c r="D2619" s="4">
        <v>1290</v>
      </c>
      <c r="E2619" s="4">
        <v>1290.7349999999999</v>
      </c>
      <c r="F2619" s="4"/>
      <c r="G2619" s="4"/>
      <c r="H2619" s="28" t="s">
        <v>4197</v>
      </c>
      <c r="I2619" s="4"/>
      <c r="J2619" s="6">
        <v>0</v>
      </c>
      <c r="K2619" s="29" t="s">
        <v>3207</v>
      </c>
      <c r="L2619" s="4"/>
      <c r="M2619" s="3"/>
    </row>
    <row r="2620" spans="1:13" x14ac:dyDescent="0.3">
      <c r="A2620" s="3">
        <v>101</v>
      </c>
      <c r="B2620" s="3">
        <v>101</v>
      </c>
      <c r="C2620" s="4">
        <v>1291.3330000000001</v>
      </c>
      <c r="D2620" s="4">
        <v>1290.7349999999999</v>
      </c>
      <c r="E2620" s="4">
        <v>1291.93</v>
      </c>
      <c r="F2620" s="4"/>
      <c r="G2620" s="4"/>
      <c r="H2620" s="27" t="s">
        <v>4198</v>
      </c>
      <c r="I2620" s="4"/>
      <c r="J2620" s="6">
        <v>0</v>
      </c>
      <c r="K2620" s="30" t="s">
        <v>3207</v>
      </c>
      <c r="L2620" s="4"/>
      <c r="M2620" s="3"/>
    </row>
    <row r="2621" spans="1:13" x14ac:dyDescent="0.3">
      <c r="A2621" s="3">
        <v>101</v>
      </c>
      <c r="B2621" s="3">
        <v>101</v>
      </c>
      <c r="C2621" s="4">
        <v>1292.1210000000001</v>
      </c>
      <c r="D2621" s="4">
        <v>1291.93</v>
      </c>
      <c r="E2621" s="4">
        <v>1292.3119999999999</v>
      </c>
      <c r="F2621" s="4"/>
      <c r="G2621" s="4"/>
      <c r="H2621" s="28" t="s">
        <v>4199</v>
      </c>
      <c r="I2621" s="4"/>
      <c r="J2621" s="6">
        <v>0</v>
      </c>
      <c r="K2621" s="29" t="s">
        <v>3207</v>
      </c>
      <c r="L2621" s="4"/>
      <c r="M2621" s="3"/>
    </row>
    <row r="2622" spans="1:13" x14ac:dyDescent="0.3">
      <c r="A2622" s="3">
        <v>101</v>
      </c>
      <c r="B2622" s="3">
        <v>101</v>
      </c>
      <c r="C2622" s="4">
        <v>1292.5050000000001</v>
      </c>
      <c r="D2622" s="4">
        <v>1292.3119999999999</v>
      </c>
      <c r="E2622" s="4">
        <v>1292.6980000000001</v>
      </c>
      <c r="F2622" s="4"/>
      <c r="G2622" s="4"/>
      <c r="H2622" s="27" t="s">
        <v>4200</v>
      </c>
      <c r="I2622" s="4"/>
      <c r="J2622" s="6">
        <v>0</v>
      </c>
      <c r="K2622" s="30" t="s">
        <v>3207</v>
      </c>
      <c r="L2622" s="4"/>
      <c r="M2622" s="3"/>
    </row>
    <row r="2623" spans="1:13" x14ac:dyDescent="0.3">
      <c r="A2623" s="3">
        <v>101</v>
      </c>
      <c r="B2623" s="3">
        <v>101</v>
      </c>
      <c r="C2623" s="4">
        <v>1293.0940000000001</v>
      </c>
      <c r="D2623" s="4">
        <v>1292.6980000000001</v>
      </c>
      <c r="E2623" s="4">
        <v>1293.49</v>
      </c>
      <c r="F2623" s="4"/>
      <c r="G2623" s="4"/>
      <c r="H2623" s="28" t="s">
        <v>4201</v>
      </c>
      <c r="I2623" s="4"/>
      <c r="J2623" s="6">
        <v>0</v>
      </c>
      <c r="K2623" s="29" t="s">
        <v>3207</v>
      </c>
      <c r="L2623" s="4"/>
      <c r="M2623" s="3"/>
    </row>
    <row r="2624" spans="1:13" x14ac:dyDescent="0.3">
      <c r="A2624" s="3">
        <v>101</v>
      </c>
      <c r="B2624" s="3">
        <v>101</v>
      </c>
      <c r="C2624" s="4">
        <v>1293.6130000000001</v>
      </c>
      <c r="D2624" s="4">
        <v>1293.49</v>
      </c>
      <c r="E2624" s="4">
        <v>1293.7349999999999</v>
      </c>
      <c r="F2624" s="4"/>
      <c r="G2624" s="4"/>
      <c r="H2624" s="27" t="s">
        <v>4202</v>
      </c>
      <c r="I2624" s="4"/>
      <c r="J2624" s="6">
        <v>0</v>
      </c>
      <c r="K2624" s="30" t="s">
        <v>3207</v>
      </c>
      <c r="L2624" s="4"/>
      <c r="M2624" s="3"/>
    </row>
    <row r="2625" spans="1:13" x14ac:dyDescent="0.3">
      <c r="A2625" s="3">
        <v>101</v>
      </c>
      <c r="B2625" s="3">
        <v>101</v>
      </c>
      <c r="C2625" s="4">
        <v>1293.9649999999999</v>
      </c>
      <c r="D2625" s="4">
        <v>1293.7349999999999</v>
      </c>
      <c r="E2625" s="4">
        <v>1294.1949999999999</v>
      </c>
      <c r="F2625" s="4"/>
      <c r="G2625" s="4"/>
      <c r="H2625" s="28" t="s">
        <v>4203</v>
      </c>
      <c r="I2625" s="4"/>
      <c r="J2625" s="6">
        <v>0</v>
      </c>
      <c r="K2625" s="29" t="s">
        <v>3207</v>
      </c>
      <c r="L2625" s="4"/>
      <c r="M2625" s="3"/>
    </row>
    <row r="2626" spans="1:13" x14ac:dyDescent="0.3">
      <c r="A2626" s="3">
        <v>101</v>
      </c>
      <c r="B2626" s="3">
        <v>101</v>
      </c>
      <c r="C2626" s="4">
        <v>1294.55</v>
      </c>
      <c r="D2626" s="4">
        <v>1294.1949999999999</v>
      </c>
      <c r="E2626" s="4">
        <v>1294.904</v>
      </c>
      <c r="F2626" s="4"/>
      <c r="G2626" s="4"/>
      <c r="H2626" s="27" t="s">
        <v>4204</v>
      </c>
      <c r="I2626" s="4"/>
      <c r="J2626" s="6">
        <v>0</v>
      </c>
      <c r="K2626" s="30" t="s">
        <v>3207</v>
      </c>
      <c r="L2626" s="4"/>
      <c r="M2626" s="3"/>
    </row>
    <row r="2627" spans="1:13" x14ac:dyDescent="0.3">
      <c r="A2627" s="3">
        <v>101</v>
      </c>
      <c r="B2627" s="3">
        <v>101</v>
      </c>
      <c r="C2627" s="4">
        <v>1295.1289999999999</v>
      </c>
      <c r="D2627" s="4">
        <v>1294.904</v>
      </c>
      <c r="E2627" s="4">
        <v>1295.3530000000001</v>
      </c>
      <c r="F2627" s="4"/>
      <c r="G2627" s="4"/>
      <c r="H2627" s="28" t="s">
        <v>4205</v>
      </c>
      <c r="I2627" s="4"/>
      <c r="J2627" s="6">
        <v>0</v>
      </c>
      <c r="K2627" s="29" t="s">
        <v>3207</v>
      </c>
      <c r="L2627" s="4"/>
      <c r="M2627" s="3"/>
    </row>
    <row r="2628" spans="1:13" x14ac:dyDescent="0.3">
      <c r="A2628" s="3">
        <v>101</v>
      </c>
      <c r="B2628" s="3">
        <v>101</v>
      </c>
      <c r="C2628" s="4">
        <v>1295.4770000000001</v>
      </c>
      <c r="D2628" s="4">
        <v>1295.3530000000001</v>
      </c>
      <c r="E2628" s="4">
        <v>1295.5999999999999</v>
      </c>
      <c r="F2628" s="4"/>
      <c r="G2628" s="4"/>
      <c r="H2628" s="27" t="s">
        <v>4206</v>
      </c>
      <c r="I2628" s="4"/>
      <c r="J2628" s="6">
        <v>0</v>
      </c>
      <c r="K2628" s="30" t="s">
        <v>3207</v>
      </c>
      <c r="L2628" s="4"/>
      <c r="M2628" s="3"/>
    </row>
    <row r="2629" spans="1:13" x14ac:dyDescent="0.3">
      <c r="A2629" s="3">
        <v>101</v>
      </c>
      <c r="B2629" s="3">
        <v>101</v>
      </c>
      <c r="C2629" s="4">
        <v>1295.723</v>
      </c>
      <c r="D2629" s="4">
        <v>1295.5999999999999</v>
      </c>
      <c r="E2629" s="4">
        <v>1295.845</v>
      </c>
      <c r="F2629" s="4"/>
      <c r="G2629" s="4"/>
      <c r="H2629" s="28" t="s">
        <v>4207</v>
      </c>
      <c r="I2629" s="4"/>
      <c r="J2629" s="6">
        <v>0</v>
      </c>
      <c r="K2629" s="29" t="s">
        <v>3207</v>
      </c>
      <c r="L2629" s="4"/>
      <c r="M2629" s="3"/>
    </row>
    <row r="2630" spans="1:13" x14ac:dyDescent="0.3">
      <c r="A2630" s="3">
        <v>101</v>
      </c>
      <c r="B2630" s="3">
        <v>101</v>
      </c>
      <c r="C2630" s="4">
        <v>1295.9780000000001</v>
      </c>
      <c r="D2630" s="4">
        <v>1295.845</v>
      </c>
      <c r="E2630" s="4">
        <v>1296.1099999999999</v>
      </c>
      <c r="F2630" s="4"/>
      <c r="G2630" s="4"/>
      <c r="H2630" s="27" t="s">
        <v>4208</v>
      </c>
      <c r="I2630" s="4"/>
      <c r="J2630" s="6">
        <v>0</v>
      </c>
      <c r="K2630" s="30" t="s">
        <v>3207</v>
      </c>
      <c r="L2630" s="4"/>
      <c r="M2630" s="3"/>
    </row>
    <row r="2631" spans="1:13" x14ac:dyDescent="0.3">
      <c r="A2631" s="3">
        <v>101</v>
      </c>
      <c r="B2631" s="3">
        <v>101</v>
      </c>
      <c r="C2631" s="4">
        <v>1296.355</v>
      </c>
      <c r="D2631" s="4">
        <v>1296.1099999999999</v>
      </c>
      <c r="E2631" s="4">
        <v>1296.5999999999999</v>
      </c>
      <c r="F2631" s="4"/>
      <c r="G2631" s="4"/>
      <c r="H2631" s="28" t="s">
        <v>4209</v>
      </c>
      <c r="I2631" s="4"/>
      <c r="J2631" s="6">
        <v>0</v>
      </c>
      <c r="K2631" s="29" t="s">
        <v>3207</v>
      </c>
      <c r="L2631" s="4"/>
      <c r="M2631" s="3"/>
    </row>
    <row r="2632" spans="1:13" x14ac:dyDescent="0.3">
      <c r="A2632" s="3">
        <v>101</v>
      </c>
      <c r="B2632" s="3">
        <v>101</v>
      </c>
      <c r="C2632" s="4">
        <v>1296.67</v>
      </c>
      <c r="D2632" s="4">
        <v>1296.5999999999999</v>
      </c>
      <c r="E2632" s="4">
        <v>1296.74</v>
      </c>
      <c r="F2632" s="4"/>
      <c r="G2632" s="4"/>
      <c r="H2632" s="27" t="s">
        <v>4210</v>
      </c>
      <c r="I2632" s="4"/>
      <c r="J2632" s="6">
        <v>0</v>
      </c>
      <c r="K2632" s="30" t="s">
        <v>3207</v>
      </c>
      <c r="L2632" s="4"/>
      <c r="M2632" s="3"/>
    </row>
    <row r="2633" spans="1:13" x14ac:dyDescent="0.3">
      <c r="A2633" s="3">
        <v>101</v>
      </c>
      <c r="B2633" s="3">
        <v>101</v>
      </c>
      <c r="C2633" s="4">
        <v>1297.047</v>
      </c>
      <c r="D2633" s="4">
        <v>1296.74</v>
      </c>
      <c r="E2633" s="4">
        <v>1297.354</v>
      </c>
      <c r="F2633" s="4"/>
      <c r="G2633" s="4"/>
      <c r="H2633" s="28" t="s">
        <v>4211</v>
      </c>
      <c r="I2633" s="4"/>
      <c r="J2633" s="6">
        <v>0</v>
      </c>
      <c r="K2633" s="29" t="s">
        <v>3207</v>
      </c>
      <c r="L2633" s="4"/>
      <c r="M2633" s="3"/>
    </row>
    <row r="2634" spans="1:13" x14ac:dyDescent="0.3">
      <c r="A2634" s="3">
        <v>101</v>
      </c>
      <c r="B2634" s="3">
        <v>101</v>
      </c>
      <c r="C2634" s="4">
        <v>1297.491</v>
      </c>
      <c r="D2634" s="4">
        <v>1297.354</v>
      </c>
      <c r="E2634" s="4">
        <v>1297.6279999999999</v>
      </c>
      <c r="F2634" s="4"/>
      <c r="G2634" s="4"/>
      <c r="H2634" s="27" t="s">
        <v>4212</v>
      </c>
      <c r="I2634" s="4"/>
      <c r="J2634" s="6">
        <v>0</v>
      </c>
      <c r="K2634" s="30" t="s">
        <v>3207</v>
      </c>
      <c r="L2634" s="4"/>
      <c r="M2634" s="3"/>
    </row>
    <row r="2635" spans="1:13" x14ac:dyDescent="0.3">
      <c r="A2635" s="3">
        <v>101</v>
      </c>
      <c r="B2635" s="3">
        <v>101</v>
      </c>
      <c r="C2635" s="4">
        <v>1297.9390000000001</v>
      </c>
      <c r="D2635" s="4">
        <v>1297.6279999999999</v>
      </c>
      <c r="E2635" s="4">
        <v>1298.25</v>
      </c>
      <c r="F2635" s="4"/>
      <c r="G2635" s="4"/>
      <c r="H2635" s="28" t="s">
        <v>4213</v>
      </c>
      <c r="I2635" s="4"/>
      <c r="J2635" s="6">
        <v>0</v>
      </c>
      <c r="K2635" s="29" t="s">
        <v>3207</v>
      </c>
      <c r="L2635" s="4"/>
      <c r="M2635" s="3"/>
    </row>
    <row r="2636" spans="1:13" x14ac:dyDescent="0.3">
      <c r="A2636" s="3">
        <v>101</v>
      </c>
      <c r="B2636" s="3">
        <v>101</v>
      </c>
      <c r="C2636" s="4">
        <v>1298.335</v>
      </c>
      <c r="D2636" s="4">
        <v>1298.25</v>
      </c>
      <c r="E2636" s="4">
        <v>1298.42</v>
      </c>
      <c r="F2636" s="4"/>
      <c r="G2636" s="4"/>
      <c r="H2636" s="27" t="s">
        <v>4214</v>
      </c>
      <c r="I2636" s="4"/>
      <c r="J2636" s="6">
        <v>0</v>
      </c>
      <c r="K2636" s="30" t="s">
        <v>3207</v>
      </c>
      <c r="L2636" s="4"/>
      <c r="M2636" s="3"/>
    </row>
    <row r="2637" spans="1:13" x14ac:dyDescent="0.3">
      <c r="A2637" s="3">
        <v>101</v>
      </c>
      <c r="B2637" s="3">
        <v>101</v>
      </c>
      <c r="C2637" s="4">
        <v>1298.7670000000001</v>
      </c>
      <c r="D2637" s="4">
        <v>1298.42</v>
      </c>
      <c r="E2637" s="4">
        <v>1299.114</v>
      </c>
      <c r="F2637" s="4"/>
      <c r="G2637" s="4"/>
      <c r="H2637" s="28" t="s">
        <v>4215</v>
      </c>
      <c r="I2637" s="4"/>
      <c r="J2637" s="6">
        <v>0</v>
      </c>
      <c r="K2637" s="29" t="s">
        <v>3207</v>
      </c>
      <c r="L2637" s="4"/>
      <c r="M2637" s="3"/>
    </row>
    <row r="2638" spans="1:13" x14ac:dyDescent="0.3">
      <c r="A2638" s="3">
        <v>101</v>
      </c>
      <c r="B2638" s="3">
        <v>101</v>
      </c>
      <c r="C2638" s="4">
        <v>1299.306</v>
      </c>
      <c r="D2638" s="4">
        <v>1299.114</v>
      </c>
      <c r="E2638" s="4">
        <v>1299.498</v>
      </c>
      <c r="F2638" s="4"/>
      <c r="G2638" s="4"/>
      <c r="H2638" s="27" t="s">
        <v>4216</v>
      </c>
      <c r="I2638" s="4"/>
      <c r="J2638" s="6">
        <v>0</v>
      </c>
      <c r="K2638" s="30" t="s">
        <v>3207</v>
      </c>
      <c r="L2638" s="4"/>
      <c r="M2638" s="3"/>
    </row>
    <row r="2639" spans="1:13" x14ac:dyDescent="0.3">
      <c r="A2639" s="3">
        <v>101</v>
      </c>
      <c r="B2639" s="3">
        <v>101</v>
      </c>
      <c r="C2639" s="4">
        <v>1299.894</v>
      </c>
      <c r="D2639" s="4">
        <v>1299.498</v>
      </c>
      <c r="E2639" s="4">
        <v>1300.29</v>
      </c>
      <c r="F2639" s="4"/>
      <c r="G2639" s="4"/>
      <c r="H2639" s="28" t="s">
        <v>4217</v>
      </c>
      <c r="I2639" s="4"/>
      <c r="J2639" s="6">
        <v>0</v>
      </c>
      <c r="K2639" s="29" t="s">
        <v>3207</v>
      </c>
      <c r="L2639" s="4"/>
      <c r="M2639" s="3"/>
    </row>
    <row r="2640" spans="1:13" x14ac:dyDescent="0.3">
      <c r="A2640" s="3">
        <v>101</v>
      </c>
      <c r="B2640" s="3">
        <v>101</v>
      </c>
      <c r="C2640" s="4">
        <v>1300.5650000000001</v>
      </c>
      <c r="D2640" s="4">
        <v>1300.29</v>
      </c>
      <c r="E2640" s="4">
        <v>1300.8399999999999</v>
      </c>
      <c r="F2640" s="4"/>
      <c r="G2640" s="4"/>
      <c r="H2640" s="27" t="s">
        <v>4218</v>
      </c>
      <c r="I2640" s="4"/>
      <c r="J2640" s="6">
        <v>0</v>
      </c>
      <c r="K2640" s="30" t="s">
        <v>3207</v>
      </c>
      <c r="L2640" s="4"/>
      <c r="M2640" s="3"/>
    </row>
    <row r="2641" spans="1:13" x14ac:dyDescent="0.3">
      <c r="A2641" s="3">
        <v>101</v>
      </c>
      <c r="B2641" s="3">
        <v>101</v>
      </c>
      <c r="C2641" s="4">
        <v>1300.8710000000001</v>
      </c>
      <c r="D2641" s="4">
        <v>1300.8399999999999</v>
      </c>
      <c r="E2641" s="4">
        <v>1300.9010000000001</v>
      </c>
      <c r="F2641" s="4"/>
      <c r="G2641" s="4"/>
      <c r="H2641" s="28" t="s">
        <v>4219</v>
      </c>
      <c r="I2641" s="4"/>
      <c r="J2641" s="6">
        <v>0</v>
      </c>
      <c r="K2641" s="29" t="s">
        <v>3207</v>
      </c>
      <c r="L2641" s="4"/>
      <c r="M2641" s="3"/>
    </row>
    <row r="2642" spans="1:13" x14ac:dyDescent="0.3">
      <c r="A2642" s="3">
        <v>101</v>
      </c>
      <c r="B2642" s="3">
        <v>101</v>
      </c>
      <c r="C2642" s="4">
        <v>1301.1579999999999</v>
      </c>
      <c r="D2642" s="4">
        <v>1300.9010000000001</v>
      </c>
      <c r="E2642" s="4">
        <v>1301.414</v>
      </c>
      <c r="F2642" s="4"/>
      <c r="G2642" s="4"/>
      <c r="H2642" s="27" t="s">
        <v>4220</v>
      </c>
      <c r="I2642" s="4"/>
      <c r="J2642" s="6">
        <v>0</v>
      </c>
      <c r="K2642" s="30" t="s">
        <v>3207</v>
      </c>
      <c r="L2642" s="4"/>
      <c r="M2642" s="3"/>
    </row>
    <row r="2643" spans="1:13" x14ac:dyDescent="0.3">
      <c r="A2643" s="3">
        <v>101</v>
      </c>
      <c r="B2643" s="3">
        <v>101</v>
      </c>
      <c r="C2643" s="4">
        <v>1301.5340000000001</v>
      </c>
      <c r="D2643" s="4">
        <v>1301.414</v>
      </c>
      <c r="E2643" s="4">
        <v>1301.654</v>
      </c>
      <c r="F2643" s="4"/>
      <c r="G2643" s="4"/>
      <c r="H2643" s="28" t="s">
        <v>4221</v>
      </c>
      <c r="I2643" s="4"/>
      <c r="J2643" s="6">
        <v>0</v>
      </c>
      <c r="K2643" s="29" t="s">
        <v>3207</v>
      </c>
      <c r="L2643" s="4"/>
      <c r="M2643" s="3"/>
    </row>
    <row r="2644" spans="1:13" x14ac:dyDescent="0.3">
      <c r="A2644" s="3">
        <v>101</v>
      </c>
      <c r="B2644" s="3">
        <v>101</v>
      </c>
      <c r="C2644" s="4">
        <v>1301.855</v>
      </c>
      <c r="D2644" s="4">
        <v>1301.654</v>
      </c>
      <c r="E2644" s="4">
        <v>1302.0550000000001</v>
      </c>
      <c r="F2644" s="4"/>
      <c r="G2644" s="4"/>
      <c r="H2644" s="27" t="s">
        <v>4222</v>
      </c>
      <c r="I2644" s="4"/>
      <c r="J2644" s="6">
        <v>0</v>
      </c>
      <c r="K2644" s="30" t="s">
        <v>3207</v>
      </c>
      <c r="L2644" s="4"/>
      <c r="M2644" s="3"/>
    </row>
    <row r="2645" spans="1:13" x14ac:dyDescent="0.3">
      <c r="A2645" s="3">
        <v>101</v>
      </c>
      <c r="B2645" s="3">
        <v>101</v>
      </c>
      <c r="C2645" s="4">
        <v>1302.258</v>
      </c>
      <c r="D2645" s="4">
        <v>1302.0550000000001</v>
      </c>
      <c r="E2645" s="4">
        <v>1302.46</v>
      </c>
      <c r="F2645" s="4"/>
      <c r="G2645" s="4"/>
      <c r="H2645" s="28" t="s">
        <v>4223</v>
      </c>
      <c r="I2645" s="4"/>
      <c r="J2645" s="6">
        <v>0</v>
      </c>
      <c r="K2645" s="29" t="s">
        <v>3207</v>
      </c>
      <c r="L2645" s="4"/>
      <c r="M2645" s="3"/>
    </row>
    <row r="2646" spans="1:13" x14ac:dyDescent="0.3">
      <c r="A2646" s="3">
        <v>101</v>
      </c>
      <c r="B2646" s="3">
        <v>101</v>
      </c>
      <c r="C2646" s="4">
        <v>1302.75</v>
      </c>
      <c r="D2646" s="4">
        <v>1302.46</v>
      </c>
      <c r="E2646" s="4">
        <v>1303.04</v>
      </c>
      <c r="F2646" s="4"/>
      <c r="G2646" s="4"/>
      <c r="H2646" s="27" t="s">
        <v>4224</v>
      </c>
      <c r="I2646" s="4"/>
      <c r="J2646" s="6">
        <v>0</v>
      </c>
      <c r="K2646" s="30" t="s">
        <v>3207</v>
      </c>
      <c r="L2646" s="4"/>
      <c r="M2646" s="3"/>
    </row>
    <row r="2647" spans="1:13" x14ac:dyDescent="0.3">
      <c r="A2647" s="3">
        <v>101</v>
      </c>
      <c r="B2647" s="3">
        <v>101</v>
      </c>
      <c r="C2647" s="4">
        <v>1303.221</v>
      </c>
      <c r="D2647" s="4">
        <v>1303.04</v>
      </c>
      <c r="E2647" s="4">
        <v>1303.4010000000001</v>
      </c>
      <c r="F2647" s="4"/>
      <c r="G2647" s="4"/>
      <c r="H2647" s="28" t="s">
        <v>4225</v>
      </c>
      <c r="I2647" s="4"/>
      <c r="J2647" s="6">
        <v>0</v>
      </c>
      <c r="K2647" s="29" t="s">
        <v>3207</v>
      </c>
      <c r="L2647" s="4"/>
      <c r="M2647" s="3"/>
    </row>
    <row r="2648" spans="1:13" x14ac:dyDescent="0.3">
      <c r="A2648" s="3">
        <v>101</v>
      </c>
      <c r="B2648" s="3">
        <v>101</v>
      </c>
      <c r="C2648" s="4">
        <v>1303.6410000000001</v>
      </c>
      <c r="D2648" s="4">
        <v>1303.4010000000001</v>
      </c>
      <c r="E2648" s="4">
        <v>1303.8800000000001</v>
      </c>
      <c r="F2648" s="4"/>
      <c r="G2648" s="4"/>
      <c r="H2648" s="27" t="s">
        <v>4226</v>
      </c>
      <c r="I2648" s="4"/>
      <c r="J2648" s="6">
        <v>0</v>
      </c>
      <c r="K2648" s="30" t="s">
        <v>3207</v>
      </c>
      <c r="L2648" s="4"/>
      <c r="M2648" s="3"/>
    </row>
    <row r="2649" spans="1:13" x14ac:dyDescent="0.3">
      <c r="A2649" s="3">
        <v>101</v>
      </c>
      <c r="B2649" s="3">
        <v>101</v>
      </c>
      <c r="C2649" s="4">
        <v>1303.896</v>
      </c>
      <c r="D2649" s="4">
        <v>1303.8800000000001</v>
      </c>
      <c r="E2649" s="4">
        <v>1303.912</v>
      </c>
      <c r="F2649" s="4"/>
      <c r="G2649" s="4"/>
      <c r="H2649" s="28" t="s">
        <v>4227</v>
      </c>
      <c r="I2649" s="4"/>
      <c r="J2649" s="6">
        <v>0</v>
      </c>
      <c r="K2649" s="29" t="s">
        <v>3207</v>
      </c>
      <c r="L2649" s="4"/>
      <c r="M2649" s="3"/>
    </row>
    <row r="2650" spans="1:13" x14ac:dyDescent="0.3">
      <c r="A2650" s="3">
        <v>101</v>
      </c>
      <c r="B2650" s="3">
        <v>101</v>
      </c>
      <c r="C2650" s="4">
        <v>1304.2560000000001</v>
      </c>
      <c r="D2650" s="4">
        <v>1303.912</v>
      </c>
      <c r="E2650" s="4">
        <v>1304.5999999999999</v>
      </c>
      <c r="F2650" s="4"/>
      <c r="G2650" s="4"/>
      <c r="H2650" s="27" t="s">
        <v>4228</v>
      </c>
      <c r="I2650" s="4"/>
      <c r="J2650" s="6">
        <v>0</v>
      </c>
      <c r="K2650" s="30" t="s">
        <v>3207</v>
      </c>
      <c r="L2650" s="4"/>
      <c r="M2650" s="3"/>
    </row>
    <row r="2651" spans="1:13" x14ac:dyDescent="0.3">
      <c r="A2651" s="3">
        <v>101</v>
      </c>
      <c r="B2651" s="3">
        <v>101</v>
      </c>
      <c r="C2651" s="4">
        <v>1304.7080000000001</v>
      </c>
      <c r="D2651" s="4">
        <v>1304.5999999999999</v>
      </c>
      <c r="E2651" s="4">
        <v>1304.8150000000001</v>
      </c>
      <c r="F2651" s="4"/>
      <c r="G2651" s="4"/>
      <c r="H2651" s="28" t="s">
        <v>4229</v>
      </c>
      <c r="I2651" s="4"/>
      <c r="J2651" s="6">
        <v>0</v>
      </c>
      <c r="K2651" s="29" t="s">
        <v>3207</v>
      </c>
      <c r="L2651" s="4"/>
      <c r="M2651" s="3"/>
    </row>
    <row r="2652" spans="1:13" x14ac:dyDescent="0.3">
      <c r="A2652" s="3">
        <v>101</v>
      </c>
      <c r="B2652" s="3">
        <v>101</v>
      </c>
      <c r="C2652" s="4">
        <v>1304.9079999999999</v>
      </c>
      <c r="D2652" s="4">
        <v>1304.8150000000001</v>
      </c>
      <c r="E2652" s="4">
        <v>1305</v>
      </c>
      <c r="F2652" s="4"/>
      <c r="G2652" s="4"/>
      <c r="H2652" s="27" t="s">
        <v>4230</v>
      </c>
      <c r="I2652" s="4"/>
      <c r="J2652" s="6">
        <v>0</v>
      </c>
      <c r="K2652" s="30" t="s">
        <v>3207</v>
      </c>
      <c r="L2652" s="4"/>
      <c r="M2652" s="3"/>
    </row>
    <row r="2653" spans="1:13" x14ac:dyDescent="0.3">
      <c r="A2653" s="3">
        <v>101</v>
      </c>
      <c r="B2653" s="3">
        <v>101</v>
      </c>
      <c r="C2653" s="4">
        <v>1305.2059999999999</v>
      </c>
      <c r="D2653" s="4">
        <v>1305</v>
      </c>
      <c r="E2653" s="4">
        <v>1305.412</v>
      </c>
      <c r="F2653" s="4"/>
      <c r="G2653" s="4"/>
      <c r="H2653" s="28" t="s">
        <v>4231</v>
      </c>
      <c r="I2653" s="4"/>
      <c r="J2653" s="6">
        <v>0</v>
      </c>
      <c r="K2653" s="29" t="s">
        <v>3207</v>
      </c>
      <c r="L2653" s="4"/>
      <c r="M2653" s="3"/>
    </row>
    <row r="2654" spans="1:13" x14ac:dyDescent="0.3">
      <c r="A2654" s="3">
        <v>101</v>
      </c>
      <c r="B2654" s="3">
        <v>101</v>
      </c>
      <c r="C2654" s="4">
        <v>1305.5809999999999</v>
      </c>
      <c r="D2654" s="4">
        <v>1305.412</v>
      </c>
      <c r="E2654" s="4">
        <v>1305.75</v>
      </c>
      <c r="F2654" s="4"/>
      <c r="G2654" s="4"/>
      <c r="H2654" s="27" t="s">
        <v>4232</v>
      </c>
      <c r="I2654" s="4"/>
      <c r="J2654" s="6">
        <v>0</v>
      </c>
      <c r="K2654" s="30" t="s">
        <v>3207</v>
      </c>
      <c r="L2654" s="4"/>
      <c r="M2654" s="3"/>
    </row>
    <row r="2655" spans="1:13" x14ac:dyDescent="0.3">
      <c r="A2655" s="3">
        <v>101</v>
      </c>
      <c r="B2655" s="3">
        <v>101</v>
      </c>
      <c r="C2655" s="4">
        <v>1305.7650000000001</v>
      </c>
      <c r="D2655" s="4">
        <v>1305.75</v>
      </c>
      <c r="E2655" s="4">
        <v>1305.78</v>
      </c>
      <c r="F2655" s="4"/>
      <c r="G2655" s="4"/>
      <c r="H2655" s="28" t="s">
        <v>4233</v>
      </c>
      <c r="I2655" s="4"/>
      <c r="J2655" s="6">
        <v>0</v>
      </c>
      <c r="K2655" s="29" t="s">
        <v>3207</v>
      </c>
      <c r="L2655" s="4"/>
      <c r="M2655" s="3"/>
    </row>
    <row r="2656" spans="1:13" x14ac:dyDescent="0.3">
      <c r="A2656" s="3">
        <v>101</v>
      </c>
      <c r="B2656" s="3">
        <v>101</v>
      </c>
      <c r="C2656" s="4">
        <v>1306.0899999999999</v>
      </c>
      <c r="D2656" s="4">
        <v>1305.78</v>
      </c>
      <c r="E2656" s="4">
        <v>1306.4000000000001</v>
      </c>
      <c r="F2656" s="4"/>
      <c r="G2656" s="4"/>
      <c r="H2656" s="27" t="s">
        <v>4234</v>
      </c>
      <c r="I2656" s="4"/>
      <c r="J2656" s="6">
        <v>0</v>
      </c>
      <c r="K2656" s="30" t="s">
        <v>3207</v>
      </c>
      <c r="L2656" s="4"/>
      <c r="M2656" s="3"/>
    </row>
    <row r="2657" spans="1:13" x14ac:dyDescent="0.3">
      <c r="A2657" s="3">
        <v>101</v>
      </c>
      <c r="B2657" s="3">
        <v>101</v>
      </c>
      <c r="C2657" s="4">
        <v>1306.425</v>
      </c>
      <c r="D2657" s="4">
        <v>1306.4000000000001</v>
      </c>
      <c r="E2657" s="4">
        <v>1306.45</v>
      </c>
      <c r="F2657" s="4"/>
      <c r="G2657" s="4"/>
      <c r="H2657" s="28" t="s">
        <v>4235</v>
      </c>
      <c r="I2657" s="4"/>
      <c r="J2657" s="6">
        <v>0</v>
      </c>
      <c r="K2657" s="29" t="s">
        <v>3207</v>
      </c>
      <c r="L2657" s="4"/>
      <c r="M2657" s="3"/>
    </row>
    <row r="2658" spans="1:13" x14ac:dyDescent="0.3">
      <c r="A2658" s="3">
        <v>101</v>
      </c>
      <c r="B2658" s="3">
        <v>101</v>
      </c>
      <c r="C2658" s="4">
        <v>1306.6949999999999</v>
      </c>
      <c r="D2658" s="4">
        <v>1306.45</v>
      </c>
      <c r="E2658" s="4">
        <v>1306.94</v>
      </c>
      <c r="F2658" s="4"/>
      <c r="G2658" s="4"/>
      <c r="H2658" s="27" t="s">
        <v>4236</v>
      </c>
      <c r="I2658" s="4"/>
      <c r="J2658" s="6">
        <v>0</v>
      </c>
      <c r="K2658" s="30" t="s">
        <v>3207</v>
      </c>
      <c r="L2658" s="4"/>
      <c r="M2658" s="3"/>
    </row>
    <row r="2659" spans="1:13" x14ac:dyDescent="0.3">
      <c r="A2659" s="3">
        <v>101</v>
      </c>
      <c r="B2659" s="3">
        <v>101</v>
      </c>
      <c r="C2659" s="4">
        <v>1307.27</v>
      </c>
      <c r="D2659" s="4">
        <v>1306.94</v>
      </c>
      <c r="E2659" s="4">
        <v>1307.5999999999999</v>
      </c>
      <c r="F2659" s="4"/>
      <c r="G2659" s="4"/>
      <c r="H2659" s="28" t="s">
        <v>4237</v>
      </c>
      <c r="I2659" s="4"/>
      <c r="J2659" s="6">
        <v>0</v>
      </c>
      <c r="K2659" s="29" t="s">
        <v>3207</v>
      </c>
      <c r="L2659" s="4"/>
      <c r="M2659" s="3"/>
    </row>
    <row r="2660" spans="1:13" x14ac:dyDescent="0.3">
      <c r="A2660" s="3">
        <v>101</v>
      </c>
      <c r="B2660" s="3">
        <v>101</v>
      </c>
      <c r="C2660" s="4">
        <v>1307.7929999999999</v>
      </c>
      <c r="D2660" s="4">
        <v>1307.5999999999999</v>
      </c>
      <c r="E2660" s="4">
        <v>1307.9849999999999</v>
      </c>
      <c r="F2660" s="4"/>
      <c r="G2660" s="4"/>
      <c r="H2660" s="27" t="s">
        <v>4238</v>
      </c>
      <c r="I2660" s="4"/>
      <c r="J2660" s="6">
        <v>0</v>
      </c>
      <c r="K2660" s="30" t="s">
        <v>3207</v>
      </c>
      <c r="L2660" s="4"/>
      <c r="M2660" s="3"/>
    </row>
    <row r="2661" spans="1:13" x14ac:dyDescent="0.3">
      <c r="A2661" s="3">
        <v>101</v>
      </c>
      <c r="B2661" s="3">
        <v>101</v>
      </c>
      <c r="C2661" s="4">
        <v>1308.01</v>
      </c>
      <c r="D2661" s="4">
        <v>1307.9849999999999</v>
      </c>
      <c r="E2661" s="4">
        <v>1308.0350000000001</v>
      </c>
      <c r="F2661" s="4"/>
      <c r="G2661" s="4"/>
      <c r="H2661" s="28" t="s">
        <v>4239</v>
      </c>
      <c r="I2661" s="4"/>
      <c r="J2661" s="6">
        <v>0</v>
      </c>
      <c r="K2661" s="29" t="s">
        <v>3207</v>
      </c>
      <c r="L2661" s="4"/>
      <c r="M2661" s="3"/>
    </row>
    <row r="2662" spans="1:13" x14ac:dyDescent="0.3">
      <c r="A2662" s="3">
        <v>101</v>
      </c>
      <c r="B2662" s="3">
        <v>101</v>
      </c>
      <c r="C2662" s="4">
        <v>1308.46</v>
      </c>
      <c r="D2662" s="4">
        <v>1308.0350000000001</v>
      </c>
      <c r="E2662" s="4">
        <v>1308.885</v>
      </c>
      <c r="F2662" s="4"/>
      <c r="G2662" s="4"/>
      <c r="H2662" s="27" t="s">
        <v>4240</v>
      </c>
      <c r="I2662" s="4"/>
      <c r="J2662" s="6">
        <v>0</v>
      </c>
      <c r="K2662" s="30" t="s">
        <v>3207</v>
      </c>
      <c r="L2662" s="4"/>
      <c r="M2662" s="3"/>
    </row>
    <row r="2663" spans="1:13" x14ac:dyDescent="0.3">
      <c r="A2663" s="3">
        <v>101</v>
      </c>
      <c r="B2663" s="3">
        <v>101</v>
      </c>
      <c r="C2663" s="4">
        <v>1308.94</v>
      </c>
      <c r="D2663" s="4">
        <v>1308.885</v>
      </c>
      <c r="E2663" s="4">
        <v>1308.9949999999999</v>
      </c>
      <c r="F2663" s="4"/>
      <c r="G2663" s="4"/>
      <c r="H2663" s="28" t="s">
        <v>4241</v>
      </c>
      <c r="I2663" s="4"/>
      <c r="J2663" s="6">
        <v>0</v>
      </c>
      <c r="K2663" s="29" t="s">
        <v>3207</v>
      </c>
      <c r="L2663" s="4"/>
      <c r="M2663" s="3"/>
    </row>
    <row r="2664" spans="1:13" x14ac:dyDescent="0.3">
      <c r="A2664" s="3">
        <v>101</v>
      </c>
      <c r="B2664" s="3">
        <v>101</v>
      </c>
      <c r="C2664" s="4">
        <v>1309.1780000000001</v>
      </c>
      <c r="D2664" s="4">
        <v>1308.9949999999999</v>
      </c>
      <c r="E2664" s="4">
        <v>1309.3599999999999</v>
      </c>
      <c r="F2664" s="4"/>
      <c r="G2664" s="4"/>
      <c r="H2664" s="27" t="s">
        <v>4242</v>
      </c>
      <c r="I2664" s="4"/>
      <c r="J2664" s="6">
        <v>0</v>
      </c>
      <c r="K2664" s="30" t="s">
        <v>3207</v>
      </c>
      <c r="L2664" s="4"/>
      <c r="M2664" s="3"/>
    </row>
    <row r="2665" spans="1:13" x14ac:dyDescent="0.3">
      <c r="A2665" s="3">
        <v>101</v>
      </c>
      <c r="B2665" s="3">
        <v>101</v>
      </c>
      <c r="C2665" s="4">
        <v>1309.3810000000001</v>
      </c>
      <c r="D2665" s="4">
        <v>1309.3599999999999</v>
      </c>
      <c r="E2665" s="4">
        <v>1309.4010000000001</v>
      </c>
      <c r="F2665" s="4"/>
      <c r="G2665" s="4"/>
      <c r="H2665" s="28" t="s">
        <v>4243</v>
      </c>
      <c r="I2665" s="4"/>
      <c r="J2665" s="6">
        <v>0</v>
      </c>
      <c r="K2665" s="29" t="s">
        <v>3207</v>
      </c>
      <c r="L2665" s="4"/>
      <c r="M2665" s="3"/>
    </row>
    <row r="2666" spans="1:13" x14ac:dyDescent="0.3">
      <c r="A2666" s="3">
        <v>101</v>
      </c>
      <c r="B2666" s="3">
        <v>101</v>
      </c>
      <c r="C2666" s="4">
        <v>1309.586</v>
      </c>
      <c r="D2666" s="4">
        <v>1309.4010000000001</v>
      </c>
      <c r="E2666" s="4">
        <v>1309.77</v>
      </c>
      <c r="F2666" s="4"/>
      <c r="G2666" s="4"/>
      <c r="H2666" s="27" t="s">
        <v>4244</v>
      </c>
      <c r="I2666" s="4"/>
      <c r="J2666" s="6">
        <v>0</v>
      </c>
      <c r="K2666" s="30" t="s">
        <v>3207</v>
      </c>
      <c r="L2666" s="4"/>
      <c r="M2666" s="3"/>
    </row>
    <row r="2667" spans="1:13" x14ac:dyDescent="0.3">
      <c r="A2667" s="3">
        <v>101</v>
      </c>
      <c r="B2667" s="3">
        <v>101</v>
      </c>
      <c r="C2667" s="4">
        <v>1310.076</v>
      </c>
      <c r="D2667" s="4">
        <v>1309.77</v>
      </c>
      <c r="E2667" s="4">
        <v>1310.3810000000001</v>
      </c>
      <c r="F2667" s="4"/>
      <c r="G2667" s="4"/>
      <c r="H2667" s="28" t="s">
        <v>4245</v>
      </c>
      <c r="I2667" s="4"/>
      <c r="J2667" s="6">
        <v>0</v>
      </c>
      <c r="K2667" s="29" t="s">
        <v>3207</v>
      </c>
      <c r="L2667" s="4"/>
      <c r="M2667" s="3"/>
    </row>
    <row r="2668" spans="1:13" x14ac:dyDescent="0.3">
      <c r="A2668" s="3">
        <v>101</v>
      </c>
      <c r="B2668" s="3">
        <v>101</v>
      </c>
      <c r="C2668" s="4">
        <v>1310.748</v>
      </c>
      <c r="D2668" s="4">
        <v>1310.3810000000001</v>
      </c>
      <c r="E2668" s="4">
        <v>1311.115</v>
      </c>
      <c r="F2668" s="4"/>
      <c r="G2668" s="4"/>
      <c r="H2668" s="27" t="s">
        <v>4246</v>
      </c>
      <c r="I2668" s="4"/>
      <c r="J2668" s="6">
        <v>0</v>
      </c>
      <c r="K2668" s="30" t="s">
        <v>3207</v>
      </c>
      <c r="L2668" s="4"/>
      <c r="M2668" s="3"/>
    </row>
    <row r="2669" spans="1:13" x14ac:dyDescent="0.3">
      <c r="A2669" s="3">
        <v>101</v>
      </c>
      <c r="B2669" s="3">
        <v>101</v>
      </c>
      <c r="C2669" s="4">
        <v>1311.299</v>
      </c>
      <c r="D2669" s="4">
        <v>1311.115</v>
      </c>
      <c r="E2669" s="4">
        <v>1311.482</v>
      </c>
      <c r="F2669" s="4"/>
      <c r="G2669" s="4"/>
      <c r="H2669" s="28" t="s">
        <v>4247</v>
      </c>
      <c r="I2669" s="4"/>
      <c r="J2669" s="6">
        <v>0</v>
      </c>
      <c r="K2669" s="29" t="s">
        <v>3207</v>
      </c>
      <c r="L2669" s="4"/>
      <c r="M2669" s="3"/>
    </row>
    <row r="2670" spans="1:13" x14ac:dyDescent="0.3">
      <c r="A2670" s="3">
        <v>101</v>
      </c>
      <c r="B2670" s="3">
        <v>101</v>
      </c>
      <c r="C2670" s="4">
        <v>1311.846</v>
      </c>
      <c r="D2670" s="4">
        <v>1311.482</v>
      </c>
      <c r="E2670" s="4">
        <v>1312.2090000000001</v>
      </c>
      <c r="F2670" s="4"/>
      <c r="G2670" s="4"/>
      <c r="H2670" s="27" t="s">
        <v>4248</v>
      </c>
      <c r="I2670" s="4"/>
      <c r="J2670" s="6">
        <v>0</v>
      </c>
      <c r="K2670" s="30" t="s">
        <v>3207</v>
      </c>
      <c r="L2670" s="4"/>
      <c r="M2670" s="3"/>
    </row>
    <row r="2671" spans="1:13" x14ac:dyDescent="0.3">
      <c r="A2671" s="3">
        <v>101</v>
      </c>
      <c r="B2671" s="3">
        <v>101</v>
      </c>
      <c r="C2671" s="4">
        <v>1312.2550000000001</v>
      </c>
      <c r="D2671" s="4">
        <v>1312.2090000000001</v>
      </c>
      <c r="E2671" s="4">
        <v>1312.3009999999999</v>
      </c>
      <c r="F2671" s="4"/>
      <c r="G2671" s="4"/>
      <c r="H2671" s="28" t="s">
        <v>4249</v>
      </c>
      <c r="I2671" s="4"/>
      <c r="J2671" s="6">
        <v>0</v>
      </c>
      <c r="K2671" s="29" t="s">
        <v>3207</v>
      </c>
      <c r="L2671" s="4"/>
      <c r="M2671" s="3"/>
    </row>
    <row r="2672" spans="1:13" x14ac:dyDescent="0.3">
      <c r="A2672" s="3">
        <v>101</v>
      </c>
      <c r="B2672" s="3">
        <v>101</v>
      </c>
      <c r="C2672" s="4">
        <v>1312.518</v>
      </c>
      <c r="D2672" s="4">
        <v>1312.3009999999999</v>
      </c>
      <c r="E2672" s="4">
        <v>1312.7349999999999</v>
      </c>
      <c r="F2672" s="4"/>
      <c r="G2672" s="4"/>
      <c r="H2672" s="27" t="s">
        <v>4250</v>
      </c>
      <c r="I2672" s="4"/>
      <c r="J2672" s="6">
        <v>0</v>
      </c>
      <c r="K2672" s="30" t="s">
        <v>3207</v>
      </c>
      <c r="L2672" s="4"/>
      <c r="M2672" s="3"/>
    </row>
    <row r="2673" spans="1:13" x14ac:dyDescent="0.3">
      <c r="A2673" s="3">
        <v>101</v>
      </c>
      <c r="B2673" s="3">
        <v>101</v>
      </c>
      <c r="C2673" s="4">
        <v>1312.961</v>
      </c>
      <c r="D2673" s="4">
        <v>1312.7349999999999</v>
      </c>
      <c r="E2673" s="4">
        <v>1313.1869999999999</v>
      </c>
      <c r="F2673" s="4"/>
      <c r="G2673" s="4"/>
      <c r="H2673" s="28" t="s">
        <v>4251</v>
      </c>
      <c r="I2673" s="4"/>
      <c r="J2673" s="6">
        <v>0</v>
      </c>
      <c r="K2673" s="29" t="s">
        <v>3207</v>
      </c>
      <c r="L2673" s="4"/>
      <c r="M2673" s="3"/>
    </row>
    <row r="2674" spans="1:13" x14ac:dyDescent="0.3">
      <c r="A2674" s="3">
        <v>101</v>
      </c>
      <c r="B2674" s="3">
        <v>101</v>
      </c>
      <c r="C2674" s="4">
        <v>1313.34</v>
      </c>
      <c r="D2674" s="4">
        <v>1313.1869999999999</v>
      </c>
      <c r="E2674" s="4">
        <v>1313.492</v>
      </c>
      <c r="F2674" s="4"/>
      <c r="G2674" s="4"/>
      <c r="H2674" s="27" t="s">
        <v>4252</v>
      </c>
      <c r="I2674" s="4"/>
      <c r="J2674" s="6">
        <v>0</v>
      </c>
      <c r="K2674" s="30" t="s">
        <v>3207</v>
      </c>
      <c r="L2674" s="4"/>
      <c r="M2674" s="3"/>
    </row>
    <row r="2675" spans="1:13" x14ac:dyDescent="0.3">
      <c r="A2675" s="3">
        <v>101</v>
      </c>
      <c r="B2675" s="3">
        <v>101</v>
      </c>
      <c r="C2675" s="4">
        <v>1313.848</v>
      </c>
      <c r="D2675" s="4">
        <v>1313.492</v>
      </c>
      <c r="E2675" s="4">
        <v>1314.203</v>
      </c>
      <c r="F2675" s="4"/>
      <c r="G2675" s="4"/>
      <c r="H2675" s="28" t="s">
        <v>4253</v>
      </c>
      <c r="I2675" s="4"/>
      <c r="J2675" s="6">
        <v>0</v>
      </c>
      <c r="K2675" s="29" t="s">
        <v>3207</v>
      </c>
      <c r="L2675" s="4"/>
      <c r="M2675" s="3"/>
    </row>
    <row r="2676" spans="1:13" x14ac:dyDescent="0.3">
      <c r="A2676" s="3">
        <v>101</v>
      </c>
      <c r="B2676" s="3">
        <v>101</v>
      </c>
      <c r="C2676" s="4">
        <v>1314.4390000000001</v>
      </c>
      <c r="D2676" s="4">
        <v>1314.203</v>
      </c>
      <c r="E2676" s="4">
        <v>1314.675</v>
      </c>
      <c r="F2676" s="4"/>
      <c r="G2676" s="4"/>
      <c r="H2676" s="27" t="s">
        <v>4254</v>
      </c>
      <c r="I2676" s="4"/>
      <c r="J2676" s="6">
        <v>0</v>
      </c>
      <c r="K2676" s="30" t="s">
        <v>3207</v>
      </c>
      <c r="L2676" s="4"/>
      <c r="M2676" s="3"/>
    </row>
    <row r="2677" spans="1:13" x14ac:dyDescent="0.3">
      <c r="A2677" s="3">
        <v>101</v>
      </c>
      <c r="B2677" s="3">
        <v>101</v>
      </c>
      <c r="C2677" s="4">
        <v>1314.7819999999999</v>
      </c>
      <c r="D2677" s="4">
        <v>1314.675</v>
      </c>
      <c r="E2677" s="4">
        <v>1314.8889999999999</v>
      </c>
      <c r="F2677" s="4"/>
      <c r="G2677" s="4"/>
      <c r="H2677" s="28" t="s">
        <v>4255</v>
      </c>
      <c r="I2677" s="4"/>
      <c r="J2677" s="6">
        <v>0</v>
      </c>
      <c r="K2677" s="29" t="s">
        <v>3207</v>
      </c>
      <c r="L2677" s="4"/>
      <c r="M2677" s="3"/>
    </row>
    <row r="2678" spans="1:13" x14ac:dyDescent="0.3">
      <c r="A2678" s="3">
        <v>101</v>
      </c>
      <c r="B2678" s="3">
        <v>101</v>
      </c>
      <c r="C2678" s="4">
        <v>1315.1410000000001</v>
      </c>
      <c r="D2678" s="4">
        <v>1314.8889999999999</v>
      </c>
      <c r="E2678" s="4">
        <v>1315.3920000000001</v>
      </c>
      <c r="F2678" s="4"/>
      <c r="G2678" s="4"/>
      <c r="H2678" s="27" t="s">
        <v>4256</v>
      </c>
      <c r="I2678" s="4"/>
      <c r="J2678" s="6">
        <v>0</v>
      </c>
      <c r="K2678" s="30" t="s">
        <v>3207</v>
      </c>
      <c r="L2678" s="4"/>
      <c r="M2678" s="3"/>
    </row>
    <row r="2679" spans="1:13" x14ac:dyDescent="0.3">
      <c r="A2679" s="3">
        <v>101</v>
      </c>
      <c r="B2679" s="3">
        <v>101</v>
      </c>
      <c r="C2679" s="4">
        <v>1315.511</v>
      </c>
      <c r="D2679" s="4">
        <v>1315.3920000000001</v>
      </c>
      <c r="E2679" s="4">
        <v>1315.63</v>
      </c>
      <c r="F2679" s="4"/>
      <c r="G2679" s="4"/>
      <c r="H2679" s="28" t="s">
        <v>4257</v>
      </c>
      <c r="I2679" s="4"/>
      <c r="J2679" s="6">
        <v>0</v>
      </c>
      <c r="K2679" s="29" t="s">
        <v>3207</v>
      </c>
      <c r="L2679" s="4"/>
      <c r="M2679" s="3"/>
    </row>
    <row r="2680" spans="1:13" x14ac:dyDescent="0.3">
      <c r="A2680" s="3">
        <v>101</v>
      </c>
      <c r="B2680" s="3">
        <v>101</v>
      </c>
      <c r="C2680" s="4">
        <v>1315.835</v>
      </c>
      <c r="D2680" s="4">
        <v>1315.63</v>
      </c>
      <c r="E2680" s="4">
        <v>1316.04</v>
      </c>
      <c r="F2680" s="4"/>
      <c r="G2680" s="4"/>
      <c r="H2680" s="27" t="s">
        <v>4258</v>
      </c>
      <c r="I2680" s="4"/>
      <c r="J2680" s="6">
        <v>0</v>
      </c>
      <c r="K2680" s="30" t="s">
        <v>3207</v>
      </c>
      <c r="L2680" s="4"/>
      <c r="M2680" s="3"/>
    </row>
    <row r="2681" spans="1:13" x14ac:dyDescent="0.3">
      <c r="A2681" s="3">
        <v>101</v>
      </c>
      <c r="B2681" s="3">
        <v>101</v>
      </c>
      <c r="C2681" s="4">
        <v>1316.2919999999999</v>
      </c>
      <c r="D2681" s="4">
        <v>1316.04</v>
      </c>
      <c r="E2681" s="4">
        <v>1316.5429999999999</v>
      </c>
      <c r="F2681" s="4"/>
      <c r="G2681" s="4"/>
      <c r="H2681" s="28" t="s">
        <v>4259</v>
      </c>
      <c r="I2681" s="4"/>
      <c r="J2681" s="6">
        <v>0</v>
      </c>
      <c r="K2681" s="29" t="s">
        <v>3207</v>
      </c>
      <c r="L2681" s="4"/>
      <c r="M2681" s="3"/>
    </row>
    <row r="2682" spans="1:13" x14ac:dyDescent="0.3">
      <c r="A2682" s="3">
        <v>101</v>
      </c>
      <c r="B2682" s="3">
        <v>101</v>
      </c>
      <c r="C2682" s="4">
        <v>1316.8489999999999</v>
      </c>
      <c r="D2682" s="4">
        <v>1316.5429999999999</v>
      </c>
      <c r="E2682" s="4">
        <v>1317.155</v>
      </c>
      <c r="F2682" s="4"/>
      <c r="G2682" s="4"/>
      <c r="H2682" s="27" t="s">
        <v>4260</v>
      </c>
      <c r="I2682" s="4"/>
      <c r="J2682" s="6">
        <v>0</v>
      </c>
      <c r="K2682" s="30" t="s">
        <v>3207</v>
      </c>
      <c r="L2682" s="4"/>
      <c r="M2682" s="3"/>
    </row>
    <row r="2683" spans="1:13" x14ac:dyDescent="0.3">
      <c r="A2683" s="3">
        <v>101</v>
      </c>
      <c r="B2683" s="3">
        <v>101</v>
      </c>
      <c r="C2683" s="4">
        <v>1317.2329999999999</v>
      </c>
      <c r="D2683" s="4">
        <v>1317.155</v>
      </c>
      <c r="E2683" s="4">
        <v>1317.31</v>
      </c>
      <c r="F2683" s="4"/>
      <c r="G2683" s="4"/>
      <c r="H2683" s="28" t="s">
        <v>4261</v>
      </c>
      <c r="I2683" s="4"/>
      <c r="J2683" s="6">
        <v>0</v>
      </c>
      <c r="K2683" s="29" t="s">
        <v>3207</v>
      </c>
      <c r="L2683" s="4"/>
      <c r="M2683" s="3"/>
    </row>
    <row r="2684" spans="1:13" x14ac:dyDescent="0.3">
      <c r="A2684" s="3">
        <v>101</v>
      </c>
      <c r="B2684" s="3">
        <v>101</v>
      </c>
      <c r="C2684" s="4">
        <v>1317.7329999999999</v>
      </c>
      <c r="D2684" s="4">
        <v>1317.31</v>
      </c>
      <c r="E2684" s="4">
        <v>1318.155</v>
      </c>
      <c r="F2684" s="4"/>
      <c r="G2684" s="4"/>
      <c r="H2684" s="27" t="s">
        <v>4262</v>
      </c>
      <c r="I2684" s="4"/>
      <c r="J2684" s="6">
        <v>0</v>
      </c>
      <c r="K2684" s="30" t="s">
        <v>3207</v>
      </c>
      <c r="L2684" s="4"/>
      <c r="M2684" s="3"/>
    </row>
    <row r="2685" spans="1:13" x14ac:dyDescent="0.3">
      <c r="A2685" s="3">
        <v>101</v>
      </c>
      <c r="B2685" s="3">
        <v>101</v>
      </c>
      <c r="C2685" s="4">
        <v>1318.223</v>
      </c>
      <c r="D2685" s="4">
        <v>1318.155</v>
      </c>
      <c r="E2685" s="4">
        <v>1318.29</v>
      </c>
      <c r="F2685" s="4"/>
      <c r="G2685" s="4"/>
      <c r="H2685" s="28" t="s">
        <v>4263</v>
      </c>
      <c r="I2685" s="4"/>
      <c r="J2685" s="6">
        <v>0</v>
      </c>
      <c r="K2685" s="29" t="s">
        <v>3207</v>
      </c>
      <c r="L2685" s="4"/>
      <c r="M2685" s="3"/>
    </row>
    <row r="2686" spans="1:13" x14ac:dyDescent="0.3">
      <c r="A2686" s="3">
        <v>101</v>
      </c>
      <c r="B2686" s="3">
        <v>101</v>
      </c>
      <c r="C2686" s="4">
        <v>1318.5050000000001</v>
      </c>
      <c r="D2686" s="4">
        <v>1318.29</v>
      </c>
      <c r="E2686" s="4">
        <v>1318.72</v>
      </c>
      <c r="F2686" s="4"/>
      <c r="G2686" s="4"/>
      <c r="H2686" s="27" t="s">
        <v>4264</v>
      </c>
      <c r="I2686" s="4"/>
      <c r="J2686" s="6">
        <v>0</v>
      </c>
      <c r="K2686" s="30" t="s">
        <v>3207</v>
      </c>
      <c r="L2686" s="4"/>
      <c r="M2686" s="3"/>
    </row>
    <row r="2687" spans="1:13" x14ac:dyDescent="0.3">
      <c r="A2687" s="3">
        <v>101</v>
      </c>
      <c r="B2687" s="3">
        <v>101</v>
      </c>
      <c r="C2687" s="4">
        <v>1319.13</v>
      </c>
      <c r="D2687" s="4">
        <v>1318.72</v>
      </c>
      <c r="E2687" s="4">
        <v>1319.54</v>
      </c>
      <c r="F2687" s="4"/>
      <c r="G2687" s="4"/>
      <c r="H2687" s="28" t="s">
        <v>4265</v>
      </c>
      <c r="I2687" s="4"/>
      <c r="J2687" s="6">
        <v>0</v>
      </c>
      <c r="K2687" s="29" t="s">
        <v>3207</v>
      </c>
      <c r="L2687" s="4"/>
      <c r="M2687" s="3"/>
    </row>
    <row r="2688" spans="1:13" x14ac:dyDescent="0.3">
      <c r="A2688" s="3">
        <v>101</v>
      </c>
      <c r="B2688" s="3">
        <v>101</v>
      </c>
      <c r="C2688" s="4">
        <v>1319.768</v>
      </c>
      <c r="D2688" s="4">
        <v>1319.54</v>
      </c>
      <c r="E2688" s="4">
        <v>1319.9960000000001</v>
      </c>
      <c r="F2688" s="4"/>
      <c r="G2688" s="4"/>
      <c r="H2688" s="27" t="s">
        <v>4266</v>
      </c>
      <c r="I2688" s="4"/>
      <c r="J2688" s="6">
        <v>0</v>
      </c>
      <c r="K2688" s="30" t="s">
        <v>3207</v>
      </c>
      <c r="L2688" s="4"/>
      <c r="M2688" s="3"/>
    </row>
    <row r="2689" spans="1:13" x14ac:dyDescent="0.3">
      <c r="A2689" s="3">
        <v>101</v>
      </c>
      <c r="B2689" s="3">
        <v>101</v>
      </c>
      <c r="C2689" s="4">
        <v>1320.3</v>
      </c>
      <c r="D2689" s="4">
        <v>1319.9960000000001</v>
      </c>
      <c r="E2689" s="4">
        <v>1320.6030000000001</v>
      </c>
      <c r="F2689" s="4"/>
      <c r="G2689" s="4"/>
      <c r="H2689" s="28" t="s">
        <v>4267</v>
      </c>
      <c r="I2689" s="4"/>
      <c r="J2689" s="6">
        <v>0</v>
      </c>
      <c r="K2689" s="29" t="s">
        <v>3207</v>
      </c>
      <c r="L2689" s="4"/>
      <c r="M2689" s="3"/>
    </row>
    <row r="2690" spans="1:13" x14ac:dyDescent="0.3">
      <c r="A2690" s="3">
        <v>101</v>
      </c>
      <c r="B2690" s="3">
        <v>101</v>
      </c>
      <c r="C2690" s="4">
        <v>1320.8689999999999</v>
      </c>
      <c r="D2690" s="4">
        <v>1320.6030000000001</v>
      </c>
      <c r="E2690" s="4">
        <v>1321.135</v>
      </c>
      <c r="F2690" s="4"/>
      <c r="G2690" s="4"/>
      <c r="H2690" s="27" t="s">
        <v>4268</v>
      </c>
      <c r="I2690" s="4"/>
      <c r="J2690" s="6">
        <v>0</v>
      </c>
      <c r="K2690" s="30" t="s">
        <v>3207</v>
      </c>
      <c r="L2690" s="4"/>
      <c r="M2690" s="3"/>
    </row>
    <row r="2691" spans="1:13" x14ac:dyDescent="0.3">
      <c r="A2691" s="3">
        <v>101</v>
      </c>
      <c r="B2691" s="3">
        <v>101</v>
      </c>
      <c r="C2691" s="4">
        <v>1321.241</v>
      </c>
      <c r="D2691" s="4">
        <v>1321.135</v>
      </c>
      <c r="E2691" s="4">
        <v>1321.346</v>
      </c>
      <c r="F2691" s="4"/>
      <c r="G2691" s="4"/>
      <c r="H2691" s="28" t="s">
        <v>4269</v>
      </c>
      <c r="I2691" s="4"/>
      <c r="J2691" s="6">
        <v>0</v>
      </c>
      <c r="K2691" s="29" t="s">
        <v>3207</v>
      </c>
      <c r="L2691" s="4"/>
      <c r="M2691" s="3"/>
    </row>
    <row r="2692" spans="1:13" x14ac:dyDescent="0.3">
      <c r="A2692" s="3">
        <v>101</v>
      </c>
      <c r="B2692" s="3">
        <v>101</v>
      </c>
      <c r="C2692" s="4">
        <v>1321.5160000000001</v>
      </c>
      <c r="D2692" s="4">
        <v>1321.346</v>
      </c>
      <c r="E2692" s="4">
        <v>1321.6849999999999</v>
      </c>
      <c r="F2692" s="4"/>
      <c r="G2692" s="4"/>
      <c r="H2692" s="27" t="s">
        <v>4270</v>
      </c>
      <c r="I2692" s="4"/>
      <c r="J2692" s="6">
        <v>0</v>
      </c>
      <c r="K2692" s="30" t="s">
        <v>3207</v>
      </c>
      <c r="L2692" s="4"/>
      <c r="M2692" s="3"/>
    </row>
    <row r="2693" spans="1:13" x14ac:dyDescent="0.3">
      <c r="A2693" s="3">
        <v>101</v>
      </c>
      <c r="B2693" s="3">
        <v>101</v>
      </c>
      <c r="C2693" s="4">
        <v>1321.7919999999999</v>
      </c>
      <c r="D2693" s="4">
        <v>1321.6849999999999</v>
      </c>
      <c r="E2693" s="4">
        <v>1321.8979999999999</v>
      </c>
      <c r="F2693" s="4"/>
      <c r="G2693" s="4"/>
      <c r="H2693" s="28" t="s">
        <v>4271</v>
      </c>
      <c r="I2693" s="4"/>
      <c r="J2693" s="6">
        <v>0</v>
      </c>
      <c r="K2693" s="29" t="s">
        <v>3207</v>
      </c>
      <c r="L2693" s="4"/>
      <c r="M2693" s="3"/>
    </row>
    <row r="2694" spans="1:13" x14ac:dyDescent="0.3">
      <c r="A2694" s="3">
        <v>101</v>
      </c>
      <c r="B2694" s="3">
        <v>101</v>
      </c>
      <c r="C2694" s="4">
        <v>1322.152</v>
      </c>
      <c r="D2694" s="4">
        <v>1321.8979999999999</v>
      </c>
      <c r="E2694" s="4">
        <v>1322.405</v>
      </c>
      <c r="F2694" s="4"/>
      <c r="G2694" s="4"/>
      <c r="H2694" s="27" t="s">
        <v>4272</v>
      </c>
      <c r="I2694" s="4"/>
      <c r="J2694" s="6">
        <v>0</v>
      </c>
      <c r="K2694" s="30" t="s">
        <v>3207</v>
      </c>
      <c r="L2694" s="4"/>
      <c r="M2694" s="3"/>
    </row>
    <row r="2695" spans="1:13" x14ac:dyDescent="0.3">
      <c r="A2695" s="3">
        <v>101</v>
      </c>
      <c r="B2695" s="3">
        <v>101</v>
      </c>
      <c r="C2695" s="4">
        <v>1322.6030000000001</v>
      </c>
      <c r="D2695" s="4">
        <v>1322.405</v>
      </c>
      <c r="E2695" s="4">
        <v>1322.8</v>
      </c>
      <c r="F2695" s="4"/>
      <c r="G2695" s="4"/>
      <c r="H2695" s="28" t="s">
        <v>4273</v>
      </c>
      <c r="I2695" s="4"/>
      <c r="J2695" s="6">
        <v>0</v>
      </c>
      <c r="K2695" s="29" t="s">
        <v>3207</v>
      </c>
      <c r="L2695" s="4"/>
      <c r="M2695" s="3"/>
    </row>
    <row r="2696" spans="1:13" x14ac:dyDescent="0.3">
      <c r="A2696" s="3">
        <v>101</v>
      </c>
      <c r="B2696" s="3">
        <v>101</v>
      </c>
      <c r="C2696" s="4">
        <v>1322.875</v>
      </c>
      <c r="D2696" s="4">
        <v>1322.8</v>
      </c>
      <c r="E2696" s="4">
        <v>1322.95</v>
      </c>
      <c r="F2696" s="4"/>
      <c r="G2696" s="4"/>
      <c r="H2696" s="27" t="s">
        <v>4274</v>
      </c>
      <c r="I2696" s="4"/>
      <c r="J2696" s="6">
        <v>0</v>
      </c>
      <c r="K2696" s="30" t="s">
        <v>3207</v>
      </c>
      <c r="L2696" s="4"/>
      <c r="M2696" s="3"/>
    </row>
    <row r="2697" spans="1:13" x14ac:dyDescent="0.3">
      <c r="A2697" s="3">
        <v>101</v>
      </c>
      <c r="B2697" s="3">
        <v>101</v>
      </c>
      <c r="C2697" s="4">
        <v>1323.027</v>
      </c>
      <c r="D2697" s="4">
        <v>1322.95</v>
      </c>
      <c r="E2697" s="4">
        <v>1323.1030000000001</v>
      </c>
      <c r="F2697" s="4"/>
      <c r="G2697" s="4"/>
      <c r="H2697" s="28" t="s">
        <v>4275</v>
      </c>
      <c r="I2697" s="4"/>
      <c r="J2697" s="6">
        <v>0</v>
      </c>
      <c r="K2697" s="29" t="s">
        <v>3207</v>
      </c>
      <c r="L2697" s="4"/>
      <c r="M2697" s="3"/>
    </row>
    <row r="2698" spans="1:13" x14ac:dyDescent="0.3">
      <c r="A2698" s="3">
        <v>101</v>
      </c>
      <c r="B2698" s="3">
        <v>101</v>
      </c>
      <c r="C2698" s="4">
        <v>1323.249</v>
      </c>
      <c r="D2698" s="4">
        <v>1323.1030000000001</v>
      </c>
      <c r="E2698" s="4">
        <v>1323.395</v>
      </c>
      <c r="F2698" s="4"/>
      <c r="G2698" s="4"/>
      <c r="H2698" s="27" t="s">
        <v>4276</v>
      </c>
      <c r="I2698" s="4"/>
      <c r="J2698" s="6">
        <v>0</v>
      </c>
      <c r="K2698" s="30" t="s">
        <v>3207</v>
      </c>
      <c r="L2698" s="4"/>
      <c r="M2698" s="3"/>
    </row>
    <row r="2699" spans="1:13" x14ac:dyDescent="0.3">
      <c r="A2699" s="3">
        <v>101</v>
      </c>
      <c r="B2699" s="3">
        <v>101</v>
      </c>
      <c r="C2699" s="4">
        <v>1323.423</v>
      </c>
      <c r="D2699" s="4">
        <v>1323.395</v>
      </c>
      <c r="E2699" s="4">
        <v>1323.45</v>
      </c>
      <c r="F2699" s="4"/>
      <c r="G2699" s="4"/>
      <c r="H2699" s="28" t="s">
        <v>4277</v>
      </c>
      <c r="I2699" s="4"/>
      <c r="J2699" s="6">
        <v>0</v>
      </c>
      <c r="K2699" s="29" t="s">
        <v>3207</v>
      </c>
      <c r="L2699" s="4"/>
      <c r="M2699" s="3"/>
    </row>
    <row r="2700" spans="1:13" x14ac:dyDescent="0.3">
      <c r="A2700" s="3">
        <v>101</v>
      </c>
      <c r="B2700" s="3">
        <v>101</v>
      </c>
      <c r="C2700" s="4">
        <v>1323.548</v>
      </c>
      <c r="D2700" s="4">
        <v>1323.45</v>
      </c>
      <c r="E2700" s="4">
        <v>1323.645</v>
      </c>
      <c r="F2700" s="4"/>
      <c r="G2700" s="4"/>
      <c r="H2700" s="27" t="s">
        <v>4278</v>
      </c>
      <c r="I2700" s="4"/>
      <c r="J2700" s="6">
        <v>0</v>
      </c>
      <c r="K2700" s="30" t="s">
        <v>3207</v>
      </c>
      <c r="L2700" s="4"/>
      <c r="M2700" s="3"/>
    </row>
    <row r="2701" spans="1:13" x14ac:dyDescent="0.3">
      <c r="A2701" s="3">
        <v>101</v>
      </c>
      <c r="B2701" s="3">
        <v>101</v>
      </c>
      <c r="C2701" s="4">
        <v>1323.933</v>
      </c>
      <c r="D2701" s="4">
        <v>1323.645</v>
      </c>
      <c r="E2701" s="4">
        <v>1324.22</v>
      </c>
      <c r="F2701" s="4"/>
      <c r="G2701" s="4"/>
      <c r="H2701" s="28" t="s">
        <v>4279</v>
      </c>
      <c r="I2701" s="4"/>
      <c r="J2701" s="6">
        <v>0</v>
      </c>
      <c r="K2701" s="29" t="s">
        <v>3207</v>
      </c>
      <c r="L2701" s="4"/>
      <c r="M2701" s="3"/>
    </row>
    <row r="2702" spans="1:13" x14ac:dyDescent="0.3">
      <c r="A2702" s="3">
        <v>101</v>
      </c>
      <c r="B2702" s="3">
        <v>101</v>
      </c>
      <c r="C2702" s="4">
        <v>1324.5150000000001</v>
      </c>
      <c r="D2702" s="4">
        <v>1324.22</v>
      </c>
      <c r="E2702" s="4">
        <v>1324.81</v>
      </c>
      <c r="F2702" s="4"/>
      <c r="G2702" s="4"/>
      <c r="H2702" s="27" t="s">
        <v>4280</v>
      </c>
      <c r="I2702" s="4"/>
      <c r="J2702" s="6">
        <v>0</v>
      </c>
      <c r="K2702" s="30" t="s">
        <v>3207</v>
      </c>
      <c r="L2702" s="4"/>
      <c r="M2702" s="3"/>
    </row>
    <row r="2703" spans="1:13" x14ac:dyDescent="0.3">
      <c r="A2703" s="3">
        <v>101</v>
      </c>
      <c r="B2703" s="3">
        <v>101</v>
      </c>
      <c r="C2703" s="4">
        <v>1324.83</v>
      </c>
      <c r="D2703" s="4">
        <v>1324.81</v>
      </c>
      <c r="E2703" s="4">
        <v>1324.85</v>
      </c>
      <c r="F2703" s="4"/>
      <c r="G2703" s="4"/>
      <c r="H2703" s="28" t="s">
        <v>4281</v>
      </c>
      <c r="I2703" s="4"/>
      <c r="J2703" s="6">
        <v>0</v>
      </c>
      <c r="K2703" s="29" t="s">
        <v>3207</v>
      </c>
      <c r="L2703" s="4"/>
      <c r="M2703" s="3"/>
    </row>
    <row r="2704" spans="1:13" x14ac:dyDescent="0.3">
      <c r="A2704" s="3">
        <v>101</v>
      </c>
      <c r="B2704" s="3">
        <v>101</v>
      </c>
      <c r="C2704" s="4">
        <v>1325.35</v>
      </c>
      <c r="D2704" s="4">
        <v>1324.85</v>
      </c>
      <c r="E2704" s="4">
        <v>1325.8489999999999</v>
      </c>
      <c r="F2704" s="4"/>
      <c r="G2704" s="4"/>
      <c r="H2704" s="27" t="s">
        <v>4282</v>
      </c>
      <c r="I2704" s="4"/>
      <c r="J2704" s="6">
        <v>0</v>
      </c>
      <c r="K2704" s="30" t="s">
        <v>3207</v>
      </c>
      <c r="L2704" s="4"/>
      <c r="M2704" s="3"/>
    </row>
    <row r="2705" spans="1:13" x14ac:dyDescent="0.3">
      <c r="A2705" s="3">
        <v>101</v>
      </c>
      <c r="B2705" s="3">
        <v>101</v>
      </c>
      <c r="C2705" s="4">
        <v>1326.1</v>
      </c>
      <c r="D2705" s="4">
        <v>1325.8489999999999</v>
      </c>
      <c r="E2705" s="4">
        <v>1326.35</v>
      </c>
      <c r="F2705" s="4"/>
      <c r="G2705" s="4"/>
      <c r="H2705" s="28" t="s">
        <v>4283</v>
      </c>
      <c r="I2705" s="4"/>
      <c r="J2705" s="6">
        <v>0</v>
      </c>
      <c r="K2705" s="29" t="s">
        <v>3207</v>
      </c>
      <c r="L2705" s="4"/>
      <c r="M2705" s="3"/>
    </row>
    <row r="2706" spans="1:13" x14ac:dyDescent="0.3">
      <c r="A2706" s="3">
        <v>101</v>
      </c>
      <c r="B2706" s="3">
        <v>101</v>
      </c>
      <c r="C2706" s="4">
        <v>1326.6</v>
      </c>
      <c r="D2706" s="4">
        <v>1326.35</v>
      </c>
      <c r="E2706" s="4">
        <v>1326.85</v>
      </c>
      <c r="F2706" s="4"/>
      <c r="G2706" s="4"/>
      <c r="H2706" s="27" t="s">
        <v>4284</v>
      </c>
      <c r="I2706" s="4"/>
      <c r="J2706" s="6">
        <v>0</v>
      </c>
      <c r="K2706" s="30" t="s">
        <v>3207</v>
      </c>
      <c r="L2706" s="4"/>
      <c r="M2706" s="3"/>
    </row>
    <row r="2707" spans="1:13" x14ac:dyDescent="0.3">
      <c r="A2707" s="3">
        <v>101</v>
      </c>
      <c r="B2707" s="3">
        <v>101</v>
      </c>
      <c r="C2707" s="4">
        <v>1327.25</v>
      </c>
      <c r="D2707" s="4">
        <v>1326.85</v>
      </c>
      <c r="E2707" s="4">
        <v>1327.65</v>
      </c>
      <c r="F2707" s="4"/>
      <c r="G2707" s="4"/>
      <c r="H2707" s="28" t="s">
        <v>4285</v>
      </c>
      <c r="I2707" s="4"/>
      <c r="J2707" s="6">
        <v>0</v>
      </c>
      <c r="K2707" s="29" t="s">
        <v>3207</v>
      </c>
      <c r="L2707" s="4"/>
      <c r="M2707" s="3"/>
    </row>
    <row r="2708" spans="1:13" x14ac:dyDescent="0.3">
      <c r="A2708" s="3">
        <v>101</v>
      </c>
      <c r="B2708" s="3">
        <v>101</v>
      </c>
      <c r="C2708" s="4">
        <v>1327.925</v>
      </c>
      <c r="D2708" s="4">
        <v>1327.65</v>
      </c>
      <c r="E2708" s="4">
        <v>1328.2</v>
      </c>
      <c r="F2708" s="4"/>
      <c r="G2708" s="4"/>
      <c r="H2708" s="27" t="s">
        <v>4286</v>
      </c>
      <c r="I2708" s="4"/>
      <c r="J2708" s="6">
        <v>0</v>
      </c>
      <c r="K2708" s="30" t="s">
        <v>3207</v>
      </c>
      <c r="L2708" s="4"/>
      <c r="M2708" s="3"/>
    </row>
    <row r="2709" spans="1:13" x14ac:dyDescent="0.3">
      <c r="A2709" s="3">
        <v>101</v>
      </c>
      <c r="B2709" s="3">
        <v>101</v>
      </c>
      <c r="C2709" s="4">
        <v>1328.4</v>
      </c>
      <c r="D2709" s="4">
        <v>1328.2</v>
      </c>
      <c r="E2709" s="4">
        <v>1328.6</v>
      </c>
      <c r="F2709" s="4"/>
      <c r="G2709" s="4"/>
      <c r="H2709" s="28" t="s">
        <v>4287</v>
      </c>
      <c r="I2709" s="4"/>
      <c r="J2709" s="6">
        <v>0</v>
      </c>
      <c r="K2709" s="29" t="s">
        <v>3207</v>
      </c>
      <c r="L2709" s="4"/>
      <c r="M2709" s="3"/>
    </row>
    <row r="2710" spans="1:13" x14ac:dyDescent="0.3">
      <c r="A2710" s="3">
        <v>101</v>
      </c>
      <c r="B2710" s="3">
        <v>101</v>
      </c>
      <c r="C2710" s="4">
        <v>1328.809</v>
      </c>
      <c r="D2710" s="4">
        <v>1328.6</v>
      </c>
      <c r="E2710" s="4">
        <v>1329.018</v>
      </c>
      <c r="F2710" s="4"/>
      <c r="G2710" s="4"/>
      <c r="H2710" s="27" t="s">
        <v>4288</v>
      </c>
      <c r="I2710" s="4"/>
      <c r="J2710" s="6">
        <v>0</v>
      </c>
      <c r="K2710" s="30" t="s">
        <v>3207</v>
      </c>
      <c r="L2710" s="4"/>
      <c r="M2710" s="3"/>
    </row>
    <row r="2711" spans="1:13" x14ac:dyDescent="0.3">
      <c r="A2711" s="3">
        <v>101</v>
      </c>
      <c r="B2711" s="3">
        <v>101</v>
      </c>
      <c r="C2711" s="4">
        <v>1329.4690000000001</v>
      </c>
      <c r="D2711" s="4">
        <v>1329.018</v>
      </c>
      <c r="E2711" s="4">
        <v>1329.92</v>
      </c>
      <c r="F2711" s="4"/>
      <c r="G2711" s="4"/>
      <c r="H2711" s="28" t="s">
        <v>4289</v>
      </c>
      <c r="I2711" s="4"/>
      <c r="J2711" s="6">
        <v>0</v>
      </c>
      <c r="K2711" s="29" t="s">
        <v>3207</v>
      </c>
      <c r="L2711" s="4"/>
      <c r="M2711" s="3"/>
    </row>
    <row r="2712" spans="1:13" x14ac:dyDescent="0.3">
      <c r="A2712" s="3">
        <v>101</v>
      </c>
      <c r="B2712" s="3">
        <v>101</v>
      </c>
      <c r="C2712" s="4">
        <v>1330.1020000000001</v>
      </c>
      <c r="D2712" s="4">
        <v>1329.92</v>
      </c>
      <c r="E2712" s="4">
        <v>1330.2829999999999</v>
      </c>
      <c r="F2712" s="4"/>
      <c r="G2712" s="4"/>
      <c r="H2712" s="27" t="s">
        <v>4290</v>
      </c>
      <c r="I2712" s="4"/>
      <c r="J2712" s="6">
        <v>0</v>
      </c>
      <c r="K2712" s="30" t="s">
        <v>3207</v>
      </c>
      <c r="L2712" s="4"/>
      <c r="M2712" s="3"/>
    </row>
    <row r="2713" spans="1:13" x14ac:dyDescent="0.3">
      <c r="A2713" s="3">
        <v>101</v>
      </c>
      <c r="B2713" s="3">
        <v>101</v>
      </c>
      <c r="C2713" s="4">
        <v>1330.6990000000001</v>
      </c>
      <c r="D2713" s="4">
        <v>1330.2829999999999</v>
      </c>
      <c r="E2713" s="4">
        <v>1331.115</v>
      </c>
      <c r="F2713" s="4"/>
      <c r="G2713" s="4"/>
      <c r="H2713" s="28" t="s">
        <v>4291</v>
      </c>
      <c r="I2713" s="4"/>
      <c r="J2713" s="6">
        <v>0</v>
      </c>
      <c r="K2713" s="29" t="s">
        <v>3207</v>
      </c>
      <c r="L2713" s="4"/>
      <c r="M2713" s="3"/>
    </row>
    <row r="2714" spans="1:13" x14ac:dyDescent="0.3">
      <c r="A2714" s="3">
        <v>101</v>
      </c>
      <c r="B2714" s="3">
        <v>101</v>
      </c>
      <c r="C2714" s="4">
        <v>1331.242</v>
      </c>
      <c r="D2714" s="4">
        <v>1331.115</v>
      </c>
      <c r="E2714" s="4">
        <v>1331.3679999999999</v>
      </c>
      <c r="F2714" s="4"/>
      <c r="G2714" s="4"/>
      <c r="H2714" s="27" t="s">
        <v>4292</v>
      </c>
      <c r="I2714" s="4"/>
      <c r="J2714" s="6">
        <v>0</v>
      </c>
      <c r="K2714" s="30" t="s">
        <v>3207</v>
      </c>
      <c r="L2714" s="4"/>
      <c r="M2714" s="3"/>
    </row>
    <row r="2715" spans="1:13" x14ac:dyDescent="0.3">
      <c r="A2715" s="3">
        <v>101</v>
      </c>
      <c r="B2715" s="3">
        <v>101</v>
      </c>
      <c r="C2715" s="4">
        <v>1331.664</v>
      </c>
      <c r="D2715" s="4">
        <v>1331.3679999999999</v>
      </c>
      <c r="E2715" s="4">
        <v>1331.96</v>
      </c>
      <c r="F2715" s="4"/>
      <c r="G2715" s="4"/>
      <c r="H2715" s="28" t="s">
        <v>4293</v>
      </c>
      <c r="I2715" s="4"/>
      <c r="J2715" s="6">
        <v>0</v>
      </c>
      <c r="K2715" s="29" t="s">
        <v>3207</v>
      </c>
      <c r="L2715" s="4"/>
      <c r="M2715" s="3"/>
    </row>
    <row r="2716" spans="1:13" x14ac:dyDescent="0.3">
      <c r="A2716" s="3">
        <v>101</v>
      </c>
      <c r="B2716" s="3">
        <v>101</v>
      </c>
      <c r="C2716" s="4">
        <v>1332.1120000000001</v>
      </c>
      <c r="D2716" s="4">
        <v>1331.96</v>
      </c>
      <c r="E2716" s="4">
        <v>1332.2639999999999</v>
      </c>
      <c r="F2716" s="4"/>
      <c r="G2716" s="4"/>
      <c r="H2716" s="27" t="s">
        <v>4294</v>
      </c>
      <c r="I2716" s="4"/>
      <c r="J2716" s="6">
        <v>0</v>
      </c>
      <c r="K2716" s="30" t="s">
        <v>3207</v>
      </c>
      <c r="L2716" s="4"/>
      <c r="M2716" s="3"/>
    </row>
    <row r="2717" spans="1:13" x14ac:dyDescent="0.3">
      <c r="A2717" s="3">
        <v>101</v>
      </c>
      <c r="B2717" s="3">
        <v>101</v>
      </c>
      <c r="C2717" s="4">
        <v>1332.3309999999999</v>
      </c>
      <c r="D2717" s="4">
        <v>1332.2639999999999</v>
      </c>
      <c r="E2717" s="4">
        <v>1332.3969999999999</v>
      </c>
      <c r="F2717" s="4"/>
      <c r="G2717" s="4"/>
      <c r="H2717" s="28" t="s">
        <v>4295</v>
      </c>
      <c r="I2717" s="4"/>
      <c r="J2717" s="6">
        <v>0</v>
      </c>
      <c r="K2717" s="29" t="s">
        <v>3207</v>
      </c>
      <c r="L2717" s="4"/>
      <c r="M2717" s="3"/>
    </row>
    <row r="2718" spans="1:13" x14ac:dyDescent="0.3">
      <c r="A2718" s="3">
        <v>101</v>
      </c>
      <c r="B2718" s="3">
        <v>101</v>
      </c>
      <c r="C2718" s="4">
        <v>1332.7670000000001</v>
      </c>
      <c r="D2718" s="4">
        <v>1332.3969999999999</v>
      </c>
      <c r="E2718" s="4">
        <v>1333.136</v>
      </c>
      <c r="F2718" s="4"/>
      <c r="G2718" s="4"/>
      <c r="H2718" s="27" t="s">
        <v>4296</v>
      </c>
      <c r="I2718" s="4"/>
      <c r="J2718" s="6">
        <v>0</v>
      </c>
      <c r="K2718" s="30" t="s">
        <v>3207</v>
      </c>
      <c r="L2718" s="4"/>
      <c r="M2718" s="3"/>
    </row>
    <row r="2719" spans="1:13" x14ac:dyDescent="0.3">
      <c r="A2719" s="3">
        <v>101</v>
      </c>
      <c r="B2719" s="3">
        <v>101</v>
      </c>
      <c r="C2719" s="4">
        <v>1333.6030000000001</v>
      </c>
      <c r="D2719" s="4">
        <v>1333.136</v>
      </c>
      <c r="E2719" s="4">
        <v>1334.07</v>
      </c>
      <c r="F2719" s="4"/>
      <c r="G2719" s="4"/>
      <c r="H2719" s="28" t="s">
        <v>4297</v>
      </c>
      <c r="I2719" s="4"/>
      <c r="J2719" s="6">
        <v>0</v>
      </c>
      <c r="K2719" s="29" t="s">
        <v>3207</v>
      </c>
      <c r="L2719" s="4"/>
      <c r="M2719" s="3"/>
    </row>
    <row r="2720" spans="1:13" x14ac:dyDescent="0.3">
      <c r="A2720" s="3">
        <v>101</v>
      </c>
      <c r="B2720" s="3">
        <v>101</v>
      </c>
      <c r="C2720" s="4">
        <v>1334.3140000000001</v>
      </c>
      <c r="D2720" s="4">
        <v>1334.07</v>
      </c>
      <c r="E2720" s="4">
        <v>1334.557</v>
      </c>
      <c r="F2720" s="4"/>
      <c r="G2720" s="4"/>
      <c r="H2720" s="27" t="s">
        <v>4298</v>
      </c>
      <c r="I2720" s="4"/>
      <c r="J2720" s="6">
        <v>0</v>
      </c>
      <c r="K2720" s="30" t="s">
        <v>3207</v>
      </c>
      <c r="L2720" s="4"/>
      <c r="M2720" s="3"/>
    </row>
    <row r="2721" spans="1:13" x14ac:dyDescent="0.3">
      <c r="A2721" s="3">
        <v>101</v>
      </c>
      <c r="B2721" s="3">
        <v>101</v>
      </c>
      <c r="C2721" s="4">
        <v>1335.7190000000001</v>
      </c>
      <c r="D2721" s="4">
        <v>1334.557</v>
      </c>
      <c r="E2721" s="4">
        <v>1336.88</v>
      </c>
      <c r="F2721" s="4"/>
      <c r="G2721" s="4"/>
      <c r="H2721" s="28" t="s">
        <v>4299</v>
      </c>
      <c r="I2721" s="4"/>
      <c r="J2721" s="6">
        <v>0</v>
      </c>
      <c r="K2721" s="29" t="s">
        <v>3207</v>
      </c>
      <c r="L2721" s="4"/>
      <c r="M2721" s="3"/>
    </row>
    <row r="2722" spans="1:13" x14ac:dyDescent="0.3">
      <c r="A2722" s="3">
        <v>101</v>
      </c>
      <c r="B2722" s="3">
        <v>101</v>
      </c>
      <c r="C2722" s="4">
        <v>1337.47</v>
      </c>
      <c r="D2722" s="4">
        <v>1336.88</v>
      </c>
      <c r="E2722" s="4">
        <v>1338.059</v>
      </c>
      <c r="F2722" s="4"/>
      <c r="G2722" s="4"/>
      <c r="H2722" s="27" t="s">
        <v>4300</v>
      </c>
      <c r="I2722" s="4"/>
      <c r="J2722" s="6">
        <v>0</v>
      </c>
      <c r="K2722" s="30" t="s">
        <v>3207</v>
      </c>
      <c r="L2722" s="4"/>
      <c r="M2722" s="3"/>
    </row>
    <row r="2723" spans="1:13" x14ac:dyDescent="0.3">
      <c r="A2723" s="3">
        <v>101</v>
      </c>
      <c r="B2723" s="3">
        <v>101</v>
      </c>
      <c r="C2723" s="4">
        <v>1338.2760000000001</v>
      </c>
      <c r="D2723" s="4">
        <v>1338.059</v>
      </c>
      <c r="E2723" s="4">
        <v>1338.4929999999999</v>
      </c>
      <c r="F2723" s="4"/>
      <c r="G2723" s="4"/>
      <c r="H2723" s="28" t="s">
        <v>4301</v>
      </c>
      <c r="I2723" s="4"/>
      <c r="J2723" s="6">
        <v>0</v>
      </c>
      <c r="K2723" s="29" t="s">
        <v>3207</v>
      </c>
      <c r="L2723" s="4"/>
      <c r="M2723" s="3"/>
    </row>
    <row r="2724" spans="1:13" x14ac:dyDescent="0.3">
      <c r="A2724" s="3">
        <v>101</v>
      </c>
      <c r="B2724" s="3">
        <v>101</v>
      </c>
      <c r="C2724" s="4">
        <v>1338.9069999999999</v>
      </c>
      <c r="D2724" s="4">
        <v>1338.4929999999999</v>
      </c>
      <c r="E2724" s="4">
        <v>1339.3209999999999</v>
      </c>
      <c r="F2724" s="4"/>
      <c r="G2724" s="4"/>
      <c r="H2724" s="27" t="s">
        <v>4302</v>
      </c>
      <c r="I2724" s="4"/>
      <c r="J2724" s="6">
        <v>0</v>
      </c>
      <c r="K2724" s="30" t="s">
        <v>3207</v>
      </c>
      <c r="L2724" s="4"/>
      <c r="M2724" s="3"/>
    </row>
    <row r="2725" spans="1:13" x14ac:dyDescent="0.3">
      <c r="A2725" s="3">
        <v>101</v>
      </c>
      <c r="B2725" s="3">
        <v>101</v>
      </c>
      <c r="C2725" s="4">
        <v>1339.6410000000001</v>
      </c>
      <c r="D2725" s="4">
        <v>1339.3209999999999</v>
      </c>
      <c r="E2725" s="4">
        <v>1339.96</v>
      </c>
      <c r="F2725" s="4"/>
      <c r="G2725" s="4"/>
      <c r="H2725" s="28" t="s">
        <v>4303</v>
      </c>
      <c r="I2725" s="4"/>
      <c r="J2725" s="6">
        <v>0</v>
      </c>
      <c r="K2725" s="29" t="s">
        <v>3207</v>
      </c>
      <c r="L2725" s="4"/>
      <c r="M2725" s="3"/>
    </row>
    <row r="2726" spans="1:13" x14ac:dyDescent="0.3">
      <c r="A2726" s="3">
        <v>101</v>
      </c>
      <c r="B2726" s="3">
        <v>101</v>
      </c>
      <c r="C2726" s="4">
        <v>1340.23</v>
      </c>
      <c r="D2726" s="4">
        <v>1339.96</v>
      </c>
      <c r="E2726" s="4">
        <v>1340.5</v>
      </c>
      <c r="F2726" s="4"/>
      <c r="G2726" s="4"/>
      <c r="H2726" s="27" t="s">
        <v>4304</v>
      </c>
      <c r="I2726" s="4"/>
      <c r="J2726" s="6">
        <v>0</v>
      </c>
      <c r="K2726" s="30" t="s">
        <v>3207</v>
      </c>
      <c r="L2726" s="4"/>
      <c r="M2726" s="3"/>
    </row>
    <row r="2727" spans="1:13" x14ac:dyDescent="0.3">
      <c r="A2727" s="3">
        <v>101</v>
      </c>
      <c r="B2727" s="3">
        <v>101</v>
      </c>
      <c r="C2727" s="4">
        <v>1340.845</v>
      </c>
      <c r="D2727" s="4">
        <v>1340.5</v>
      </c>
      <c r="E2727" s="4">
        <v>1341.19</v>
      </c>
      <c r="F2727" s="4"/>
      <c r="G2727" s="4"/>
      <c r="H2727" s="28" t="s">
        <v>4305</v>
      </c>
      <c r="I2727" s="4"/>
      <c r="J2727" s="6">
        <v>0</v>
      </c>
      <c r="K2727" s="29" t="s">
        <v>3207</v>
      </c>
      <c r="L2727" s="4"/>
      <c r="M2727" s="3"/>
    </row>
    <row r="2728" spans="1:13" x14ac:dyDescent="0.3">
      <c r="A2728" s="3">
        <v>101</v>
      </c>
      <c r="B2728" s="3">
        <v>101</v>
      </c>
      <c r="C2728" s="4">
        <v>1341.375</v>
      </c>
      <c r="D2728" s="4">
        <v>1341.19</v>
      </c>
      <c r="E2728" s="4">
        <v>1341.56</v>
      </c>
      <c r="F2728" s="4"/>
      <c r="G2728" s="4"/>
      <c r="H2728" s="27" t="s">
        <v>4306</v>
      </c>
      <c r="I2728" s="4"/>
      <c r="J2728" s="6">
        <v>0</v>
      </c>
      <c r="K2728" s="30" t="s">
        <v>3207</v>
      </c>
      <c r="L2728" s="4"/>
      <c r="M2728" s="3"/>
    </row>
    <row r="2729" spans="1:13" x14ac:dyDescent="0.3">
      <c r="A2729" s="3">
        <v>101</v>
      </c>
      <c r="B2729" s="3">
        <v>101</v>
      </c>
      <c r="C2729" s="4">
        <v>1341.7049999999999</v>
      </c>
      <c r="D2729" s="4">
        <v>1341.56</v>
      </c>
      <c r="E2729" s="4">
        <v>1341.85</v>
      </c>
      <c r="F2729" s="4"/>
      <c r="G2729" s="4"/>
      <c r="H2729" s="28" t="s">
        <v>4307</v>
      </c>
      <c r="I2729" s="4"/>
      <c r="J2729" s="6">
        <v>0</v>
      </c>
      <c r="K2729" s="29" t="s">
        <v>3207</v>
      </c>
      <c r="L2729" s="4"/>
      <c r="M2729" s="3"/>
    </row>
    <row r="2730" spans="1:13" x14ac:dyDescent="0.3">
      <c r="A2730" s="3">
        <v>101</v>
      </c>
      <c r="B2730" s="3">
        <v>101</v>
      </c>
      <c r="C2730" s="4">
        <v>1342.05</v>
      </c>
      <c r="D2730" s="4">
        <v>1341.85</v>
      </c>
      <c r="E2730" s="4">
        <v>1342.25</v>
      </c>
      <c r="F2730" s="4"/>
      <c r="G2730" s="4"/>
      <c r="H2730" s="27" t="s">
        <v>4308</v>
      </c>
      <c r="I2730" s="4"/>
      <c r="J2730" s="6">
        <v>0</v>
      </c>
      <c r="K2730" s="30" t="s">
        <v>3207</v>
      </c>
      <c r="L2730" s="4"/>
      <c r="M2730" s="3"/>
    </row>
    <row r="2731" spans="1:13" x14ac:dyDescent="0.3">
      <c r="A2731" s="3">
        <v>101</v>
      </c>
      <c r="B2731" s="3">
        <v>101</v>
      </c>
      <c r="C2731" s="4">
        <v>1342.425</v>
      </c>
      <c r="D2731" s="4">
        <v>1342.25</v>
      </c>
      <c r="E2731" s="4">
        <v>1342.6</v>
      </c>
      <c r="F2731" s="4"/>
      <c r="G2731" s="4"/>
      <c r="H2731" s="28" t="s">
        <v>4309</v>
      </c>
      <c r="I2731" s="4"/>
      <c r="J2731" s="6">
        <v>0</v>
      </c>
      <c r="K2731" s="29" t="s">
        <v>3207</v>
      </c>
      <c r="L2731" s="4"/>
      <c r="M2731" s="3"/>
    </row>
    <row r="2732" spans="1:13" x14ac:dyDescent="0.3">
      <c r="A2732" s="3">
        <v>101</v>
      </c>
      <c r="B2732" s="3">
        <v>101</v>
      </c>
      <c r="C2732" s="4">
        <v>1342.95</v>
      </c>
      <c r="D2732" s="4">
        <v>1342.6</v>
      </c>
      <c r="E2732" s="4">
        <v>1343.3</v>
      </c>
      <c r="F2732" s="4"/>
      <c r="G2732" s="4"/>
      <c r="H2732" s="27" t="s">
        <v>4310</v>
      </c>
      <c r="I2732" s="4"/>
      <c r="J2732" s="6">
        <v>0</v>
      </c>
      <c r="K2732" s="30" t="s">
        <v>3207</v>
      </c>
      <c r="L2732" s="4"/>
      <c r="M2732" s="3"/>
    </row>
    <row r="2733" spans="1:13" x14ac:dyDescent="0.3">
      <c r="A2733" s="3">
        <v>101</v>
      </c>
      <c r="B2733" s="3">
        <v>101</v>
      </c>
      <c r="C2733" s="4">
        <v>1343.35</v>
      </c>
      <c r="D2733" s="4">
        <v>1343.3</v>
      </c>
      <c r="E2733" s="4">
        <v>1343.4</v>
      </c>
      <c r="F2733" s="4"/>
      <c r="G2733" s="4"/>
      <c r="H2733" s="28" t="s">
        <v>4311</v>
      </c>
      <c r="I2733" s="4"/>
      <c r="J2733" s="6">
        <v>0</v>
      </c>
      <c r="K2733" s="29" t="s">
        <v>3207</v>
      </c>
      <c r="L2733" s="4"/>
      <c r="M2733" s="3"/>
    </row>
    <row r="2734" spans="1:13" x14ac:dyDescent="0.3">
      <c r="A2734" s="3">
        <v>101</v>
      </c>
      <c r="B2734" s="3">
        <v>101</v>
      </c>
      <c r="C2734" s="4">
        <v>1343.85</v>
      </c>
      <c r="D2734" s="4">
        <v>1343.4</v>
      </c>
      <c r="E2734" s="4">
        <v>1344.3</v>
      </c>
      <c r="F2734" s="4"/>
      <c r="G2734" s="4"/>
      <c r="H2734" s="27" t="s">
        <v>4312</v>
      </c>
      <c r="I2734" s="4"/>
      <c r="J2734" s="6">
        <v>0</v>
      </c>
      <c r="K2734" s="30" t="s">
        <v>3207</v>
      </c>
      <c r="L2734" s="4"/>
      <c r="M2734" s="3"/>
    </row>
    <row r="2735" spans="1:13" x14ac:dyDescent="0.3">
      <c r="A2735" s="3">
        <v>101</v>
      </c>
      <c r="B2735" s="3">
        <v>101</v>
      </c>
      <c r="C2735" s="4">
        <v>1344.8910000000001</v>
      </c>
      <c r="D2735" s="4">
        <v>1344.3</v>
      </c>
      <c r="E2735" s="4">
        <v>1345.481</v>
      </c>
      <c r="F2735" s="4"/>
      <c r="G2735" s="4"/>
      <c r="H2735" s="28" t="s">
        <v>4313</v>
      </c>
      <c r="I2735" s="4"/>
      <c r="J2735" s="6">
        <v>0</v>
      </c>
      <c r="K2735" s="29" t="s">
        <v>3207</v>
      </c>
      <c r="L2735" s="4"/>
      <c r="M2735" s="3"/>
    </row>
    <row r="2736" spans="1:13" x14ac:dyDescent="0.3">
      <c r="A2736" s="3">
        <v>101</v>
      </c>
      <c r="B2736" s="3">
        <v>101</v>
      </c>
      <c r="C2736" s="4">
        <v>1345.556</v>
      </c>
      <c r="D2736" s="4">
        <v>1345.481</v>
      </c>
      <c r="E2736" s="4">
        <v>1345.63</v>
      </c>
      <c r="F2736" s="4"/>
      <c r="G2736" s="4"/>
      <c r="H2736" s="27" t="s">
        <v>4314</v>
      </c>
      <c r="I2736" s="4"/>
      <c r="J2736" s="6">
        <v>0</v>
      </c>
      <c r="K2736" s="30" t="s">
        <v>3207</v>
      </c>
      <c r="L2736" s="4"/>
      <c r="M2736" s="3"/>
    </row>
    <row r="2737" spans="1:13" x14ac:dyDescent="0.3">
      <c r="A2737" s="3">
        <v>101</v>
      </c>
      <c r="B2737" s="3">
        <v>101</v>
      </c>
      <c r="C2737" s="4">
        <v>1346.096</v>
      </c>
      <c r="D2737" s="4">
        <v>1345.63</v>
      </c>
      <c r="E2737" s="4">
        <v>1346.5609999999999</v>
      </c>
      <c r="F2737" s="4"/>
      <c r="G2737" s="4"/>
      <c r="H2737" s="28" t="s">
        <v>4315</v>
      </c>
      <c r="I2737" s="4"/>
      <c r="J2737" s="6">
        <v>0</v>
      </c>
      <c r="K2737" s="29" t="s">
        <v>3207</v>
      </c>
      <c r="L2737" s="4"/>
      <c r="M2737" s="3"/>
    </row>
    <row r="2738" spans="1:13" x14ac:dyDescent="0.3">
      <c r="A2738" s="3">
        <v>101</v>
      </c>
      <c r="B2738" s="3">
        <v>101</v>
      </c>
      <c r="C2738" s="4">
        <v>1346.607</v>
      </c>
      <c r="D2738" s="4">
        <v>1346.5609999999999</v>
      </c>
      <c r="E2738" s="4">
        <v>1346.653</v>
      </c>
      <c r="F2738" s="4"/>
      <c r="G2738" s="4"/>
      <c r="H2738" s="27" t="s">
        <v>4316</v>
      </c>
      <c r="I2738" s="4"/>
      <c r="J2738" s="6">
        <v>0</v>
      </c>
      <c r="K2738" s="30" t="s">
        <v>3207</v>
      </c>
      <c r="L2738" s="4"/>
      <c r="M2738" s="3"/>
    </row>
    <row r="2739" spans="1:13" x14ac:dyDescent="0.3">
      <c r="A2739" s="3">
        <v>101</v>
      </c>
      <c r="B2739" s="3">
        <v>101</v>
      </c>
      <c r="C2739" s="4">
        <v>1346.758</v>
      </c>
      <c r="D2739" s="4">
        <v>1346.653</v>
      </c>
      <c r="E2739" s="4">
        <v>1346.8620000000001</v>
      </c>
      <c r="F2739" s="4"/>
      <c r="G2739" s="4"/>
      <c r="H2739" s="28" t="s">
        <v>4317</v>
      </c>
      <c r="I2739" s="4"/>
      <c r="J2739" s="6">
        <v>0</v>
      </c>
      <c r="K2739" s="29" t="s">
        <v>3207</v>
      </c>
      <c r="L2739" s="4"/>
      <c r="M2739" s="3"/>
    </row>
    <row r="2740" spans="1:13" x14ac:dyDescent="0.3">
      <c r="A2740" s="3">
        <v>101</v>
      </c>
      <c r="B2740" s="3">
        <v>101</v>
      </c>
      <c r="C2740" s="4">
        <v>1347.0119999999999</v>
      </c>
      <c r="D2740" s="4">
        <v>1346.8620000000001</v>
      </c>
      <c r="E2740" s="4">
        <v>1347.1610000000001</v>
      </c>
      <c r="F2740" s="4"/>
      <c r="G2740" s="4"/>
      <c r="H2740" s="27" t="s">
        <v>4318</v>
      </c>
      <c r="I2740" s="4"/>
      <c r="J2740" s="6">
        <v>0</v>
      </c>
      <c r="K2740" s="30" t="s">
        <v>3207</v>
      </c>
      <c r="L2740" s="4"/>
      <c r="M2740" s="3"/>
    </row>
    <row r="2741" spans="1:13" x14ac:dyDescent="0.3">
      <c r="A2741" s="3">
        <v>101</v>
      </c>
      <c r="B2741" s="3">
        <v>101</v>
      </c>
      <c r="C2741" s="4">
        <v>1347.346</v>
      </c>
      <c r="D2741" s="4">
        <v>1347.1610000000001</v>
      </c>
      <c r="E2741" s="4">
        <v>1347.53</v>
      </c>
      <c r="F2741" s="4"/>
      <c r="G2741" s="4"/>
      <c r="H2741" s="28" t="s">
        <v>4319</v>
      </c>
      <c r="I2741" s="4"/>
      <c r="J2741" s="6">
        <v>0</v>
      </c>
      <c r="K2741" s="29" t="s">
        <v>3207</v>
      </c>
      <c r="L2741" s="4"/>
      <c r="M2741" s="3"/>
    </row>
    <row r="2742" spans="1:13" x14ac:dyDescent="0.3">
      <c r="A2742" s="3">
        <v>101</v>
      </c>
      <c r="B2742" s="3">
        <v>101</v>
      </c>
      <c r="C2742" s="4">
        <v>1347.616</v>
      </c>
      <c r="D2742" s="4">
        <v>1347.53</v>
      </c>
      <c r="E2742" s="4">
        <v>1347.701</v>
      </c>
      <c r="F2742" s="4"/>
      <c r="G2742" s="4"/>
      <c r="H2742" s="27" t="s">
        <v>4320</v>
      </c>
      <c r="I2742" s="4"/>
      <c r="J2742" s="6">
        <v>0</v>
      </c>
      <c r="K2742" s="30" t="s">
        <v>3207</v>
      </c>
      <c r="L2742" s="4"/>
      <c r="M2742" s="3"/>
    </row>
    <row r="2743" spans="1:13" x14ac:dyDescent="0.3">
      <c r="A2743" s="3">
        <v>101</v>
      </c>
      <c r="B2743" s="3">
        <v>101</v>
      </c>
      <c r="C2743" s="4">
        <v>1348.3630000000001</v>
      </c>
      <c r="D2743" s="4">
        <v>1347.701</v>
      </c>
      <c r="E2743" s="4">
        <v>1349.0239999999999</v>
      </c>
      <c r="F2743" s="4"/>
      <c r="G2743" s="4"/>
      <c r="H2743" s="28" t="s">
        <v>4321</v>
      </c>
      <c r="I2743" s="4"/>
      <c r="J2743" s="6">
        <v>0</v>
      </c>
      <c r="K2743" s="29" t="s">
        <v>3207</v>
      </c>
      <c r="L2743" s="4"/>
      <c r="M2743" s="3"/>
    </row>
    <row r="2744" spans="1:13" x14ac:dyDescent="0.3">
      <c r="A2744" s="3">
        <v>101</v>
      </c>
      <c r="B2744" s="3">
        <v>101</v>
      </c>
      <c r="C2744" s="4">
        <v>1349.278</v>
      </c>
      <c r="D2744" s="4">
        <v>1349.0239999999999</v>
      </c>
      <c r="E2744" s="4">
        <v>1349.5309999999999</v>
      </c>
      <c r="F2744" s="4"/>
      <c r="G2744" s="4"/>
      <c r="H2744" s="27" t="s">
        <v>4322</v>
      </c>
      <c r="I2744" s="4"/>
      <c r="J2744" s="6">
        <v>0</v>
      </c>
      <c r="K2744" s="30" t="s">
        <v>3207</v>
      </c>
      <c r="L2744" s="4"/>
      <c r="M2744" s="3"/>
    </row>
    <row r="2745" spans="1:13" x14ac:dyDescent="0.3">
      <c r="A2745" s="3">
        <v>101</v>
      </c>
      <c r="B2745" s="3">
        <v>101</v>
      </c>
      <c r="C2745" s="4">
        <v>1349.8910000000001</v>
      </c>
      <c r="D2745" s="4">
        <v>1349.5309999999999</v>
      </c>
      <c r="E2745" s="4">
        <v>1350.25</v>
      </c>
      <c r="F2745" s="4"/>
      <c r="G2745" s="4"/>
      <c r="H2745" s="28" t="s">
        <v>4323</v>
      </c>
      <c r="I2745" s="4"/>
      <c r="J2745" s="6">
        <v>0</v>
      </c>
      <c r="K2745" s="29" t="s">
        <v>3207</v>
      </c>
      <c r="L2745" s="4"/>
      <c r="M2745" s="3"/>
    </row>
    <row r="2746" spans="1:13" x14ac:dyDescent="0.3">
      <c r="A2746" s="3">
        <v>101</v>
      </c>
      <c r="B2746" s="3">
        <v>101</v>
      </c>
      <c r="C2746" s="4">
        <v>1350.65</v>
      </c>
      <c r="D2746" s="4">
        <v>1350.25</v>
      </c>
      <c r="E2746" s="4">
        <v>1351.05</v>
      </c>
      <c r="F2746" s="4"/>
      <c r="G2746" s="4"/>
      <c r="H2746" s="27" t="s">
        <v>4324</v>
      </c>
      <c r="I2746" s="4"/>
      <c r="J2746" s="6">
        <v>0</v>
      </c>
      <c r="K2746" s="30" t="s">
        <v>3207</v>
      </c>
      <c r="L2746" s="4"/>
      <c r="M2746" s="3"/>
    </row>
    <row r="2747" spans="1:13" x14ac:dyDescent="0.3">
      <c r="A2747" s="3">
        <v>101</v>
      </c>
      <c r="B2747" s="3">
        <v>101</v>
      </c>
      <c r="C2747" s="4">
        <v>1351.5050000000001</v>
      </c>
      <c r="D2747" s="4">
        <v>1351.05</v>
      </c>
      <c r="E2747" s="4">
        <v>1351.96</v>
      </c>
      <c r="F2747" s="4"/>
      <c r="G2747" s="4"/>
      <c r="H2747" s="28" t="s">
        <v>4325</v>
      </c>
      <c r="I2747" s="4"/>
      <c r="J2747" s="6">
        <v>0</v>
      </c>
      <c r="K2747" s="29" t="s">
        <v>3207</v>
      </c>
      <c r="L2747" s="4"/>
      <c r="M2747" s="3"/>
    </row>
    <row r="2748" spans="1:13" x14ac:dyDescent="0.3">
      <c r="A2748" s="3">
        <v>101</v>
      </c>
      <c r="B2748" s="3">
        <v>101</v>
      </c>
      <c r="C2748" s="4">
        <v>1352.0609999999999</v>
      </c>
      <c r="D2748" s="4">
        <v>1351.96</v>
      </c>
      <c r="E2748" s="4">
        <v>1352.162</v>
      </c>
      <c r="F2748" s="4"/>
      <c r="G2748" s="4"/>
      <c r="H2748" s="27" t="s">
        <v>4326</v>
      </c>
      <c r="I2748" s="4"/>
      <c r="J2748" s="6">
        <v>0</v>
      </c>
      <c r="K2748" s="30" t="s">
        <v>3207</v>
      </c>
      <c r="L2748" s="4"/>
      <c r="M2748" s="3"/>
    </row>
    <row r="2749" spans="1:13" x14ac:dyDescent="0.3">
      <c r="A2749" s="3">
        <v>101</v>
      </c>
      <c r="B2749" s="3">
        <v>101</v>
      </c>
      <c r="C2749" s="4">
        <v>1352.6379999999999</v>
      </c>
      <c r="D2749" s="4">
        <v>1352.162</v>
      </c>
      <c r="E2749" s="4">
        <v>1353.114</v>
      </c>
      <c r="F2749" s="4"/>
      <c r="G2749" s="4"/>
      <c r="H2749" s="28" t="s">
        <v>4327</v>
      </c>
      <c r="I2749" s="4"/>
      <c r="J2749" s="6">
        <v>0</v>
      </c>
      <c r="K2749" s="29" t="s">
        <v>3207</v>
      </c>
      <c r="L2749" s="4"/>
      <c r="M2749" s="3"/>
    </row>
    <row r="2750" spans="1:13" x14ac:dyDescent="0.3">
      <c r="A2750" s="3">
        <v>101</v>
      </c>
      <c r="B2750" s="3">
        <v>101</v>
      </c>
      <c r="C2750" s="4">
        <v>1353.6120000000001</v>
      </c>
      <c r="D2750" s="4">
        <v>1353.114</v>
      </c>
      <c r="E2750" s="4">
        <v>1354.1089999999999</v>
      </c>
      <c r="F2750" s="4"/>
      <c r="G2750" s="4"/>
      <c r="H2750" s="27" t="s">
        <v>4328</v>
      </c>
      <c r="I2750" s="4"/>
      <c r="J2750" s="6">
        <v>0</v>
      </c>
      <c r="K2750" s="30" t="s">
        <v>3207</v>
      </c>
      <c r="L2750" s="4"/>
      <c r="M2750" s="3"/>
    </row>
    <row r="2751" spans="1:13" x14ac:dyDescent="0.3">
      <c r="A2751" s="3">
        <v>101</v>
      </c>
      <c r="B2751" s="3">
        <v>101</v>
      </c>
      <c r="C2751" s="4">
        <v>1354.366</v>
      </c>
      <c r="D2751" s="4">
        <v>1354.1089999999999</v>
      </c>
      <c r="E2751" s="4">
        <v>1354.623</v>
      </c>
      <c r="F2751" s="4"/>
      <c r="G2751" s="4"/>
      <c r="H2751" s="28" t="s">
        <v>4329</v>
      </c>
      <c r="I2751" s="4"/>
      <c r="J2751" s="6">
        <v>0</v>
      </c>
      <c r="K2751" s="29" t="s">
        <v>3207</v>
      </c>
      <c r="L2751" s="4"/>
      <c r="M2751" s="3"/>
    </row>
    <row r="2752" spans="1:13" x14ac:dyDescent="0.3">
      <c r="A2752" s="3">
        <v>101</v>
      </c>
      <c r="B2752" s="3">
        <v>101</v>
      </c>
      <c r="C2752" s="4">
        <v>1354.914</v>
      </c>
      <c r="D2752" s="4">
        <v>1354.623</v>
      </c>
      <c r="E2752" s="4">
        <v>1355.204</v>
      </c>
      <c r="F2752" s="4"/>
      <c r="G2752" s="4"/>
      <c r="H2752" s="27" t="s">
        <v>4330</v>
      </c>
      <c r="I2752" s="4"/>
      <c r="J2752" s="6">
        <v>0</v>
      </c>
      <c r="K2752" s="30" t="s">
        <v>3207</v>
      </c>
      <c r="L2752" s="4"/>
      <c r="M2752" s="3"/>
    </row>
    <row r="2753" spans="1:13" x14ac:dyDescent="0.3">
      <c r="A2753" s="3">
        <v>101</v>
      </c>
      <c r="B2753" s="3">
        <v>101</v>
      </c>
      <c r="C2753" s="4">
        <v>1355.422</v>
      </c>
      <c r="D2753" s="4">
        <v>1355.204</v>
      </c>
      <c r="E2753" s="4">
        <v>1355.6389999999999</v>
      </c>
      <c r="F2753" s="4"/>
      <c r="G2753" s="4"/>
      <c r="H2753" s="28" t="s">
        <v>4331</v>
      </c>
      <c r="I2753" s="4"/>
      <c r="J2753" s="6">
        <v>0</v>
      </c>
      <c r="K2753" s="29" t="s">
        <v>3207</v>
      </c>
      <c r="L2753" s="4"/>
      <c r="M2753" s="3"/>
    </row>
    <row r="2754" spans="1:13" x14ac:dyDescent="0.3">
      <c r="A2754" s="3">
        <v>101</v>
      </c>
      <c r="B2754" s="3">
        <v>101</v>
      </c>
      <c r="C2754" s="4">
        <v>1356.171</v>
      </c>
      <c r="D2754" s="4">
        <v>1355.6389999999999</v>
      </c>
      <c r="E2754" s="4">
        <v>1356.702</v>
      </c>
      <c r="F2754" s="4"/>
      <c r="G2754" s="4"/>
      <c r="H2754" s="27" t="s">
        <v>4332</v>
      </c>
      <c r="I2754" s="4"/>
      <c r="J2754" s="6">
        <v>0</v>
      </c>
      <c r="K2754" s="30" t="s">
        <v>3207</v>
      </c>
      <c r="L2754" s="4"/>
      <c r="M2754" s="3"/>
    </row>
    <row r="2755" spans="1:13" x14ac:dyDescent="0.3">
      <c r="A2755" s="3">
        <v>101</v>
      </c>
      <c r="B2755" s="3">
        <v>101</v>
      </c>
      <c r="C2755" s="4">
        <v>1357.0050000000001</v>
      </c>
      <c r="D2755" s="4">
        <v>1356.702</v>
      </c>
      <c r="E2755" s="4">
        <v>1357.307</v>
      </c>
      <c r="F2755" s="4"/>
      <c r="G2755" s="4"/>
      <c r="H2755" s="28" t="s">
        <v>4333</v>
      </c>
      <c r="I2755" s="4"/>
      <c r="J2755" s="6">
        <v>0</v>
      </c>
      <c r="K2755" s="29" t="s">
        <v>3207</v>
      </c>
      <c r="L2755" s="4"/>
      <c r="M2755" s="3"/>
    </row>
    <row r="2756" spans="1:13" x14ac:dyDescent="0.3">
      <c r="A2756" s="3">
        <v>101</v>
      </c>
      <c r="B2756" s="3">
        <v>101</v>
      </c>
      <c r="C2756" s="4">
        <v>1357.38</v>
      </c>
      <c r="D2756" s="4">
        <v>1357.307</v>
      </c>
      <c r="E2756" s="4">
        <v>1357.453</v>
      </c>
      <c r="F2756" s="4"/>
      <c r="G2756" s="4"/>
      <c r="H2756" s="27" t="s">
        <v>4334</v>
      </c>
      <c r="I2756" s="4"/>
      <c r="J2756" s="6">
        <v>0</v>
      </c>
      <c r="K2756" s="30" t="s">
        <v>3207</v>
      </c>
      <c r="L2756" s="4"/>
      <c r="M2756" s="3"/>
    </row>
    <row r="2757" spans="1:13" x14ac:dyDescent="0.3">
      <c r="A2757" s="3">
        <v>101</v>
      </c>
      <c r="B2757" s="3">
        <v>101</v>
      </c>
      <c r="C2757" s="4">
        <v>1357.998</v>
      </c>
      <c r="D2757" s="4">
        <v>1357.453</v>
      </c>
      <c r="E2757" s="4">
        <v>1358.5419999999999</v>
      </c>
      <c r="F2757" s="4"/>
      <c r="G2757" s="4"/>
      <c r="H2757" s="28" t="s">
        <v>4335</v>
      </c>
      <c r="I2757" s="4"/>
      <c r="J2757" s="6">
        <v>0</v>
      </c>
      <c r="K2757" s="29" t="s">
        <v>3207</v>
      </c>
      <c r="L2757" s="4"/>
      <c r="M2757" s="3"/>
    </row>
    <row r="2758" spans="1:13" x14ac:dyDescent="0.3">
      <c r="A2758" s="3">
        <v>101</v>
      </c>
      <c r="B2758" s="3">
        <v>101</v>
      </c>
      <c r="C2758" s="4">
        <v>1359.1010000000001</v>
      </c>
      <c r="D2758" s="4">
        <v>1358.5419999999999</v>
      </c>
      <c r="E2758" s="4">
        <v>1359.6590000000001</v>
      </c>
      <c r="F2758" s="4"/>
      <c r="G2758" s="4"/>
      <c r="H2758" s="27" t="s">
        <v>4336</v>
      </c>
      <c r="I2758" s="4"/>
      <c r="J2758" s="6">
        <v>0</v>
      </c>
      <c r="K2758" s="30" t="s">
        <v>3207</v>
      </c>
      <c r="L2758" s="4"/>
      <c r="M2758" s="3"/>
    </row>
    <row r="2759" spans="1:13" x14ac:dyDescent="0.3">
      <c r="A2759" s="3">
        <v>101</v>
      </c>
      <c r="B2759" s="3">
        <v>101</v>
      </c>
      <c r="C2759" s="4">
        <v>1359.912</v>
      </c>
      <c r="D2759" s="4">
        <v>1359.6590000000001</v>
      </c>
      <c r="E2759" s="4">
        <v>1360.165</v>
      </c>
      <c r="F2759" s="4"/>
      <c r="G2759" s="4"/>
      <c r="H2759" s="28" t="s">
        <v>4337</v>
      </c>
      <c r="I2759" s="4"/>
      <c r="J2759" s="6">
        <v>0</v>
      </c>
      <c r="K2759" s="29" t="s">
        <v>3207</v>
      </c>
      <c r="L2759" s="4"/>
      <c r="M2759" s="3"/>
    </row>
    <row r="2760" spans="1:13" x14ac:dyDescent="0.3">
      <c r="A2760" s="3">
        <v>101</v>
      </c>
      <c r="B2760" s="3">
        <v>101</v>
      </c>
      <c r="C2760" s="4">
        <v>1360.933</v>
      </c>
      <c r="D2760" s="4">
        <v>1360.165</v>
      </c>
      <c r="E2760" s="4">
        <v>1361.7</v>
      </c>
      <c r="F2760" s="4"/>
      <c r="G2760" s="4"/>
      <c r="H2760" s="27" t="s">
        <v>4338</v>
      </c>
      <c r="I2760" s="4"/>
      <c r="J2760" s="6">
        <v>0</v>
      </c>
      <c r="K2760" s="30" t="s">
        <v>3207</v>
      </c>
      <c r="L2760" s="4"/>
      <c r="M2760" s="3"/>
    </row>
    <row r="2761" spans="1:13" x14ac:dyDescent="0.3">
      <c r="A2761" s="3">
        <v>101</v>
      </c>
      <c r="B2761" s="3">
        <v>101</v>
      </c>
      <c r="C2761" s="4">
        <v>1362.07</v>
      </c>
      <c r="D2761" s="4">
        <v>1361.7</v>
      </c>
      <c r="E2761" s="4">
        <v>1362.44</v>
      </c>
      <c r="F2761" s="4"/>
      <c r="G2761" s="4"/>
      <c r="H2761" s="28" t="s">
        <v>4339</v>
      </c>
      <c r="I2761" s="4"/>
      <c r="J2761" s="6">
        <v>0</v>
      </c>
      <c r="K2761" s="29" t="s">
        <v>3207</v>
      </c>
      <c r="L2761" s="4"/>
      <c r="M2761" s="3"/>
    </row>
    <row r="2762" spans="1:13" x14ac:dyDescent="0.3">
      <c r="A2762" s="3">
        <v>101</v>
      </c>
      <c r="B2762" s="3">
        <v>101</v>
      </c>
      <c r="C2762" s="4">
        <v>1362.54</v>
      </c>
      <c r="D2762" s="4">
        <v>1362.44</v>
      </c>
      <c r="E2762" s="4">
        <v>1362.64</v>
      </c>
      <c r="F2762" s="4"/>
      <c r="G2762" s="4"/>
      <c r="H2762" s="27" t="s">
        <v>4340</v>
      </c>
      <c r="I2762" s="4"/>
      <c r="J2762" s="6">
        <v>0</v>
      </c>
      <c r="K2762" s="30" t="s">
        <v>3207</v>
      </c>
      <c r="L2762" s="4"/>
      <c r="M2762" s="3"/>
    </row>
    <row r="2763" spans="1:13" x14ac:dyDescent="0.3">
      <c r="A2763" s="3">
        <v>101</v>
      </c>
      <c r="B2763" s="3">
        <v>101</v>
      </c>
      <c r="C2763" s="4">
        <v>1362.9949999999999</v>
      </c>
      <c r="D2763" s="4">
        <v>1362.64</v>
      </c>
      <c r="E2763" s="4">
        <v>1363.35</v>
      </c>
      <c r="F2763" s="4"/>
      <c r="G2763" s="4"/>
      <c r="H2763" s="28" t="s">
        <v>4341</v>
      </c>
      <c r="I2763" s="4"/>
      <c r="J2763" s="6">
        <v>0</v>
      </c>
      <c r="K2763" s="29" t="s">
        <v>3207</v>
      </c>
      <c r="L2763" s="4"/>
      <c r="M2763" s="3"/>
    </row>
    <row r="2764" spans="1:13" x14ac:dyDescent="0.3">
      <c r="A2764" s="3">
        <v>101</v>
      </c>
      <c r="B2764" s="3">
        <v>101</v>
      </c>
      <c r="C2764" s="4">
        <v>1363.385</v>
      </c>
      <c r="D2764" s="4">
        <v>1363.35</v>
      </c>
      <c r="E2764" s="4">
        <v>1363.42</v>
      </c>
      <c r="F2764" s="4"/>
      <c r="G2764" s="4"/>
      <c r="H2764" s="27" t="s">
        <v>4342</v>
      </c>
      <c r="I2764" s="4"/>
      <c r="J2764" s="6">
        <v>0</v>
      </c>
      <c r="K2764" s="30" t="s">
        <v>3207</v>
      </c>
      <c r="L2764" s="4"/>
      <c r="M2764" s="3"/>
    </row>
    <row r="2765" spans="1:13" x14ac:dyDescent="0.3">
      <c r="A2765" s="3">
        <v>101</v>
      </c>
      <c r="B2765" s="3">
        <v>101</v>
      </c>
      <c r="C2765" s="4">
        <v>1363.675</v>
      </c>
      <c r="D2765" s="4">
        <v>1363.42</v>
      </c>
      <c r="E2765" s="4">
        <v>1363.93</v>
      </c>
      <c r="F2765" s="4"/>
      <c r="G2765" s="4"/>
      <c r="H2765" s="28" t="s">
        <v>4343</v>
      </c>
      <c r="I2765" s="4"/>
      <c r="J2765" s="6">
        <v>0</v>
      </c>
      <c r="K2765" s="29" t="s">
        <v>3207</v>
      </c>
      <c r="L2765" s="4"/>
      <c r="M2765" s="3"/>
    </row>
    <row r="2766" spans="1:13" x14ac:dyDescent="0.3">
      <c r="A2766" s="3">
        <v>101</v>
      </c>
      <c r="B2766" s="3">
        <v>101</v>
      </c>
      <c r="C2766" s="4">
        <v>1363.9649999999999</v>
      </c>
      <c r="D2766" s="4">
        <v>1363.93</v>
      </c>
      <c r="E2766" s="4">
        <v>1364</v>
      </c>
      <c r="F2766" s="4"/>
      <c r="G2766" s="4"/>
      <c r="H2766" s="27" t="s">
        <v>4344</v>
      </c>
      <c r="I2766" s="4"/>
      <c r="J2766" s="6">
        <v>0</v>
      </c>
      <c r="K2766" s="30" t="s">
        <v>3207</v>
      </c>
      <c r="L2766" s="4"/>
      <c r="M2766" s="3"/>
    </row>
    <row r="2767" spans="1:13" x14ac:dyDescent="0.3">
      <c r="A2767" s="3">
        <v>101</v>
      </c>
      <c r="B2767" s="3">
        <v>101</v>
      </c>
      <c r="C2767" s="4">
        <v>1364.192</v>
      </c>
      <c r="D2767" s="4">
        <v>1364</v>
      </c>
      <c r="E2767" s="4">
        <v>1364.383</v>
      </c>
      <c r="F2767" s="4"/>
      <c r="G2767" s="4"/>
      <c r="H2767" s="28" t="s">
        <v>4345</v>
      </c>
      <c r="I2767" s="4"/>
      <c r="J2767" s="6">
        <v>0</v>
      </c>
      <c r="K2767" s="29" t="s">
        <v>3207</v>
      </c>
      <c r="L2767" s="4"/>
      <c r="M2767" s="3"/>
    </row>
    <row r="2768" spans="1:13" x14ac:dyDescent="0.3">
      <c r="A2768" s="3">
        <v>101</v>
      </c>
      <c r="B2768" s="3">
        <v>101</v>
      </c>
      <c r="C2768" s="4">
        <v>1364.452</v>
      </c>
      <c r="D2768" s="4">
        <v>1364.383</v>
      </c>
      <c r="E2768" s="4">
        <v>1364.52</v>
      </c>
      <c r="F2768" s="4"/>
      <c r="G2768" s="4"/>
      <c r="H2768" s="27" t="s">
        <v>4346</v>
      </c>
      <c r="I2768" s="4"/>
      <c r="J2768" s="6">
        <v>0</v>
      </c>
      <c r="K2768" s="30" t="s">
        <v>3207</v>
      </c>
      <c r="L2768" s="4"/>
      <c r="M2768" s="3"/>
    </row>
    <row r="2769" spans="1:13" x14ac:dyDescent="0.3">
      <c r="A2769" s="3">
        <v>101</v>
      </c>
      <c r="B2769" s="3">
        <v>101</v>
      </c>
      <c r="C2769" s="4">
        <v>1364.5719999999999</v>
      </c>
      <c r="D2769" s="4">
        <v>1364.52</v>
      </c>
      <c r="E2769" s="4">
        <v>1364.623</v>
      </c>
      <c r="F2769" s="4"/>
      <c r="G2769" s="4"/>
      <c r="H2769" s="28" t="s">
        <v>4347</v>
      </c>
      <c r="I2769" s="4"/>
      <c r="J2769" s="6">
        <v>0</v>
      </c>
      <c r="K2769" s="29" t="s">
        <v>3207</v>
      </c>
      <c r="L2769" s="4"/>
      <c r="M2769" s="3"/>
    </row>
    <row r="2770" spans="1:13" x14ac:dyDescent="0.3">
      <c r="A2770" s="3">
        <v>101</v>
      </c>
      <c r="B2770" s="3">
        <v>101</v>
      </c>
      <c r="C2770" s="4">
        <v>1364.7919999999999</v>
      </c>
      <c r="D2770" s="4">
        <v>1364.623</v>
      </c>
      <c r="E2770" s="4">
        <v>1364.96</v>
      </c>
      <c r="F2770" s="4"/>
      <c r="G2770" s="4"/>
      <c r="H2770" s="27" t="s">
        <v>4348</v>
      </c>
      <c r="I2770" s="4"/>
      <c r="J2770" s="6">
        <v>0</v>
      </c>
      <c r="K2770" s="30" t="s">
        <v>3207</v>
      </c>
      <c r="L2770" s="4"/>
      <c r="M2770" s="3"/>
    </row>
    <row r="2771" spans="1:13" x14ac:dyDescent="0.3">
      <c r="A2771" s="3">
        <v>101</v>
      </c>
      <c r="B2771" s="3">
        <v>101</v>
      </c>
      <c r="C2771" s="4">
        <v>1365.164</v>
      </c>
      <c r="D2771" s="4">
        <v>1364.96</v>
      </c>
      <c r="E2771" s="4">
        <v>1365.3679999999999</v>
      </c>
      <c r="F2771" s="4"/>
      <c r="G2771" s="4"/>
      <c r="H2771" s="28" t="s">
        <v>4349</v>
      </c>
      <c r="I2771" s="4"/>
      <c r="J2771" s="6">
        <v>0</v>
      </c>
      <c r="K2771" s="29" t="s">
        <v>3207</v>
      </c>
      <c r="L2771" s="4"/>
      <c r="M2771" s="3"/>
    </row>
    <row r="2772" spans="1:13" x14ac:dyDescent="0.3">
      <c r="A2772" s="3">
        <v>101</v>
      </c>
      <c r="B2772" s="3">
        <v>101</v>
      </c>
      <c r="C2772" s="4">
        <v>1365.586</v>
      </c>
      <c r="D2772" s="4">
        <v>1365.3679999999999</v>
      </c>
      <c r="E2772" s="4">
        <v>1365.8040000000001</v>
      </c>
      <c r="F2772" s="4"/>
      <c r="G2772" s="4"/>
      <c r="H2772" s="27" t="s">
        <v>4350</v>
      </c>
      <c r="I2772" s="4"/>
      <c r="J2772" s="6">
        <v>0</v>
      </c>
      <c r="K2772" s="30" t="s">
        <v>3207</v>
      </c>
      <c r="L2772" s="4"/>
      <c r="M2772" s="3"/>
    </row>
    <row r="2773" spans="1:13" x14ac:dyDescent="0.3">
      <c r="A2773" s="3">
        <v>101</v>
      </c>
      <c r="B2773" s="3">
        <v>101</v>
      </c>
      <c r="C2773" s="4">
        <v>1366.15</v>
      </c>
      <c r="D2773" s="4">
        <v>1365.8040000000001</v>
      </c>
      <c r="E2773" s="4">
        <v>1366.4960000000001</v>
      </c>
      <c r="F2773" s="4"/>
      <c r="G2773" s="4"/>
      <c r="H2773" s="28" t="s">
        <v>4351</v>
      </c>
      <c r="I2773" s="4"/>
      <c r="J2773" s="6">
        <v>0</v>
      </c>
      <c r="K2773" s="29" t="s">
        <v>3207</v>
      </c>
      <c r="L2773" s="4"/>
      <c r="M2773" s="3"/>
    </row>
    <row r="2774" spans="1:13" x14ac:dyDescent="0.3">
      <c r="A2774" s="3">
        <v>101</v>
      </c>
      <c r="B2774" s="3">
        <v>101</v>
      </c>
      <c r="C2774" s="4">
        <v>1366.547</v>
      </c>
      <c r="D2774" s="4">
        <v>1366.4960000000001</v>
      </c>
      <c r="E2774" s="4">
        <v>1366.598</v>
      </c>
      <c r="F2774" s="4"/>
      <c r="G2774" s="4"/>
      <c r="H2774" s="27" t="s">
        <v>4352</v>
      </c>
      <c r="I2774" s="4"/>
      <c r="J2774" s="6">
        <v>0</v>
      </c>
      <c r="K2774" s="30" t="s">
        <v>3207</v>
      </c>
      <c r="L2774" s="4"/>
      <c r="M2774" s="3"/>
    </row>
    <row r="2775" spans="1:13" x14ac:dyDescent="0.3">
      <c r="A2775" s="3">
        <v>101</v>
      </c>
      <c r="B2775" s="3">
        <v>101</v>
      </c>
      <c r="C2775" s="4">
        <v>1366.6590000000001</v>
      </c>
      <c r="D2775" s="4">
        <v>1366.598</v>
      </c>
      <c r="E2775" s="4">
        <v>1366.72</v>
      </c>
      <c r="F2775" s="4"/>
      <c r="G2775" s="4"/>
      <c r="H2775" s="28" t="s">
        <v>4353</v>
      </c>
      <c r="I2775" s="4"/>
      <c r="J2775" s="6">
        <v>0</v>
      </c>
      <c r="K2775" s="29" t="s">
        <v>3207</v>
      </c>
      <c r="L2775" s="4"/>
      <c r="M2775" s="3"/>
    </row>
    <row r="2776" spans="1:13" x14ac:dyDescent="0.3">
      <c r="A2776" s="3">
        <v>101</v>
      </c>
      <c r="B2776" s="3">
        <v>101</v>
      </c>
      <c r="C2776" s="4">
        <v>1366.9549999999999</v>
      </c>
      <c r="D2776" s="4">
        <v>1366.72</v>
      </c>
      <c r="E2776" s="4">
        <v>1367.19</v>
      </c>
      <c r="F2776" s="4"/>
      <c r="G2776" s="4"/>
      <c r="H2776" s="27" t="s">
        <v>4354</v>
      </c>
      <c r="I2776" s="4"/>
      <c r="J2776" s="6">
        <v>0</v>
      </c>
      <c r="K2776" s="30" t="s">
        <v>3207</v>
      </c>
      <c r="L2776" s="4"/>
      <c r="M2776" s="3"/>
    </row>
    <row r="2777" spans="1:13" x14ac:dyDescent="0.3">
      <c r="A2777" s="3">
        <v>101</v>
      </c>
      <c r="B2777" s="3">
        <v>101</v>
      </c>
      <c r="C2777" s="4">
        <v>1367.82</v>
      </c>
      <c r="D2777" s="4">
        <v>1367.19</v>
      </c>
      <c r="E2777" s="4">
        <v>1368.45</v>
      </c>
      <c r="F2777" s="4"/>
      <c r="G2777" s="4"/>
      <c r="H2777" s="28" t="s">
        <v>4355</v>
      </c>
      <c r="I2777" s="4"/>
      <c r="J2777" s="6">
        <v>0</v>
      </c>
      <c r="K2777" s="29" t="s">
        <v>3207</v>
      </c>
      <c r="L2777" s="4"/>
      <c r="M2777" s="3"/>
    </row>
    <row r="2778" spans="1:13" x14ac:dyDescent="0.3">
      <c r="A2778" s="3">
        <v>101</v>
      </c>
      <c r="B2778" s="3">
        <v>101</v>
      </c>
      <c r="C2778" s="4">
        <v>1368.55</v>
      </c>
      <c r="D2778" s="4">
        <v>1368.45</v>
      </c>
      <c r="E2778" s="4">
        <v>1368.65</v>
      </c>
      <c r="F2778" s="4"/>
      <c r="G2778" s="4"/>
      <c r="H2778" s="27" t="s">
        <v>4356</v>
      </c>
      <c r="I2778" s="4"/>
      <c r="J2778" s="6">
        <v>0</v>
      </c>
      <c r="K2778" s="30" t="s">
        <v>3207</v>
      </c>
      <c r="L2778" s="4"/>
      <c r="M2778" s="3"/>
    </row>
    <row r="2779" spans="1:13" x14ac:dyDescent="0.3">
      <c r="A2779" s="3">
        <v>101</v>
      </c>
      <c r="B2779" s="3">
        <v>101</v>
      </c>
      <c r="C2779" s="4">
        <v>1369.1</v>
      </c>
      <c r="D2779" s="4">
        <v>1368.65</v>
      </c>
      <c r="E2779" s="4">
        <v>1369.55</v>
      </c>
      <c r="F2779" s="4"/>
      <c r="G2779" s="4"/>
      <c r="H2779" s="28" t="s">
        <v>4357</v>
      </c>
      <c r="I2779" s="4"/>
      <c r="J2779" s="6">
        <v>0</v>
      </c>
      <c r="K2779" s="29" t="s">
        <v>3207</v>
      </c>
      <c r="L2779" s="4"/>
      <c r="M2779" s="3"/>
    </row>
    <row r="2780" spans="1:13" x14ac:dyDescent="0.3">
      <c r="A2780" s="3">
        <v>101</v>
      </c>
      <c r="B2780" s="3">
        <v>101</v>
      </c>
      <c r="C2780" s="4">
        <v>1369.57</v>
      </c>
      <c r="D2780" s="4">
        <v>1369.55</v>
      </c>
      <c r="E2780" s="4">
        <v>1369.59</v>
      </c>
      <c r="F2780" s="4"/>
      <c r="G2780" s="4"/>
      <c r="H2780" s="27" t="s">
        <v>4358</v>
      </c>
      <c r="I2780" s="4"/>
      <c r="J2780" s="6">
        <v>0</v>
      </c>
      <c r="K2780" s="30" t="s">
        <v>3207</v>
      </c>
      <c r="L2780" s="4"/>
      <c r="M2780" s="3"/>
    </row>
    <row r="2781" spans="1:13" x14ac:dyDescent="0.3">
      <c r="A2781" s="3">
        <v>101</v>
      </c>
      <c r="B2781" s="3">
        <v>101</v>
      </c>
      <c r="C2781" s="4">
        <v>1369.655</v>
      </c>
      <c r="D2781" s="4">
        <v>1369.59</v>
      </c>
      <c r="E2781" s="4">
        <v>1369.72</v>
      </c>
      <c r="F2781" s="4"/>
      <c r="G2781" s="4"/>
      <c r="H2781" s="28" t="s">
        <v>4359</v>
      </c>
      <c r="I2781" s="4"/>
      <c r="J2781" s="6">
        <v>0</v>
      </c>
      <c r="K2781" s="29" t="s">
        <v>3207</v>
      </c>
      <c r="L2781" s="4"/>
      <c r="M2781" s="3"/>
    </row>
    <row r="2782" spans="1:13" x14ac:dyDescent="0.3">
      <c r="A2782" s="3">
        <v>101</v>
      </c>
      <c r="B2782" s="3">
        <v>101</v>
      </c>
      <c r="C2782" s="4">
        <v>1369.92</v>
      </c>
      <c r="D2782" s="4">
        <v>1369.72</v>
      </c>
      <c r="E2782" s="4">
        <v>1370.12</v>
      </c>
      <c r="F2782" s="4"/>
      <c r="G2782" s="4"/>
      <c r="H2782" s="27" t="s">
        <v>4360</v>
      </c>
      <c r="I2782" s="4"/>
      <c r="J2782" s="6">
        <v>0</v>
      </c>
      <c r="K2782" s="30" t="s">
        <v>3207</v>
      </c>
      <c r="L2782" s="4"/>
      <c r="M2782" s="3"/>
    </row>
    <row r="2783" spans="1:13" x14ac:dyDescent="0.3">
      <c r="A2783" s="3">
        <v>101</v>
      </c>
      <c r="B2783" s="3">
        <v>101</v>
      </c>
      <c r="C2783" s="4">
        <v>1370.16</v>
      </c>
      <c r="D2783" s="4">
        <v>1370.12</v>
      </c>
      <c r="E2783" s="4">
        <v>1370.2</v>
      </c>
      <c r="F2783" s="4"/>
      <c r="G2783" s="4"/>
      <c r="H2783" s="28" t="s">
        <v>4361</v>
      </c>
      <c r="I2783" s="4"/>
      <c r="J2783" s="6">
        <v>0</v>
      </c>
      <c r="K2783" s="29" t="s">
        <v>3207</v>
      </c>
      <c r="L2783" s="4"/>
      <c r="M2783" s="3"/>
    </row>
    <row r="2784" spans="1:13" x14ac:dyDescent="0.3">
      <c r="A2784" s="3">
        <v>101</v>
      </c>
      <c r="B2784" s="3">
        <v>101</v>
      </c>
      <c r="C2784" s="4">
        <v>1370.4</v>
      </c>
      <c r="D2784" s="4">
        <v>1370.2</v>
      </c>
      <c r="E2784" s="4">
        <v>1370.6</v>
      </c>
      <c r="F2784" s="4"/>
      <c r="G2784" s="4"/>
      <c r="H2784" s="27" t="s">
        <v>4362</v>
      </c>
      <c r="I2784" s="4"/>
      <c r="J2784" s="6">
        <v>0</v>
      </c>
      <c r="K2784" s="30" t="s">
        <v>3207</v>
      </c>
      <c r="L2784" s="4"/>
      <c r="M2784" s="3"/>
    </row>
    <row r="2785" spans="1:13" x14ac:dyDescent="0.3">
      <c r="A2785" s="3">
        <v>101</v>
      </c>
      <c r="B2785" s="3">
        <v>101</v>
      </c>
      <c r="C2785" s="4">
        <v>1370.7249999999999</v>
      </c>
      <c r="D2785" s="4">
        <v>1370.6</v>
      </c>
      <c r="E2785" s="4">
        <v>1370.85</v>
      </c>
      <c r="F2785" s="4"/>
      <c r="G2785" s="4"/>
      <c r="H2785" s="28" t="s">
        <v>4363</v>
      </c>
      <c r="I2785" s="4"/>
      <c r="J2785" s="6">
        <v>0</v>
      </c>
      <c r="K2785" s="29" t="s">
        <v>3207</v>
      </c>
      <c r="L2785" s="4"/>
      <c r="M2785" s="3"/>
    </row>
    <row r="2786" spans="1:13" x14ac:dyDescent="0.3">
      <c r="A2786" s="3">
        <v>101</v>
      </c>
      <c r="B2786" s="3">
        <v>101</v>
      </c>
      <c r="C2786" s="4">
        <v>1370.9849999999999</v>
      </c>
      <c r="D2786" s="4">
        <v>1370.85</v>
      </c>
      <c r="E2786" s="4">
        <v>1371.12</v>
      </c>
      <c r="F2786" s="4"/>
      <c r="G2786" s="4"/>
      <c r="H2786" s="27" t="s">
        <v>4364</v>
      </c>
      <c r="I2786" s="4"/>
      <c r="J2786" s="6">
        <v>0</v>
      </c>
      <c r="K2786" s="30" t="s">
        <v>3207</v>
      </c>
      <c r="L2786" s="4"/>
      <c r="M2786" s="3"/>
    </row>
    <row r="2787" spans="1:13" x14ac:dyDescent="0.3">
      <c r="A2787" s="3">
        <v>101</v>
      </c>
      <c r="B2787" s="3">
        <v>101</v>
      </c>
      <c r="C2787" s="4">
        <v>1371.335</v>
      </c>
      <c r="D2787" s="4">
        <v>1371.12</v>
      </c>
      <c r="E2787" s="4">
        <v>1371.55</v>
      </c>
      <c r="F2787" s="4"/>
      <c r="G2787" s="4"/>
      <c r="H2787" s="28" t="s">
        <v>4365</v>
      </c>
      <c r="I2787" s="4"/>
      <c r="J2787" s="6">
        <v>0</v>
      </c>
      <c r="K2787" s="29" t="s">
        <v>3207</v>
      </c>
      <c r="L2787" s="4"/>
      <c r="M2787" s="3"/>
    </row>
    <row r="2788" spans="1:13" x14ac:dyDescent="0.3">
      <c r="A2788" s="3">
        <v>101</v>
      </c>
      <c r="B2788" s="3">
        <v>101</v>
      </c>
      <c r="C2788" s="4">
        <v>1371.9570000000001</v>
      </c>
      <c r="D2788" s="4">
        <v>1371.55</v>
      </c>
      <c r="E2788" s="4">
        <v>1372.3630000000001</v>
      </c>
      <c r="F2788" s="4"/>
      <c r="G2788" s="4"/>
      <c r="H2788" s="27" t="s">
        <v>4366</v>
      </c>
      <c r="I2788" s="4"/>
      <c r="J2788" s="6">
        <v>0</v>
      </c>
      <c r="K2788" s="30" t="s">
        <v>3207</v>
      </c>
      <c r="L2788" s="4"/>
      <c r="M2788" s="3"/>
    </row>
    <row r="2789" spans="1:13" x14ac:dyDescent="0.3">
      <c r="A2789" s="3">
        <v>101</v>
      </c>
      <c r="B2789" s="3">
        <v>101</v>
      </c>
      <c r="C2789" s="4">
        <v>1372.4369999999999</v>
      </c>
      <c r="D2789" s="4">
        <v>1372.3630000000001</v>
      </c>
      <c r="E2789" s="4">
        <v>1372.511</v>
      </c>
      <c r="F2789" s="4"/>
      <c r="G2789" s="4"/>
      <c r="H2789" s="28" t="s">
        <v>4367</v>
      </c>
      <c r="I2789" s="4"/>
      <c r="J2789" s="6">
        <v>0</v>
      </c>
      <c r="K2789" s="29" t="s">
        <v>3207</v>
      </c>
      <c r="L2789" s="4"/>
      <c r="M2789" s="3"/>
    </row>
    <row r="2790" spans="1:13" x14ac:dyDescent="0.3">
      <c r="A2790" s="3">
        <v>101</v>
      </c>
      <c r="B2790" s="3">
        <v>101</v>
      </c>
      <c r="C2790" s="4">
        <v>1372.694</v>
      </c>
      <c r="D2790" s="4">
        <v>1372.511</v>
      </c>
      <c r="E2790" s="4">
        <v>1372.876</v>
      </c>
      <c r="F2790" s="4"/>
      <c r="G2790" s="4"/>
      <c r="H2790" s="27" t="s">
        <v>4368</v>
      </c>
      <c r="I2790" s="4"/>
      <c r="J2790" s="6">
        <v>0</v>
      </c>
      <c r="K2790" s="30" t="s">
        <v>3207</v>
      </c>
      <c r="L2790" s="4"/>
      <c r="M2790" s="3"/>
    </row>
    <row r="2791" spans="1:13" x14ac:dyDescent="0.3">
      <c r="A2791" s="3">
        <v>101</v>
      </c>
      <c r="B2791" s="3">
        <v>101</v>
      </c>
      <c r="C2791" s="4">
        <v>1372.913</v>
      </c>
      <c r="D2791" s="4">
        <v>1372.876</v>
      </c>
      <c r="E2791" s="4">
        <v>1372.95</v>
      </c>
      <c r="F2791" s="4"/>
      <c r="G2791" s="4"/>
      <c r="H2791" s="28" t="s">
        <v>4369</v>
      </c>
      <c r="I2791" s="4"/>
      <c r="J2791" s="6">
        <v>0</v>
      </c>
      <c r="K2791" s="29" t="s">
        <v>3207</v>
      </c>
      <c r="L2791" s="4"/>
      <c r="M2791" s="3"/>
    </row>
    <row r="2792" spans="1:13" x14ac:dyDescent="0.3">
      <c r="A2792" s="3">
        <v>101</v>
      </c>
      <c r="B2792" s="3">
        <v>101</v>
      </c>
      <c r="C2792" s="4">
        <v>1373.1949999999999</v>
      </c>
      <c r="D2792" s="4">
        <v>1372.95</v>
      </c>
      <c r="E2792" s="4">
        <v>1373.4390000000001</v>
      </c>
      <c r="F2792" s="4"/>
      <c r="G2792" s="4"/>
      <c r="H2792" s="27" t="s">
        <v>4370</v>
      </c>
      <c r="I2792" s="4"/>
      <c r="J2792" s="6">
        <v>0</v>
      </c>
      <c r="K2792" s="30" t="s">
        <v>3207</v>
      </c>
      <c r="L2792" s="4"/>
      <c r="M2792" s="3"/>
    </row>
    <row r="2793" spans="1:13" x14ac:dyDescent="0.3">
      <c r="A2793" s="3">
        <v>101</v>
      </c>
      <c r="B2793" s="3">
        <v>101</v>
      </c>
      <c r="C2793" s="4">
        <v>1373.4680000000001</v>
      </c>
      <c r="D2793" s="4">
        <v>1373.4390000000001</v>
      </c>
      <c r="E2793" s="4">
        <v>1373.4970000000001</v>
      </c>
      <c r="F2793" s="4"/>
      <c r="G2793" s="4"/>
      <c r="H2793" s="28" t="s">
        <v>4371</v>
      </c>
      <c r="I2793" s="4"/>
      <c r="J2793" s="6">
        <v>0</v>
      </c>
      <c r="K2793" s="29" t="s">
        <v>3207</v>
      </c>
      <c r="L2793" s="4"/>
      <c r="M2793" s="3"/>
    </row>
    <row r="2794" spans="1:13" x14ac:dyDescent="0.3">
      <c r="A2794" s="3">
        <v>101</v>
      </c>
      <c r="B2794" s="3">
        <v>101</v>
      </c>
      <c r="C2794" s="4">
        <v>1373.7329999999999</v>
      </c>
      <c r="D2794" s="4">
        <v>1373.4970000000001</v>
      </c>
      <c r="E2794" s="4">
        <v>1373.9690000000001</v>
      </c>
      <c r="F2794" s="4"/>
      <c r="G2794" s="4"/>
      <c r="H2794" s="27" t="s">
        <v>4372</v>
      </c>
      <c r="I2794" s="4"/>
      <c r="J2794" s="6">
        <v>0</v>
      </c>
      <c r="K2794" s="30" t="s">
        <v>3207</v>
      </c>
      <c r="L2794" s="4"/>
      <c r="M2794" s="3"/>
    </row>
    <row r="2795" spans="1:13" x14ac:dyDescent="0.3">
      <c r="A2795" s="3">
        <v>101</v>
      </c>
      <c r="B2795" s="3">
        <v>101</v>
      </c>
      <c r="C2795" s="4">
        <v>1374.3320000000001</v>
      </c>
      <c r="D2795" s="4">
        <v>1373.9690000000001</v>
      </c>
      <c r="E2795" s="4">
        <v>1374.6949999999999</v>
      </c>
      <c r="F2795" s="4"/>
      <c r="G2795" s="4"/>
      <c r="H2795" s="28" t="s">
        <v>4373</v>
      </c>
      <c r="I2795" s="4"/>
      <c r="J2795" s="6">
        <v>0</v>
      </c>
      <c r="K2795" s="29" t="s">
        <v>3207</v>
      </c>
      <c r="L2795" s="4"/>
      <c r="M2795" s="3"/>
    </row>
    <row r="2796" spans="1:13" x14ac:dyDescent="0.3">
      <c r="A2796" s="3">
        <v>101</v>
      </c>
      <c r="B2796" s="3">
        <v>101</v>
      </c>
      <c r="C2796" s="4">
        <v>1374.85</v>
      </c>
      <c r="D2796" s="4">
        <v>1374.6949999999999</v>
      </c>
      <c r="E2796" s="4">
        <v>1375.0050000000001</v>
      </c>
      <c r="F2796" s="4"/>
      <c r="G2796" s="4"/>
      <c r="H2796" s="27" t="s">
        <v>4374</v>
      </c>
      <c r="I2796" s="4"/>
      <c r="J2796" s="6">
        <v>0</v>
      </c>
      <c r="K2796" s="30" t="s">
        <v>3207</v>
      </c>
      <c r="L2796" s="4"/>
      <c r="M2796" s="3"/>
    </row>
    <row r="2797" spans="1:13" x14ac:dyDescent="0.3">
      <c r="A2797" s="3">
        <v>101</v>
      </c>
      <c r="B2797" s="3">
        <v>101</v>
      </c>
      <c r="C2797" s="4">
        <v>1375.39</v>
      </c>
      <c r="D2797" s="4">
        <v>1375.0050000000001</v>
      </c>
      <c r="E2797" s="4">
        <v>1375.7750000000001</v>
      </c>
      <c r="F2797" s="4"/>
      <c r="G2797" s="4"/>
      <c r="H2797" s="28" t="s">
        <v>4375</v>
      </c>
      <c r="I2797" s="4"/>
      <c r="J2797" s="6">
        <v>0</v>
      </c>
      <c r="K2797" s="29" t="s">
        <v>3207</v>
      </c>
      <c r="L2797" s="4"/>
      <c r="M2797" s="3"/>
    </row>
    <row r="2798" spans="1:13" x14ac:dyDescent="0.3">
      <c r="A2798" s="3">
        <v>101</v>
      </c>
      <c r="B2798" s="3">
        <v>101</v>
      </c>
      <c r="C2798" s="4">
        <v>1376.0160000000001</v>
      </c>
      <c r="D2798" s="4">
        <v>1375.7750000000001</v>
      </c>
      <c r="E2798" s="4">
        <v>1376.2560000000001</v>
      </c>
      <c r="F2798" s="4"/>
      <c r="G2798" s="4"/>
      <c r="H2798" s="27" t="s">
        <v>4376</v>
      </c>
      <c r="I2798" s="4"/>
      <c r="J2798" s="6">
        <v>0</v>
      </c>
      <c r="K2798" s="30" t="s">
        <v>3207</v>
      </c>
      <c r="L2798" s="4"/>
      <c r="M2798" s="3"/>
    </row>
    <row r="2799" spans="1:13" x14ac:dyDescent="0.3">
      <c r="A2799" s="3">
        <v>101</v>
      </c>
      <c r="B2799" s="3">
        <v>101</v>
      </c>
      <c r="C2799" s="4">
        <v>1376.443</v>
      </c>
      <c r="D2799" s="4">
        <v>1376.2560000000001</v>
      </c>
      <c r="E2799" s="4">
        <v>1376.6289999999999</v>
      </c>
      <c r="F2799" s="4"/>
      <c r="G2799" s="4"/>
      <c r="H2799" s="28" t="s">
        <v>4377</v>
      </c>
      <c r="I2799" s="4"/>
      <c r="J2799" s="6">
        <v>0</v>
      </c>
      <c r="K2799" s="29" t="s">
        <v>3207</v>
      </c>
      <c r="L2799" s="4"/>
      <c r="M2799" s="3"/>
    </row>
    <row r="2800" spans="1:13" x14ac:dyDescent="0.3">
      <c r="A2800" s="3">
        <v>101</v>
      </c>
      <c r="B2800" s="3">
        <v>101</v>
      </c>
      <c r="C2800" s="4">
        <v>1376.9079999999999</v>
      </c>
      <c r="D2800" s="4">
        <v>1376.6289999999999</v>
      </c>
      <c r="E2800" s="4">
        <v>1377.1869999999999</v>
      </c>
      <c r="F2800" s="4"/>
      <c r="G2800" s="4"/>
      <c r="H2800" s="27" t="s">
        <v>4378</v>
      </c>
      <c r="I2800" s="4"/>
      <c r="J2800" s="6">
        <v>0</v>
      </c>
      <c r="K2800" s="30" t="s">
        <v>3207</v>
      </c>
      <c r="L2800" s="4"/>
      <c r="M2800" s="3"/>
    </row>
    <row r="2801" spans="1:13" x14ac:dyDescent="0.3">
      <c r="A2801" s="3">
        <v>101</v>
      </c>
      <c r="B2801" s="3">
        <v>101</v>
      </c>
      <c r="C2801" s="4">
        <v>1377.2670000000001</v>
      </c>
      <c r="D2801" s="4">
        <v>1377.1869999999999</v>
      </c>
      <c r="E2801" s="4">
        <v>1377.346</v>
      </c>
      <c r="F2801" s="4"/>
      <c r="G2801" s="4"/>
      <c r="H2801" s="28" t="s">
        <v>4379</v>
      </c>
      <c r="I2801" s="4"/>
      <c r="J2801" s="6">
        <v>0</v>
      </c>
      <c r="K2801" s="29" t="s">
        <v>3207</v>
      </c>
      <c r="L2801" s="4"/>
      <c r="M2801" s="3"/>
    </row>
    <row r="2802" spans="1:13" x14ac:dyDescent="0.3">
      <c r="A2802" s="3">
        <v>101</v>
      </c>
      <c r="B2802" s="3">
        <v>101</v>
      </c>
      <c r="C2802" s="4">
        <v>1377.598</v>
      </c>
      <c r="D2802" s="4">
        <v>1377.346</v>
      </c>
      <c r="E2802" s="4">
        <v>1377.85</v>
      </c>
      <c r="F2802" s="4"/>
      <c r="G2802" s="4"/>
      <c r="H2802" s="27" t="s">
        <v>4380</v>
      </c>
      <c r="I2802" s="4"/>
      <c r="J2802" s="6">
        <v>0</v>
      </c>
      <c r="K2802" s="30" t="s">
        <v>3207</v>
      </c>
      <c r="L2802" s="4"/>
      <c r="M2802" s="3"/>
    </row>
    <row r="2803" spans="1:13" x14ac:dyDescent="0.3">
      <c r="A2803" s="3">
        <v>101</v>
      </c>
      <c r="B2803" s="3">
        <v>101</v>
      </c>
      <c r="C2803" s="4">
        <v>1378.2249999999999</v>
      </c>
      <c r="D2803" s="4">
        <v>1377.85</v>
      </c>
      <c r="E2803" s="4">
        <v>1378.6</v>
      </c>
      <c r="F2803" s="4"/>
      <c r="G2803" s="4"/>
      <c r="H2803" s="28" t="s">
        <v>4381</v>
      </c>
      <c r="I2803" s="4"/>
      <c r="J2803" s="6">
        <v>0</v>
      </c>
      <c r="K2803" s="29" t="s">
        <v>3207</v>
      </c>
      <c r="L2803" s="4"/>
      <c r="M2803" s="3"/>
    </row>
    <row r="2804" spans="1:13" x14ac:dyDescent="0.3">
      <c r="A2804" s="3">
        <v>101</v>
      </c>
      <c r="B2804" s="3">
        <v>101</v>
      </c>
      <c r="C2804" s="4">
        <v>1378.825</v>
      </c>
      <c r="D2804" s="4">
        <v>1378.6</v>
      </c>
      <c r="E2804" s="4">
        <v>1379.05</v>
      </c>
      <c r="F2804" s="4"/>
      <c r="G2804" s="4"/>
      <c r="H2804" s="27" t="s">
        <v>4382</v>
      </c>
      <c r="I2804" s="4"/>
      <c r="J2804" s="6">
        <v>0</v>
      </c>
      <c r="K2804" s="30" t="s">
        <v>3207</v>
      </c>
      <c r="L2804" s="4"/>
      <c r="M2804" s="3"/>
    </row>
    <row r="2805" spans="1:13" x14ac:dyDescent="0.3">
      <c r="A2805" s="3">
        <v>101</v>
      </c>
      <c r="B2805" s="3">
        <v>101</v>
      </c>
      <c r="C2805" s="4">
        <v>1379.2249999999999</v>
      </c>
      <c r="D2805" s="4">
        <v>1379.05</v>
      </c>
      <c r="E2805" s="4">
        <v>1379.4</v>
      </c>
      <c r="F2805" s="4"/>
      <c r="G2805" s="4"/>
      <c r="H2805" s="28" t="s">
        <v>4383</v>
      </c>
      <c r="I2805" s="4"/>
      <c r="J2805" s="6">
        <v>0</v>
      </c>
      <c r="K2805" s="29" t="s">
        <v>3207</v>
      </c>
      <c r="L2805" s="4"/>
      <c r="M2805" s="3"/>
    </row>
    <row r="2806" spans="1:13" x14ac:dyDescent="0.3">
      <c r="A2806" s="3">
        <v>101</v>
      </c>
      <c r="B2806" s="3">
        <v>101</v>
      </c>
      <c r="C2806" s="4">
        <v>1379.704</v>
      </c>
      <c r="D2806" s="4">
        <v>1379.4</v>
      </c>
      <c r="E2806" s="4">
        <v>1380.008</v>
      </c>
      <c r="F2806" s="4"/>
      <c r="G2806" s="4"/>
      <c r="H2806" s="27" t="s">
        <v>4384</v>
      </c>
      <c r="I2806" s="4"/>
      <c r="J2806" s="6">
        <v>0</v>
      </c>
      <c r="K2806" s="30" t="s">
        <v>3207</v>
      </c>
      <c r="L2806" s="4"/>
      <c r="M2806" s="3"/>
    </row>
    <row r="2807" spans="1:13" x14ac:dyDescent="0.3">
      <c r="A2807" s="3">
        <v>101</v>
      </c>
      <c r="B2807" s="3">
        <v>101</v>
      </c>
      <c r="C2807" s="4">
        <v>1380.2080000000001</v>
      </c>
      <c r="D2807" s="4">
        <v>1380.008</v>
      </c>
      <c r="E2807" s="4">
        <v>1380.4079999999999</v>
      </c>
      <c r="F2807" s="4"/>
      <c r="G2807" s="4"/>
      <c r="H2807" s="28" t="s">
        <v>4385</v>
      </c>
      <c r="I2807" s="4"/>
      <c r="J2807" s="6">
        <v>0</v>
      </c>
      <c r="K2807" s="29" t="s">
        <v>3207</v>
      </c>
      <c r="L2807" s="4"/>
      <c r="M2807" s="3"/>
    </row>
    <row r="2808" spans="1:13" x14ac:dyDescent="0.3">
      <c r="A2808" s="3">
        <v>101</v>
      </c>
      <c r="B2808" s="3">
        <v>101</v>
      </c>
      <c r="C2808" s="4">
        <v>1380.7539999999999</v>
      </c>
      <c r="D2808" s="4">
        <v>1380.4079999999999</v>
      </c>
      <c r="E2808" s="4">
        <v>1381.1</v>
      </c>
      <c r="F2808" s="4"/>
      <c r="G2808" s="4"/>
      <c r="H2808" s="27" t="s">
        <v>4386</v>
      </c>
      <c r="I2808" s="4"/>
      <c r="J2808" s="6">
        <v>0</v>
      </c>
      <c r="K2808" s="30" t="s">
        <v>3207</v>
      </c>
      <c r="L2808" s="4"/>
      <c r="M2808" s="3"/>
    </row>
    <row r="2809" spans="1:13" x14ac:dyDescent="0.3">
      <c r="A2809" s="3">
        <v>101</v>
      </c>
      <c r="B2809" s="3">
        <v>101</v>
      </c>
      <c r="C2809" s="4">
        <v>1381.37</v>
      </c>
      <c r="D2809" s="4">
        <v>1381.1</v>
      </c>
      <c r="E2809" s="4">
        <v>1381.6389999999999</v>
      </c>
      <c r="F2809" s="4"/>
      <c r="G2809" s="4"/>
      <c r="H2809" s="28" t="s">
        <v>4387</v>
      </c>
      <c r="I2809" s="4"/>
      <c r="J2809" s="6">
        <v>0</v>
      </c>
      <c r="K2809" s="29" t="s">
        <v>3207</v>
      </c>
      <c r="L2809" s="4"/>
      <c r="M2809" s="3"/>
    </row>
    <row r="2810" spans="1:13" x14ac:dyDescent="0.3">
      <c r="A2810" s="3">
        <v>101</v>
      </c>
      <c r="B2810" s="3">
        <v>101</v>
      </c>
      <c r="C2810" s="4">
        <v>1381.827</v>
      </c>
      <c r="D2810" s="4">
        <v>1381.6389999999999</v>
      </c>
      <c r="E2810" s="4">
        <v>1382.0150000000001</v>
      </c>
      <c r="F2810" s="4"/>
      <c r="G2810" s="4"/>
      <c r="H2810" s="27" t="s">
        <v>4388</v>
      </c>
      <c r="I2810" s="4"/>
      <c r="J2810" s="6">
        <v>0</v>
      </c>
      <c r="K2810" s="30" t="s">
        <v>3207</v>
      </c>
      <c r="L2810" s="4"/>
      <c r="M2810" s="3"/>
    </row>
    <row r="2811" spans="1:13" x14ac:dyDescent="0.3">
      <c r="A2811" s="3">
        <v>101</v>
      </c>
      <c r="B2811" s="3">
        <v>101</v>
      </c>
      <c r="C2811" s="4">
        <v>1382.115</v>
      </c>
      <c r="D2811" s="4">
        <v>1382.0150000000001</v>
      </c>
      <c r="E2811" s="4">
        <v>1382.2149999999999</v>
      </c>
      <c r="F2811" s="4"/>
      <c r="G2811" s="4"/>
      <c r="H2811" s="28" t="s">
        <v>4389</v>
      </c>
      <c r="I2811" s="4"/>
      <c r="J2811" s="6">
        <v>0</v>
      </c>
      <c r="K2811" s="29" t="s">
        <v>3207</v>
      </c>
      <c r="L2811" s="4"/>
      <c r="M2811" s="3"/>
    </row>
    <row r="2812" spans="1:13" x14ac:dyDescent="0.3">
      <c r="A2812" s="3">
        <v>101</v>
      </c>
      <c r="B2812" s="3">
        <v>101</v>
      </c>
      <c r="C2812" s="4">
        <v>1382.5329999999999</v>
      </c>
      <c r="D2812" s="4">
        <v>1382.2149999999999</v>
      </c>
      <c r="E2812" s="4">
        <v>1382.85</v>
      </c>
      <c r="F2812" s="4"/>
      <c r="G2812" s="4"/>
      <c r="H2812" s="27" t="s">
        <v>4390</v>
      </c>
      <c r="I2812" s="4"/>
      <c r="J2812" s="6">
        <v>0</v>
      </c>
      <c r="K2812" s="30" t="s">
        <v>3207</v>
      </c>
      <c r="L2812" s="4"/>
      <c r="M2812" s="3"/>
    </row>
    <row r="2813" spans="1:13" x14ac:dyDescent="0.3">
      <c r="A2813" s="3">
        <v>101</v>
      </c>
      <c r="B2813" s="3">
        <v>101</v>
      </c>
      <c r="C2813" s="4">
        <v>1383.23</v>
      </c>
      <c r="D2813" s="4">
        <v>1382.85</v>
      </c>
      <c r="E2813" s="4">
        <v>1383.61</v>
      </c>
      <c r="F2813" s="4"/>
      <c r="G2813" s="4"/>
      <c r="H2813" s="28" t="s">
        <v>4391</v>
      </c>
      <c r="I2813" s="4"/>
      <c r="J2813" s="6">
        <v>0</v>
      </c>
      <c r="K2813" s="29" t="s">
        <v>3207</v>
      </c>
      <c r="L2813" s="4"/>
      <c r="M2813" s="3"/>
    </row>
    <row r="2814" spans="1:13" x14ac:dyDescent="0.3">
      <c r="A2814" s="3">
        <v>101</v>
      </c>
      <c r="B2814" s="3">
        <v>101</v>
      </c>
      <c r="C2814" s="4">
        <v>1383.7550000000001</v>
      </c>
      <c r="D2814" s="4">
        <v>1383.61</v>
      </c>
      <c r="E2814" s="4">
        <v>1383.9</v>
      </c>
      <c r="F2814" s="4"/>
      <c r="G2814" s="4"/>
      <c r="H2814" s="27" t="s">
        <v>4392</v>
      </c>
      <c r="I2814" s="4"/>
      <c r="J2814" s="6">
        <v>0</v>
      </c>
      <c r="K2814" s="30" t="s">
        <v>3207</v>
      </c>
      <c r="L2814" s="4"/>
      <c r="M2814" s="3"/>
    </row>
    <row r="2815" spans="1:13" x14ac:dyDescent="0.3">
      <c r="A2815" s="3">
        <v>101</v>
      </c>
      <c r="B2815" s="3">
        <v>101</v>
      </c>
      <c r="C2815" s="4">
        <v>1384.095</v>
      </c>
      <c r="D2815" s="4">
        <v>1383.9</v>
      </c>
      <c r="E2815" s="4">
        <v>1384.29</v>
      </c>
      <c r="F2815" s="4"/>
      <c r="G2815" s="4"/>
      <c r="H2815" s="28" t="s">
        <v>4393</v>
      </c>
      <c r="I2815" s="4"/>
      <c r="J2815" s="6">
        <v>0</v>
      </c>
      <c r="K2815" s="29" t="s">
        <v>3207</v>
      </c>
      <c r="L2815" s="4"/>
      <c r="M2815" s="3"/>
    </row>
    <row r="2816" spans="1:13" x14ac:dyDescent="0.3">
      <c r="A2816" s="3">
        <v>101</v>
      </c>
      <c r="B2816" s="3">
        <v>101</v>
      </c>
      <c r="C2816" s="4">
        <v>1384.31</v>
      </c>
      <c r="D2816" s="4">
        <v>1384.29</v>
      </c>
      <c r="E2816" s="4">
        <v>1384.33</v>
      </c>
      <c r="F2816" s="4"/>
      <c r="G2816" s="4"/>
      <c r="H2816" s="27" t="s">
        <v>4394</v>
      </c>
      <c r="I2816" s="4"/>
      <c r="J2816" s="6">
        <v>0</v>
      </c>
      <c r="K2816" s="30" t="s">
        <v>3207</v>
      </c>
      <c r="L2816" s="4"/>
      <c r="M2816" s="3"/>
    </row>
    <row r="2817" spans="1:13" x14ac:dyDescent="0.3">
      <c r="A2817" s="3">
        <v>101</v>
      </c>
      <c r="B2817" s="3">
        <v>101</v>
      </c>
      <c r="C2817" s="4">
        <v>1384.7850000000001</v>
      </c>
      <c r="D2817" s="4">
        <v>1384.33</v>
      </c>
      <c r="E2817" s="4">
        <v>1385.239</v>
      </c>
      <c r="F2817" s="4"/>
      <c r="G2817" s="4"/>
      <c r="H2817" s="28" t="s">
        <v>4395</v>
      </c>
      <c r="I2817" s="4"/>
      <c r="J2817" s="6">
        <v>0</v>
      </c>
      <c r="K2817" s="29" t="s">
        <v>3207</v>
      </c>
      <c r="L2817" s="4"/>
      <c r="M2817" s="3"/>
    </row>
    <row r="2818" spans="1:13" x14ac:dyDescent="0.3">
      <c r="A2818" s="3">
        <v>101</v>
      </c>
      <c r="B2818" s="3">
        <v>101</v>
      </c>
      <c r="C2818" s="4">
        <v>1385.2539999999999</v>
      </c>
      <c r="D2818" s="4">
        <v>1385.239</v>
      </c>
      <c r="E2818" s="4">
        <v>1385.269</v>
      </c>
      <c r="F2818" s="4"/>
      <c r="G2818" s="4"/>
      <c r="H2818" s="27" t="s">
        <v>4396</v>
      </c>
      <c r="I2818" s="4"/>
      <c r="J2818" s="6">
        <v>0</v>
      </c>
      <c r="K2818" s="30" t="s">
        <v>3207</v>
      </c>
      <c r="L2818" s="4"/>
      <c r="M2818" s="3"/>
    </row>
    <row r="2819" spans="1:13" x14ac:dyDescent="0.3">
      <c r="A2819" s="3">
        <v>101</v>
      </c>
      <c r="B2819" s="3">
        <v>101</v>
      </c>
      <c r="C2819" s="4">
        <v>1385.6320000000001</v>
      </c>
      <c r="D2819" s="4">
        <v>1385.269</v>
      </c>
      <c r="E2819" s="4">
        <v>1385.9949999999999</v>
      </c>
      <c r="F2819" s="4"/>
      <c r="G2819" s="4"/>
      <c r="H2819" s="28" t="s">
        <v>4397</v>
      </c>
      <c r="I2819" s="4"/>
      <c r="J2819" s="6">
        <v>0</v>
      </c>
      <c r="K2819" s="29" t="s">
        <v>3207</v>
      </c>
      <c r="L2819" s="4"/>
      <c r="M2819" s="3"/>
    </row>
    <row r="2820" spans="1:13" x14ac:dyDescent="0.3">
      <c r="A2820" s="3">
        <v>101</v>
      </c>
      <c r="B2820" s="3">
        <v>101</v>
      </c>
      <c r="C2820" s="4">
        <v>1386.028</v>
      </c>
      <c r="D2820" s="4">
        <v>1385.9949999999999</v>
      </c>
      <c r="E2820" s="4">
        <v>1386.0609999999999</v>
      </c>
      <c r="F2820" s="4"/>
      <c r="G2820" s="4"/>
      <c r="H2820" s="27" t="s">
        <v>4398</v>
      </c>
      <c r="I2820" s="4"/>
      <c r="J2820" s="6">
        <v>0</v>
      </c>
      <c r="K2820" s="30" t="s">
        <v>3207</v>
      </c>
      <c r="L2820" s="4"/>
      <c r="M2820" s="3"/>
    </row>
    <row r="2821" spans="1:13" x14ac:dyDescent="0.3">
      <c r="A2821" s="3">
        <v>101</v>
      </c>
      <c r="B2821" s="3">
        <v>101</v>
      </c>
      <c r="C2821" s="4">
        <v>1386.4259999999999</v>
      </c>
      <c r="D2821" s="4">
        <v>1386.0609999999999</v>
      </c>
      <c r="E2821" s="4">
        <v>1386.79</v>
      </c>
      <c r="F2821" s="4"/>
      <c r="G2821" s="4"/>
      <c r="H2821" s="28" t="s">
        <v>4399</v>
      </c>
      <c r="I2821" s="4"/>
      <c r="J2821" s="6">
        <v>0</v>
      </c>
      <c r="K2821" s="29" t="s">
        <v>3207</v>
      </c>
      <c r="L2821" s="4"/>
      <c r="M2821" s="3"/>
    </row>
    <row r="2822" spans="1:13" x14ac:dyDescent="0.3">
      <c r="A2822" s="3">
        <v>101</v>
      </c>
      <c r="B2822" s="3">
        <v>101</v>
      </c>
      <c r="C2822" s="4">
        <v>1387.0229999999999</v>
      </c>
      <c r="D2822" s="4">
        <v>1386.79</v>
      </c>
      <c r="E2822" s="4">
        <v>1387.2560000000001</v>
      </c>
      <c r="F2822" s="4"/>
      <c r="G2822" s="4"/>
      <c r="H2822" s="27" t="s">
        <v>4400</v>
      </c>
      <c r="I2822" s="4"/>
      <c r="J2822" s="6">
        <v>0</v>
      </c>
      <c r="K2822" s="30" t="s">
        <v>3207</v>
      </c>
      <c r="L2822" s="4"/>
      <c r="M2822" s="3"/>
    </row>
    <row r="2823" spans="1:13" x14ac:dyDescent="0.3">
      <c r="A2823" s="3">
        <v>101</v>
      </c>
      <c r="B2823" s="3">
        <v>101</v>
      </c>
      <c r="C2823" s="4">
        <v>1387.518</v>
      </c>
      <c r="D2823" s="4">
        <v>1387.2560000000001</v>
      </c>
      <c r="E2823" s="4">
        <v>1387.78</v>
      </c>
      <c r="F2823" s="4"/>
      <c r="G2823" s="4"/>
      <c r="H2823" s="28" t="s">
        <v>4401</v>
      </c>
      <c r="I2823" s="4"/>
      <c r="J2823" s="6">
        <v>0</v>
      </c>
      <c r="K2823" s="29" t="s">
        <v>3207</v>
      </c>
      <c r="L2823" s="4"/>
      <c r="M2823" s="3"/>
    </row>
    <row r="2824" spans="1:13" x14ac:dyDescent="0.3">
      <c r="A2824" s="3">
        <v>101</v>
      </c>
      <c r="B2824" s="3">
        <v>101</v>
      </c>
      <c r="C2824" s="4">
        <v>1387.798</v>
      </c>
      <c r="D2824" s="4">
        <v>1387.78</v>
      </c>
      <c r="E2824" s="4">
        <v>1387.8150000000001</v>
      </c>
      <c r="F2824" s="4"/>
      <c r="G2824" s="4"/>
      <c r="H2824" s="27" t="s">
        <v>4402</v>
      </c>
      <c r="I2824" s="4"/>
      <c r="J2824" s="6">
        <v>0</v>
      </c>
      <c r="K2824" s="30" t="s">
        <v>3207</v>
      </c>
      <c r="L2824" s="4"/>
      <c r="M2824" s="3"/>
    </row>
    <row r="2825" spans="1:13" x14ac:dyDescent="0.3">
      <c r="A2825" s="3">
        <v>101</v>
      </c>
      <c r="B2825" s="3">
        <v>101</v>
      </c>
      <c r="C2825" s="4">
        <v>1388.0329999999999</v>
      </c>
      <c r="D2825" s="4">
        <v>1387.8150000000001</v>
      </c>
      <c r="E2825" s="4">
        <v>1388.25</v>
      </c>
      <c r="F2825" s="4"/>
      <c r="G2825" s="4"/>
      <c r="H2825" s="28" t="s">
        <v>4403</v>
      </c>
      <c r="I2825" s="4"/>
      <c r="J2825" s="6">
        <v>0</v>
      </c>
      <c r="K2825" s="29" t="s">
        <v>3207</v>
      </c>
      <c r="L2825" s="4"/>
      <c r="M2825" s="3"/>
    </row>
    <row r="2826" spans="1:13" x14ac:dyDescent="0.3">
      <c r="A2826" s="3">
        <v>101</v>
      </c>
      <c r="B2826" s="3">
        <v>101</v>
      </c>
      <c r="C2826" s="4">
        <v>1388.53</v>
      </c>
      <c r="D2826" s="4">
        <v>1388.25</v>
      </c>
      <c r="E2826" s="4">
        <v>1388.809</v>
      </c>
      <c r="F2826" s="4"/>
      <c r="G2826" s="4"/>
      <c r="H2826" s="27" t="s">
        <v>4404</v>
      </c>
      <c r="I2826" s="4"/>
      <c r="J2826" s="6">
        <v>0</v>
      </c>
      <c r="K2826" s="30" t="s">
        <v>3207</v>
      </c>
      <c r="L2826" s="4"/>
      <c r="M2826" s="3"/>
    </row>
    <row r="2827" spans="1:13" x14ac:dyDescent="0.3">
      <c r="A2827" s="3">
        <v>101</v>
      </c>
      <c r="B2827" s="3">
        <v>101</v>
      </c>
      <c r="C2827" s="4">
        <v>1389.183</v>
      </c>
      <c r="D2827" s="4">
        <v>1388.809</v>
      </c>
      <c r="E2827" s="4">
        <v>1389.557</v>
      </c>
      <c r="F2827" s="4"/>
      <c r="G2827" s="4"/>
      <c r="H2827" s="28" t="s">
        <v>4405</v>
      </c>
      <c r="I2827" s="4"/>
      <c r="J2827" s="6">
        <v>0</v>
      </c>
      <c r="K2827" s="29" t="s">
        <v>3207</v>
      </c>
      <c r="L2827" s="4"/>
      <c r="M2827" s="3"/>
    </row>
    <row r="2828" spans="1:13" x14ac:dyDescent="0.3">
      <c r="A2828" s="3">
        <v>101</v>
      </c>
      <c r="B2828" s="3">
        <v>101</v>
      </c>
      <c r="C2828" s="4">
        <v>1389.864</v>
      </c>
      <c r="D2828" s="4">
        <v>1389.557</v>
      </c>
      <c r="E2828" s="4">
        <v>1390.17</v>
      </c>
      <c r="F2828" s="4"/>
      <c r="G2828" s="4"/>
      <c r="H2828" s="27" t="s">
        <v>4406</v>
      </c>
      <c r="I2828" s="4"/>
      <c r="J2828" s="6">
        <v>0</v>
      </c>
      <c r="K2828" s="30" t="s">
        <v>3207</v>
      </c>
      <c r="L2828" s="4"/>
      <c r="M2828" s="3"/>
    </row>
    <row r="2829" spans="1:13" x14ac:dyDescent="0.3">
      <c r="A2829" s="3">
        <v>101</v>
      </c>
      <c r="B2829" s="3">
        <v>101</v>
      </c>
      <c r="C2829" s="4">
        <v>1390.2950000000001</v>
      </c>
      <c r="D2829" s="4">
        <v>1390.17</v>
      </c>
      <c r="E2829" s="4">
        <v>1390.42</v>
      </c>
      <c r="F2829" s="4"/>
      <c r="G2829" s="4"/>
      <c r="H2829" s="28" t="s">
        <v>4407</v>
      </c>
      <c r="I2829" s="4"/>
      <c r="J2829" s="6">
        <v>0</v>
      </c>
      <c r="K2829" s="29" t="s">
        <v>3207</v>
      </c>
      <c r="L2829" s="4"/>
      <c r="M2829" s="3"/>
    </row>
    <row r="2830" spans="1:13" x14ac:dyDescent="0.3">
      <c r="A2830" s="3">
        <v>101</v>
      </c>
      <c r="B2830" s="3">
        <v>101</v>
      </c>
      <c r="C2830" s="4">
        <v>1390.54</v>
      </c>
      <c r="D2830" s="4">
        <v>1390.42</v>
      </c>
      <c r="E2830" s="4">
        <v>1390.66</v>
      </c>
      <c r="F2830" s="4"/>
      <c r="G2830" s="4"/>
      <c r="H2830" s="27" t="s">
        <v>4408</v>
      </c>
      <c r="I2830" s="4"/>
      <c r="J2830" s="6">
        <v>0</v>
      </c>
      <c r="K2830" s="30" t="s">
        <v>3207</v>
      </c>
      <c r="L2830" s="4"/>
      <c r="M2830" s="3"/>
    </row>
    <row r="2831" spans="1:13" x14ac:dyDescent="0.3">
      <c r="A2831" s="3">
        <v>101</v>
      </c>
      <c r="B2831" s="3">
        <v>101</v>
      </c>
      <c r="C2831" s="4">
        <v>1390.6849999999999</v>
      </c>
      <c r="D2831" s="4">
        <v>1390.66</v>
      </c>
      <c r="E2831" s="4">
        <v>1390.71</v>
      </c>
      <c r="F2831" s="4"/>
      <c r="G2831" s="4"/>
      <c r="H2831" s="28" t="s">
        <v>4409</v>
      </c>
      <c r="I2831" s="4"/>
      <c r="J2831" s="6">
        <v>0</v>
      </c>
      <c r="K2831" s="29" t="s">
        <v>3207</v>
      </c>
      <c r="L2831" s="4"/>
      <c r="M2831" s="3"/>
    </row>
    <row r="2832" spans="1:13" x14ac:dyDescent="0.3">
      <c r="A2832" s="3">
        <v>101</v>
      </c>
      <c r="B2832" s="3">
        <v>101</v>
      </c>
      <c r="C2832" s="4">
        <v>1390.923</v>
      </c>
      <c r="D2832" s="4">
        <v>1390.71</v>
      </c>
      <c r="E2832" s="4">
        <v>1391.136</v>
      </c>
      <c r="F2832" s="4"/>
      <c r="G2832" s="4"/>
      <c r="H2832" s="27" t="s">
        <v>4410</v>
      </c>
      <c r="I2832" s="4"/>
      <c r="J2832" s="6">
        <v>0</v>
      </c>
      <c r="K2832" s="30" t="s">
        <v>3207</v>
      </c>
      <c r="L2832" s="4"/>
      <c r="M2832" s="3"/>
    </row>
    <row r="2833" spans="1:13" x14ac:dyDescent="0.3">
      <c r="A2833" s="3">
        <v>101</v>
      </c>
      <c r="B2833" s="3">
        <v>101</v>
      </c>
      <c r="C2833" s="4">
        <v>1391.16</v>
      </c>
      <c r="D2833" s="4">
        <v>1391.136</v>
      </c>
      <c r="E2833" s="4">
        <v>1391.183</v>
      </c>
      <c r="F2833" s="4"/>
      <c r="G2833" s="4"/>
      <c r="H2833" s="28" t="s">
        <v>4411</v>
      </c>
      <c r="I2833" s="4"/>
      <c r="J2833" s="6">
        <v>0</v>
      </c>
      <c r="K2833" s="29" t="s">
        <v>3207</v>
      </c>
      <c r="L2833" s="4"/>
      <c r="M2833" s="3"/>
    </row>
    <row r="2834" spans="1:13" x14ac:dyDescent="0.3">
      <c r="A2834" s="3">
        <v>101</v>
      </c>
      <c r="B2834" s="3">
        <v>101</v>
      </c>
      <c r="C2834" s="4">
        <v>1391.452</v>
      </c>
      <c r="D2834" s="4">
        <v>1391.183</v>
      </c>
      <c r="E2834" s="4">
        <v>1391.72</v>
      </c>
      <c r="F2834" s="4"/>
      <c r="G2834" s="4"/>
      <c r="H2834" s="27" t="s">
        <v>4412</v>
      </c>
      <c r="I2834" s="4"/>
      <c r="J2834" s="6">
        <v>0</v>
      </c>
      <c r="K2834" s="30" t="s">
        <v>3207</v>
      </c>
      <c r="L2834" s="4"/>
      <c r="M2834" s="3"/>
    </row>
    <row r="2835" spans="1:13" x14ac:dyDescent="0.3">
      <c r="A2835" s="3">
        <v>101</v>
      </c>
      <c r="B2835" s="3">
        <v>101</v>
      </c>
      <c r="C2835" s="4">
        <v>1391.741</v>
      </c>
      <c r="D2835" s="4">
        <v>1391.72</v>
      </c>
      <c r="E2835" s="4">
        <v>1391.761</v>
      </c>
      <c r="F2835" s="4"/>
      <c r="G2835" s="4"/>
      <c r="H2835" s="28" t="s">
        <v>4413</v>
      </c>
      <c r="I2835" s="4"/>
      <c r="J2835" s="6">
        <v>0</v>
      </c>
      <c r="K2835" s="29" t="s">
        <v>3207</v>
      </c>
      <c r="L2835" s="4"/>
      <c r="M2835" s="3"/>
    </row>
    <row r="2836" spans="1:13" x14ac:dyDescent="0.3">
      <c r="A2836" s="3">
        <v>101</v>
      </c>
      <c r="B2836" s="3">
        <v>101</v>
      </c>
      <c r="C2836" s="4">
        <v>1392.086</v>
      </c>
      <c r="D2836" s="4">
        <v>1391.761</v>
      </c>
      <c r="E2836" s="4">
        <v>1392.41</v>
      </c>
      <c r="F2836" s="4"/>
      <c r="G2836" s="4"/>
      <c r="H2836" s="27" t="s">
        <v>4414</v>
      </c>
      <c r="I2836" s="4"/>
      <c r="J2836" s="6">
        <v>0</v>
      </c>
      <c r="K2836" s="30" t="s">
        <v>3207</v>
      </c>
      <c r="L2836" s="4"/>
      <c r="M2836" s="3"/>
    </row>
    <row r="2837" spans="1:13" x14ac:dyDescent="0.3">
      <c r="A2837" s="3">
        <v>101</v>
      </c>
      <c r="B2837" s="3">
        <v>101</v>
      </c>
      <c r="C2837" s="4">
        <v>1392.808</v>
      </c>
      <c r="D2837" s="4">
        <v>1392.41</v>
      </c>
      <c r="E2837" s="4">
        <v>1393.2049999999999</v>
      </c>
      <c r="F2837" s="4"/>
      <c r="G2837" s="4"/>
      <c r="H2837" s="28" t="s">
        <v>4415</v>
      </c>
      <c r="I2837" s="4"/>
      <c r="J2837" s="6">
        <v>0</v>
      </c>
      <c r="K2837" s="29" t="s">
        <v>3207</v>
      </c>
      <c r="L2837" s="4"/>
      <c r="M2837" s="3"/>
    </row>
    <row r="2838" spans="1:13" x14ac:dyDescent="0.3">
      <c r="A2838" s="3">
        <v>101</v>
      </c>
      <c r="B2838" s="3">
        <v>101</v>
      </c>
      <c r="C2838" s="4">
        <v>1393.3119999999999</v>
      </c>
      <c r="D2838" s="4">
        <v>1393.2049999999999</v>
      </c>
      <c r="E2838" s="4">
        <v>1393.4190000000001</v>
      </c>
      <c r="F2838" s="4"/>
      <c r="G2838" s="4"/>
      <c r="H2838" s="27" t="s">
        <v>4416</v>
      </c>
      <c r="I2838" s="4"/>
      <c r="J2838" s="6">
        <v>0</v>
      </c>
      <c r="K2838" s="30" t="s">
        <v>3207</v>
      </c>
      <c r="L2838" s="4"/>
      <c r="M2838" s="3"/>
    </row>
    <row r="2839" spans="1:13" x14ac:dyDescent="0.3">
      <c r="A2839" s="3">
        <v>101</v>
      </c>
      <c r="B2839" s="3">
        <v>101</v>
      </c>
      <c r="C2839" s="4">
        <v>1393.69</v>
      </c>
      <c r="D2839" s="4">
        <v>1393.4190000000001</v>
      </c>
      <c r="E2839" s="4">
        <v>1393.96</v>
      </c>
      <c r="F2839" s="4"/>
      <c r="G2839" s="4"/>
      <c r="H2839" s="28" t="s">
        <v>4417</v>
      </c>
      <c r="I2839" s="4"/>
      <c r="J2839" s="6">
        <v>0</v>
      </c>
      <c r="K2839" s="29" t="s">
        <v>3207</v>
      </c>
      <c r="L2839" s="4"/>
      <c r="M2839" s="3"/>
    </row>
    <row r="2840" spans="1:13" x14ac:dyDescent="0.3">
      <c r="A2840" s="3">
        <v>101</v>
      </c>
      <c r="B2840" s="3">
        <v>101</v>
      </c>
      <c r="C2840" s="4">
        <v>1394.0309999999999</v>
      </c>
      <c r="D2840" s="4">
        <v>1393.96</v>
      </c>
      <c r="E2840" s="4">
        <v>1394.1020000000001</v>
      </c>
      <c r="F2840" s="4"/>
      <c r="G2840" s="4"/>
      <c r="H2840" s="27" t="s">
        <v>4418</v>
      </c>
      <c r="I2840" s="4"/>
      <c r="J2840" s="6">
        <v>0</v>
      </c>
      <c r="K2840" s="30" t="s">
        <v>3207</v>
      </c>
      <c r="L2840" s="4"/>
      <c r="M2840" s="3"/>
    </row>
    <row r="2841" spans="1:13" x14ac:dyDescent="0.3">
      <c r="A2841" s="3">
        <v>101</v>
      </c>
      <c r="B2841" s="3">
        <v>101</v>
      </c>
      <c r="C2841" s="4">
        <v>1394.4549999999999</v>
      </c>
      <c r="D2841" s="4">
        <v>1394.1020000000001</v>
      </c>
      <c r="E2841" s="4">
        <v>1394.807</v>
      </c>
      <c r="F2841" s="4"/>
      <c r="G2841" s="4"/>
      <c r="H2841" s="28" t="s">
        <v>4419</v>
      </c>
      <c r="I2841" s="4"/>
      <c r="J2841" s="6">
        <v>0</v>
      </c>
      <c r="K2841" s="29" t="s">
        <v>3207</v>
      </c>
      <c r="L2841" s="4"/>
      <c r="M2841" s="3"/>
    </row>
    <row r="2842" spans="1:13" x14ac:dyDescent="0.3">
      <c r="A2842" s="3">
        <v>101</v>
      </c>
      <c r="B2842" s="3">
        <v>101</v>
      </c>
      <c r="C2842" s="4">
        <v>1394.9590000000001</v>
      </c>
      <c r="D2842" s="4">
        <v>1394.807</v>
      </c>
      <c r="E2842" s="4">
        <v>1395.11</v>
      </c>
      <c r="F2842" s="4"/>
      <c r="G2842" s="4"/>
      <c r="H2842" s="27" t="s">
        <v>4420</v>
      </c>
      <c r="I2842" s="4"/>
      <c r="J2842" s="6">
        <v>0</v>
      </c>
      <c r="K2842" s="30" t="s">
        <v>3207</v>
      </c>
      <c r="L2842" s="4"/>
      <c r="M2842" s="3"/>
    </row>
    <row r="2843" spans="1:13" x14ac:dyDescent="0.3">
      <c r="A2843" s="17">
        <v>101</v>
      </c>
      <c r="B2843" s="19">
        <v>101</v>
      </c>
      <c r="C2843" s="23">
        <v>1395.4079999999999</v>
      </c>
      <c r="D2843" s="23">
        <v>1395.11</v>
      </c>
      <c r="E2843" s="23">
        <v>1395.7049999999999</v>
      </c>
      <c r="F2843" s="4"/>
      <c r="G2843" s="4"/>
      <c r="H2843" s="28" t="s">
        <v>4421</v>
      </c>
      <c r="I2843" s="4"/>
      <c r="J2843" s="6">
        <v>0</v>
      </c>
      <c r="K2843" s="29" t="s">
        <v>3207</v>
      </c>
      <c r="L2843" s="4"/>
      <c r="M2843" s="3"/>
    </row>
    <row r="2844" spans="1:13" x14ac:dyDescent="0.3">
      <c r="A2844" s="18">
        <v>101</v>
      </c>
      <c r="B2844" s="20">
        <v>101</v>
      </c>
      <c r="C2844" s="24">
        <v>1395.759</v>
      </c>
      <c r="D2844" s="24">
        <v>1395.7049999999999</v>
      </c>
      <c r="E2844" s="24">
        <v>1395.8119999999999</v>
      </c>
      <c r="F2844" s="4"/>
      <c r="G2844" s="4"/>
      <c r="H2844" s="27" t="s">
        <v>4422</v>
      </c>
      <c r="I2844" s="4"/>
      <c r="J2844" s="6">
        <v>0</v>
      </c>
      <c r="K2844" s="30" t="s">
        <v>3207</v>
      </c>
      <c r="L2844" s="4"/>
      <c r="M2844" s="3"/>
    </row>
    <row r="2845" spans="1:13" x14ac:dyDescent="0.3">
      <c r="A2845" s="17">
        <v>101</v>
      </c>
      <c r="B2845" s="19">
        <v>101</v>
      </c>
      <c r="C2845" s="23">
        <v>1396.0260000000001</v>
      </c>
      <c r="D2845" s="23">
        <v>1395.8119999999999</v>
      </c>
      <c r="E2845" s="23">
        <v>1396.24</v>
      </c>
      <c r="F2845" s="4"/>
      <c r="G2845" s="4"/>
      <c r="H2845" s="28" t="s">
        <v>4423</v>
      </c>
      <c r="I2845" s="4"/>
      <c r="J2845" s="6">
        <v>0</v>
      </c>
      <c r="K2845" s="29" t="s">
        <v>3207</v>
      </c>
      <c r="L2845" s="4"/>
      <c r="M2845" s="3"/>
    </row>
    <row r="2846" spans="1:13" x14ac:dyDescent="0.3">
      <c r="A2846" s="18">
        <v>101</v>
      </c>
      <c r="B2846" s="20">
        <v>101</v>
      </c>
      <c r="C2846" s="24">
        <v>1396.385</v>
      </c>
      <c r="D2846" s="24">
        <v>1396.24</v>
      </c>
      <c r="E2846" s="24">
        <v>1396.53</v>
      </c>
      <c r="F2846" s="4"/>
      <c r="G2846" s="4"/>
      <c r="H2846" s="27" t="s">
        <v>4424</v>
      </c>
      <c r="I2846" s="4"/>
      <c r="J2846" s="6">
        <v>0</v>
      </c>
      <c r="K2846" s="30" t="s">
        <v>3207</v>
      </c>
      <c r="L2846" s="4"/>
      <c r="M2846" s="3"/>
    </row>
    <row r="2847" spans="1:13" x14ac:dyDescent="0.3">
      <c r="A2847" s="17">
        <v>101</v>
      </c>
      <c r="B2847" s="19">
        <v>101</v>
      </c>
      <c r="C2847" s="23">
        <v>1396.838</v>
      </c>
      <c r="D2847" s="23">
        <v>1396.53</v>
      </c>
      <c r="E2847" s="23">
        <v>1397.145</v>
      </c>
      <c r="F2847" s="4"/>
      <c r="G2847" s="4"/>
      <c r="H2847" s="28" t="s">
        <v>4425</v>
      </c>
      <c r="I2847" s="4"/>
      <c r="J2847" s="6">
        <v>0</v>
      </c>
      <c r="K2847" s="29" t="s">
        <v>3207</v>
      </c>
      <c r="L2847" s="4"/>
      <c r="M2847" s="3"/>
    </row>
    <row r="2848" spans="1:13" x14ac:dyDescent="0.3">
      <c r="A2848" s="18">
        <v>101</v>
      </c>
      <c r="B2848" s="20">
        <v>101</v>
      </c>
      <c r="C2848" s="24">
        <v>1397.2380000000001</v>
      </c>
      <c r="D2848" s="24">
        <v>1397.145</v>
      </c>
      <c r="E2848" s="24">
        <v>1397.33</v>
      </c>
      <c r="F2848" s="4"/>
      <c r="G2848" s="4"/>
      <c r="H2848" s="27" t="s">
        <v>4426</v>
      </c>
      <c r="I2848" s="4"/>
      <c r="J2848" s="6">
        <v>0</v>
      </c>
      <c r="K2848" s="30" t="s">
        <v>3207</v>
      </c>
      <c r="L2848" s="4"/>
      <c r="M2848" s="3"/>
    </row>
    <row r="2849" spans="1:13" x14ac:dyDescent="0.3">
      <c r="A2849" s="17">
        <v>101</v>
      </c>
      <c r="B2849" s="19">
        <v>101</v>
      </c>
      <c r="C2849" s="23">
        <v>1397.5</v>
      </c>
      <c r="D2849" s="23">
        <v>1397.33</v>
      </c>
      <c r="E2849" s="23">
        <v>1397.67</v>
      </c>
      <c r="F2849" s="4"/>
      <c r="G2849" s="4"/>
      <c r="H2849" s="28" t="s">
        <v>4427</v>
      </c>
      <c r="I2849" s="4"/>
      <c r="J2849" s="6">
        <v>0</v>
      </c>
      <c r="K2849" s="29" t="s">
        <v>3207</v>
      </c>
      <c r="L2849" s="4"/>
      <c r="M2849" s="3"/>
    </row>
    <row r="2850" spans="1:13" x14ac:dyDescent="0.3">
      <c r="A2850" s="18">
        <v>101</v>
      </c>
      <c r="B2850" s="20">
        <v>101</v>
      </c>
      <c r="C2850" s="24">
        <v>1397.94</v>
      </c>
      <c r="D2850" s="24">
        <v>1397.67</v>
      </c>
      <c r="E2850" s="24">
        <v>1398.2090000000001</v>
      </c>
      <c r="F2850" s="4"/>
      <c r="G2850" s="4"/>
      <c r="H2850" s="27" t="s">
        <v>4428</v>
      </c>
      <c r="I2850" s="4"/>
      <c r="J2850" s="6">
        <v>0</v>
      </c>
      <c r="K2850" s="30" t="s">
        <v>3207</v>
      </c>
      <c r="L2850" s="4"/>
      <c r="M2850" s="3"/>
    </row>
    <row r="2851" spans="1:13" x14ac:dyDescent="0.3">
      <c r="A2851" s="17">
        <v>101</v>
      </c>
      <c r="B2851" s="19">
        <v>101</v>
      </c>
      <c r="C2851" s="23">
        <v>1398.652</v>
      </c>
      <c r="D2851" s="23">
        <v>1398.2090000000001</v>
      </c>
      <c r="E2851" s="23">
        <v>1399.095</v>
      </c>
      <c r="F2851" s="4"/>
      <c r="G2851" s="4"/>
      <c r="H2851" s="28" t="s">
        <v>4429</v>
      </c>
      <c r="I2851" s="4"/>
      <c r="J2851" s="6">
        <v>0</v>
      </c>
      <c r="K2851" s="29" t="s">
        <v>3207</v>
      </c>
      <c r="L2851" s="4"/>
      <c r="M2851" s="3"/>
    </row>
    <row r="2852" spans="1:13" x14ac:dyDescent="0.3">
      <c r="A2852" s="18">
        <v>101</v>
      </c>
      <c r="B2852" s="20">
        <v>101</v>
      </c>
      <c r="C2852" s="24">
        <v>1399.415</v>
      </c>
      <c r="D2852" s="24">
        <v>1399.095</v>
      </c>
      <c r="E2852" s="24">
        <v>1399.7339999999999</v>
      </c>
      <c r="F2852" s="4"/>
      <c r="G2852" s="4"/>
      <c r="H2852" s="27" t="s">
        <v>4430</v>
      </c>
      <c r="I2852" s="4"/>
      <c r="J2852" s="6">
        <v>0</v>
      </c>
      <c r="K2852" s="30" t="s">
        <v>3207</v>
      </c>
      <c r="L2852" s="4"/>
      <c r="M2852" s="3"/>
    </row>
    <row r="2853" spans="1:13" x14ac:dyDescent="0.3">
      <c r="A2853" s="17">
        <v>101</v>
      </c>
      <c r="B2853" s="19">
        <v>101</v>
      </c>
      <c r="C2853" s="23">
        <v>1399.9159999999999</v>
      </c>
      <c r="D2853" s="23">
        <v>1399.7339999999999</v>
      </c>
      <c r="E2853" s="23">
        <v>1400.098</v>
      </c>
      <c r="F2853" s="4"/>
      <c r="G2853" s="4"/>
      <c r="H2853" s="28" t="s">
        <v>4431</v>
      </c>
      <c r="I2853" s="4"/>
      <c r="J2853" s="6">
        <v>0</v>
      </c>
      <c r="K2853" s="29" t="s">
        <v>3207</v>
      </c>
      <c r="L2853" s="4"/>
      <c r="M2853" s="3"/>
    </row>
    <row r="2854" spans="1:13" x14ac:dyDescent="0.3">
      <c r="A2854" s="18">
        <v>101</v>
      </c>
      <c r="B2854" s="20">
        <v>101</v>
      </c>
      <c r="C2854" s="24">
        <v>1400.12</v>
      </c>
      <c r="D2854" s="24">
        <v>1400.098</v>
      </c>
      <c r="E2854" s="24">
        <v>1400.1420000000001</v>
      </c>
      <c r="F2854" s="4"/>
      <c r="G2854" s="4"/>
      <c r="H2854" s="27" t="s">
        <v>4432</v>
      </c>
      <c r="I2854" s="4"/>
      <c r="J2854" s="6">
        <v>0</v>
      </c>
      <c r="K2854" s="30" t="s">
        <v>3207</v>
      </c>
      <c r="L2854" s="4"/>
      <c r="M2854" s="3"/>
    </row>
    <row r="2855" spans="1:13" x14ac:dyDescent="0.3">
      <c r="A2855" s="17">
        <v>101</v>
      </c>
      <c r="B2855" s="19">
        <v>101</v>
      </c>
      <c r="C2855" s="23">
        <v>1400.3230000000001</v>
      </c>
      <c r="D2855" s="23">
        <v>1400.1420000000001</v>
      </c>
      <c r="E2855" s="23">
        <v>1400.5039999999999</v>
      </c>
      <c r="F2855" s="4"/>
      <c r="G2855" s="4"/>
      <c r="H2855" s="28" t="s">
        <v>4433</v>
      </c>
      <c r="I2855" s="4"/>
      <c r="J2855" s="6">
        <v>0</v>
      </c>
      <c r="K2855" s="29" t="s">
        <v>3207</v>
      </c>
      <c r="L2855" s="4"/>
      <c r="M2855" s="3"/>
    </row>
    <row r="2856" spans="1:13" x14ac:dyDescent="0.3">
      <c r="A2856" s="18">
        <v>101</v>
      </c>
      <c r="B2856" s="20">
        <v>101</v>
      </c>
      <c r="C2856" s="24">
        <v>1400.5229999999999</v>
      </c>
      <c r="D2856" s="24">
        <v>1400.5039999999999</v>
      </c>
      <c r="E2856" s="24">
        <v>1400.5409999999999</v>
      </c>
      <c r="F2856" s="4"/>
      <c r="G2856" s="4"/>
      <c r="H2856" s="27" t="s">
        <v>4434</v>
      </c>
      <c r="I2856" s="4"/>
      <c r="J2856" s="6">
        <v>0</v>
      </c>
      <c r="K2856" s="30" t="s">
        <v>3207</v>
      </c>
      <c r="L2856" s="4"/>
      <c r="M2856" s="3"/>
    </row>
    <row r="2857" spans="1:13" x14ac:dyDescent="0.3">
      <c r="A2857" s="17">
        <v>101</v>
      </c>
      <c r="B2857" s="19">
        <v>101</v>
      </c>
      <c r="C2857" s="23">
        <v>1400.635</v>
      </c>
      <c r="D2857" s="23">
        <v>1400.5409999999999</v>
      </c>
      <c r="E2857" s="23">
        <v>1400.7280000000001</v>
      </c>
      <c r="F2857" s="4"/>
      <c r="G2857" s="4"/>
      <c r="H2857" s="28" t="s">
        <v>4435</v>
      </c>
      <c r="I2857" s="4"/>
      <c r="J2857" s="6">
        <v>0</v>
      </c>
      <c r="K2857" s="29" t="s">
        <v>3207</v>
      </c>
      <c r="L2857" s="4"/>
      <c r="M2857" s="3"/>
    </row>
    <row r="2858" spans="1:13" x14ac:dyDescent="0.3">
      <c r="A2858" s="18">
        <v>101</v>
      </c>
      <c r="B2858" s="20">
        <v>101</v>
      </c>
      <c r="C2858" s="24">
        <v>1400.95</v>
      </c>
      <c r="D2858" s="24">
        <v>1400.7909999999999</v>
      </c>
      <c r="E2858" s="24">
        <v>1401.1079999999999</v>
      </c>
      <c r="F2858" s="4"/>
      <c r="G2858" s="4"/>
      <c r="H2858" s="27" t="s">
        <v>4436</v>
      </c>
      <c r="I2858" s="4"/>
      <c r="J2858" s="6">
        <v>0</v>
      </c>
      <c r="K2858" s="30" t="s">
        <v>3207</v>
      </c>
      <c r="L2858" s="4"/>
      <c r="M2858" s="3"/>
    </row>
    <row r="2859" spans="1:13" x14ac:dyDescent="0.3">
      <c r="A2859" s="17">
        <v>101</v>
      </c>
      <c r="B2859" s="19">
        <v>101</v>
      </c>
      <c r="C2859" s="23">
        <v>1401.1559999999999</v>
      </c>
      <c r="D2859" s="23">
        <v>1401.1079999999999</v>
      </c>
      <c r="E2859" s="23">
        <v>1401.204</v>
      </c>
      <c r="F2859" s="4"/>
      <c r="G2859" s="4"/>
      <c r="H2859" s="28" t="s">
        <v>4437</v>
      </c>
      <c r="I2859" s="4"/>
      <c r="J2859" s="6">
        <v>0</v>
      </c>
      <c r="K2859" s="29" t="s">
        <v>3207</v>
      </c>
      <c r="L2859" s="4"/>
      <c r="M2859" s="3"/>
    </row>
    <row r="2860" spans="1:13" x14ac:dyDescent="0.3">
      <c r="A2860" s="18">
        <v>101</v>
      </c>
      <c r="B2860" s="20">
        <v>101</v>
      </c>
      <c r="C2860" s="24">
        <v>1401.41</v>
      </c>
      <c r="D2860" s="24">
        <v>1401.204</v>
      </c>
      <c r="E2860" s="24">
        <v>1401.615</v>
      </c>
      <c r="F2860" s="4"/>
      <c r="G2860" s="4"/>
      <c r="H2860" s="27" t="s">
        <v>4438</v>
      </c>
      <c r="I2860" s="4"/>
      <c r="J2860" s="6">
        <v>0</v>
      </c>
      <c r="K2860" s="30" t="s">
        <v>3207</v>
      </c>
      <c r="L2860" s="4"/>
      <c r="M2860" s="3"/>
    </row>
    <row r="2861" spans="1:13" x14ac:dyDescent="0.3">
      <c r="A2861" s="17">
        <v>101</v>
      </c>
      <c r="B2861" s="19">
        <v>101</v>
      </c>
      <c r="C2861" s="23">
        <v>1401.7270000000001</v>
      </c>
      <c r="D2861" s="23">
        <v>1401.615</v>
      </c>
      <c r="E2861" s="23">
        <v>1401.8389999999999</v>
      </c>
      <c r="F2861" s="4"/>
      <c r="G2861" s="4"/>
      <c r="H2861" s="28" t="s">
        <v>4439</v>
      </c>
      <c r="I2861" s="4"/>
      <c r="J2861" s="6">
        <v>0</v>
      </c>
      <c r="K2861" s="29" t="s">
        <v>3207</v>
      </c>
      <c r="L2861" s="4"/>
      <c r="M2861" s="3"/>
    </row>
    <row r="2862" spans="1:13" x14ac:dyDescent="0.3">
      <c r="A2862" s="18">
        <v>101</v>
      </c>
      <c r="B2862" s="20">
        <v>101</v>
      </c>
      <c r="C2862" s="24">
        <v>1402.0340000000001</v>
      </c>
      <c r="D2862" s="24">
        <v>1401.8389999999999</v>
      </c>
      <c r="E2862" s="24">
        <v>1402.2280000000001</v>
      </c>
      <c r="F2862" s="4"/>
      <c r="G2862" s="4"/>
      <c r="H2862" s="27" t="s">
        <v>4440</v>
      </c>
      <c r="I2862" s="4"/>
      <c r="J2862" s="6">
        <v>0</v>
      </c>
      <c r="K2862" s="30" t="s">
        <v>3207</v>
      </c>
      <c r="L2862" s="4"/>
      <c r="M2862" s="3"/>
    </row>
    <row r="2863" spans="1:13" x14ac:dyDescent="0.3">
      <c r="A2863" s="17">
        <v>101</v>
      </c>
      <c r="B2863" s="19">
        <v>101</v>
      </c>
      <c r="C2863" s="23">
        <v>1402.252</v>
      </c>
      <c r="D2863" s="23">
        <v>1402.2280000000001</v>
      </c>
      <c r="E2863" s="23">
        <v>1402.2750000000001</v>
      </c>
      <c r="F2863" s="4"/>
      <c r="G2863" s="4"/>
      <c r="H2863" s="28" t="s">
        <v>4441</v>
      </c>
      <c r="I2863" s="4"/>
      <c r="J2863" s="6">
        <v>0</v>
      </c>
      <c r="K2863" s="29" t="s">
        <v>3207</v>
      </c>
      <c r="L2863" s="4"/>
      <c r="M2863" s="3"/>
    </row>
    <row r="2864" spans="1:13" x14ac:dyDescent="0.3">
      <c r="A2864" s="18">
        <v>101</v>
      </c>
      <c r="B2864" s="20">
        <v>101</v>
      </c>
      <c r="C2864" s="24">
        <v>1402.413</v>
      </c>
      <c r="D2864" s="24">
        <v>1402.2750000000001</v>
      </c>
      <c r="E2864" s="24">
        <v>1402.55</v>
      </c>
      <c r="F2864" s="4"/>
      <c r="G2864" s="4"/>
      <c r="H2864" s="27" t="s">
        <v>4442</v>
      </c>
      <c r="I2864" s="4"/>
      <c r="J2864" s="6">
        <v>0</v>
      </c>
      <c r="K2864" s="30" t="s">
        <v>3207</v>
      </c>
      <c r="L2864" s="4"/>
      <c r="M2864" s="3"/>
    </row>
    <row r="2865" spans="1:13" x14ac:dyDescent="0.3">
      <c r="A2865" s="17">
        <v>101</v>
      </c>
      <c r="B2865" s="19">
        <v>101</v>
      </c>
      <c r="C2865" s="23">
        <v>1402.866</v>
      </c>
      <c r="D2865" s="23">
        <v>1402.55</v>
      </c>
      <c r="E2865" s="23">
        <v>1403.182</v>
      </c>
      <c r="F2865" s="4"/>
      <c r="G2865" s="4"/>
      <c r="H2865" s="28" t="s">
        <v>4443</v>
      </c>
      <c r="I2865" s="4"/>
      <c r="J2865" s="6">
        <v>0</v>
      </c>
      <c r="K2865" s="29" t="s">
        <v>3207</v>
      </c>
      <c r="L2865" s="4"/>
      <c r="M2865" s="3"/>
    </row>
    <row r="2866" spans="1:13" x14ac:dyDescent="0.3">
      <c r="A2866" s="18">
        <v>101</v>
      </c>
      <c r="B2866" s="20">
        <v>101</v>
      </c>
      <c r="C2866" s="24">
        <v>1403.346</v>
      </c>
      <c r="D2866" s="24">
        <v>1403.182</v>
      </c>
      <c r="E2866" s="24">
        <v>1403.509</v>
      </c>
      <c r="F2866" s="4"/>
      <c r="G2866" s="4"/>
      <c r="H2866" s="27" t="s">
        <v>4444</v>
      </c>
      <c r="I2866" s="4"/>
      <c r="J2866" s="6">
        <v>0</v>
      </c>
      <c r="K2866" s="30" t="s">
        <v>3207</v>
      </c>
      <c r="L2866" s="4"/>
      <c r="M2866" s="3"/>
    </row>
    <row r="2867" spans="1:13" x14ac:dyDescent="0.3">
      <c r="A2867" s="17">
        <v>101</v>
      </c>
      <c r="B2867" s="19">
        <v>101</v>
      </c>
      <c r="C2867" s="23">
        <v>1403.6310000000001</v>
      </c>
      <c r="D2867" s="23">
        <v>1403.509</v>
      </c>
      <c r="E2867" s="23">
        <v>1403.7529999999999</v>
      </c>
      <c r="F2867" s="4"/>
      <c r="G2867" s="4"/>
      <c r="H2867" s="28" t="s">
        <v>4445</v>
      </c>
      <c r="I2867" s="4"/>
      <c r="J2867" s="6">
        <v>0</v>
      </c>
      <c r="K2867" s="29" t="s">
        <v>3207</v>
      </c>
      <c r="L2867" s="4"/>
      <c r="M2867" s="3"/>
    </row>
    <row r="2868" spans="1:13" x14ac:dyDescent="0.3">
      <c r="A2868" s="18">
        <v>101</v>
      </c>
      <c r="B2868" s="20">
        <v>101</v>
      </c>
      <c r="C2868" s="24">
        <v>1403.925</v>
      </c>
      <c r="D2868" s="24">
        <v>1403.7529999999999</v>
      </c>
      <c r="E2868" s="24">
        <v>1404.096</v>
      </c>
      <c r="F2868" s="4"/>
      <c r="G2868" s="4"/>
      <c r="H2868" s="27" t="s">
        <v>4446</v>
      </c>
      <c r="I2868" s="4"/>
      <c r="J2868" s="6">
        <v>0</v>
      </c>
      <c r="K2868" s="30" t="s">
        <v>3207</v>
      </c>
      <c r="L2868" s="4"/>
      <c r="M2868" s="3"/>
    </row>
    <row r="2869" spans="1:13" x14ac:dyDescent="0.3">
      <c r="A2869" s="17">
        <v>101</v>
      </c>
      <c r="B2869" s="19">
        <v>101</v>
      </c>
      <c r="C2869" s="23">
        <v>1404.162</v>
      </c>
      <c r="D2869" s="23">
        <v>1404.096</v>
      </c>
      <c r="E2869" s="23">
        <v>1404.2270000000001</v>
      </c>
      <c r="F2869" s="4"/>
      <c r="G2869" s="4"/>
      <c r="H2869" s="28" t="s">
        <v>4447</v>
      </c>
      <c r="I2869" s="4"/>
      <c r="J2869" s="6">
        <v>0</v>
      </c>
      <c r="K2869" s="29" t="s">
        <v>3207</v>
      </c>
      <c r="L2869" s="4"/>
      <c r="M2869" s="3"/>
    </row>
    <row r="2870" spans="1:13" x14ac:dyDescent="0.3">
      <c r="A2870" s="18">
        <v>101</v>
      </c>
      <c r="B2870" s="20">
        <v>101</v>
      </c>
      <c r="C2870" s="24">
        <v>1404.413</v>
      </c>
      <c r="D2870" s="24">
        <v>1404.2270000000001</v>
      </c>
      <c r="E2870" s="24">
        <v>1404.5989999999999</v>
      </c>
      <c r="F2870" s="4"/>
      <c r="G2870" s="4"/>
      <c r="H2870" s="27" t="s">
        <v>4448</v>
      </c>
      <c r="I2870" s="4"/>
      <c r="J2870" s="6">
        <v>0</v>
      </c>
      <c r="K2870" s="30" t="s">
        <v>3207</v>
      </c>
      <c r="L2870" s="4"/>
      <c r="M2870" s="3"/>
    </row>
    <row r="2871" spans="1:13" x14ac:dyDescent="0.3">
      <c r="A2871" s="17">
        <v>101</v>
      </c>
      <c r="B2871" s="19">
        <v>101</v>
      </c>
      <c r="C2871" s="23">
        <v>1405.12</v>
      </c>
      <c r="D2871" s="23">
        <v>1404.5989999999999</v>
      </c>
      <c r="E2871" s="23">
        <v>1405.6410000000001</v>
      </c>
      <c r="F2871" s="4"/>
      <c r="G2871" s="4"/>
      <c r="H2871" s="28" t="s">
        <v>4449</v>
      </c>
      <c r="I2871" s="4"/>
      <c r="J2871" s="6">
        <v>0</v>
      </c>
      <c r="K2871" s="29" t="s">
        <v>3207</v>
      </c>
      <c r="L2871" s="4"/>
      <c r="M2871" s="3"/>
    </row>
    <row r="2872" spans="1:13" x14ac:dyDescent="0.3">
      <c r="A2872" s="18">
        <v>101</v>
      </c>
      <c r="B2872" s="20">
        <v>101</v>
      </c>
      <c r="C2872" s="24">
        <v>1405.838</v>
      </c>
      <c r="D2872" s="24">
        <v>1405.6410000000001</v>
      </c>
      <c r="E2872" s="24">
        <v>1406.0340000000001</v>
      </c>
      <c r="F2872" s="4"/>
      <c r="G2872" s="4"/>
      <c r="H2872" s="27" t="s">
        <v>4450</v>
      </c>
      <c r="I2872" s="4"/>
      <c r="J2872" s="6">
        <v>0</v>
      </c>
      <c r="K2872" s="30" t="s">
        <v>3207</v>
      </c>
      <c r="L2872" s="4"/>
      <c r="M2872" s="3"/>
    </row>
    <row r="2873" spans="1:13" x14ac:dyDescent="0.3">
      <c r="A2873" s="17">
        <v>101</v>
      </c>
      <c r="B2873" s="19">
        <v>101</v>
      </c>
      <c r="C2873" s="23">
        <v>1406.569</v>
      </c>
      <c r="D2873" s="23">
        <v>1406.0340000000001</v>
      </c>
      <c r="E2873" s="23">
        <v>1407.1030000000001</v>
      </c>
      <c r="F2873" s="4"/>
      <c r="G2873" s="4"/>
      <c r="H2873" s="28" t="s">
        <v>4451</v>
      </c>
      <c r="I2873" s="4"/>
      <c r="J2873" s="6">
        <v>0</v>
      </c>
      <c r="K2873" s="29" t="s">
        <v>3207</v>
      </c>
      <c r="L2873" s="4"/>
      <c r="M2873" s="3"/>
    </row>
    <row r="2874" spans="1:13" x14ac:dyDescent="0.3">
      <c r="A2874" s="18">
        <v>101</v>
      </c>
      <c r="B2874" s="20">
        <v>101</v>
      </c>
      <c r="C2874" s="24">
        <v>1407.3440000000001</v>
      </c>
      <c r="D2874" s="24">
        <v>1407.1030000000001</v>
      </c>
      <c r="E2874" s="24">
        <v>1407.5840000000001</v>
      </c>
      <c r="F2874" s="4"/>
      <c r="G2874" s="4"/>
      <c r="H2874" s="27" t="s">
        <v>4452</v>
      </c>
      <c r="I2874" s="4"/>
      <c r="J2874" s="6">
        <v>0</v>
      </c>
      <c r="K2874" s="30" t="s">
        <v>3207</v>
      </c>
      <c r="L2874" s="4"/>
      <c r="M2874" s="3"/>
    </row>
    <row r="2875" spans="1:13" x14ac:dyDescent="0.3">
      <c r="A2875" s="17">
        <v>101</v>
      </c>
      <c r="B2875" s="19">
        <v>101</v>
      </c>
      <c r="C2875" s="23">
        <v>1407.864</v>
      </c>
      <c r="D2875" s="23">
        <v>1407.5840000000001</v>
      </c>
      <c r="E2875" s="23">
        <v>1408.144</v>
      </c>
      <c r="F2875" s="4"/>
      <c r="G2875" s="4"/>
      <c r="H2875" s="28" t="s">
        <v>4453</v>
      </c>
      <c r="I2875" s="4"/>
      <c r="J2875" s="6">
        <v>0</v>
      </c>
      <c r="K2875" s="29" t="s">
        <v>3207</v>
      </c>
      <c r="L2875" s="4"/>
      <c r="M2875" s="3"/>
    </row>
    <row r="2876" spans="1:13" x14ac:dyDescent="0.3">
      <c r="A2876" s="18">
        <v>101</v>
      </c>
      <c r="B2876" s="20">
        <v>101</v>
      </c>
      <c r="C2876" s="24">
        <v>1408.279</v>
      </c>
      <c r="D2876" s="24">
        <v>1408.144</v>
      </c>
      <c r="E2876" s="24">
        <v>1408.414</v>
      </c>
      <c r="F2876" s="4"/>
      <c r="G2876" s="4"/>
      <c r="H2876" s="27" t="s">
        <v>4454</v>
      </c>
      <c r="I2876" s="4"/>
      <c r="J2876" s="6">
        <v>0</v>
      </c>
      <c r="K2876" s="30" t="s">
        <v>3207</v>
      </c>
      <c r="L2876" s="4"/>
      <c r="M2876" s="3"/>
    </row>
    <row r="2877" spans="1:13" x14ac:dyDescent="0.3">
      <c r="A2877" s="17">
        <v>101</v>
      </c>
      <c r="B2877" s="19">
        <v>101</v>
      </c>
      <c r="C2877" s="23">
        <v>1408.5730000000001</v>
      </c>
      <c r="D2877" s="23">
        <v>1408.414</v>
      </c>
      <c r="E2877" s="23">
        <v>1408.731</v>
      </c>
      <c r="F2877" s="4"/>
      <c r="G2877" s="4"/>
      <c r="H2877" s="28" t="s">
        <v>4455</v>
      </c>
      <c r="I2877" s="4"/>
      <c r="J2877" s="6">
        <v>0</v>
      </c>
      <c r="K2877" s="29" t="s">
        <v>3207</v>
      </c>
      <c r="L2877" s="4"/>
      <c r="M2877" s="3"/>
    </row>
    <row r="2878" spans="1:13" x14ac:dyDescent="0.3">
      <c r="A2878" s="18">
        <v>101</v>
      </c>
      <c r="B2878" s="20">
        <v>101</v>
      </c>
      <c r="C2878" s="24">
        <v>1409.2670000000001</v>
      </c>
      <c r="D2878" s="24">
        <v>1408.731</v>
      </c>
      <c r="E2878" s="24">
        <v>1409.8019999999999</v>
      </c>
      <c r="F2878" s="4"/>
      <c r="G2878" s="4"/>
      <c r="H2878" s="27" t="s">
        <v>4456</v>
      </c>
      <c r="I2878" s="4"/>
      <c r="J2878" s="6">
        <v>0</v>
      </c>
      <c r="K2878" s="30" t="s">
        <v>3207</v>
      </c>
      <c r="L2878" s="4"/>
      <c r="M2878" s="3"/>
    </row>
    <row r="2879" spans="1:13" x14ac:dyDescent="0.3">
      <c r="A2879" s="17">
        <v>101</v>
      </c>
      <c r="B2879" s="19">
        <v>101</v>
      </c>
      <c r="C2879" s="23">
        <v>1409.827</v>
      </c>
      <c r="D2879" s="23">
        <v>1409.8019999999999</v>
      </c>
      <c r="E2879" s="23">
        <v>1409.8520000000001</v>
      </c>
      <c r="F2879" s="4"/>
      <c r="G2879" s="4"/>
      <c r="H2879" s="28" t="s">
        <v>4457</v>
      </c>
      <c r="I2879" s="4"/>
      <c r="J2879" s="6">
        <v>0</v>
      </c>
      <c r="K2879" s="29" t="s">
        <v>3207</v>
      </c>
      <c r="L2879" s="4"/>
      <c r="M2879" s="3"/>
    </row>
    <row r="2880" spans="1:13" x14ac:dyDescent="0.3">
      <c r="A2880" s="18">
        <v>101</v>
      </c>
      <c r="B2880" s="20">
        <v>101</v>
      </c>
      <c r="C2880" s="24">
        <v>1410.0229999999999</v>
      </c>
      <c r="D2880" s="24">
        <v>1409.8520000000001</v>
      </c>
      <c r="E2880" s="24">
        <v>1410.194</v>
      </c>
      <c r="F2880" s="4"/>
      <c r="G2880" s="4"/>
      <c r="H2880" s="27" t="s">
        <v>4458</v>
      </c>
      <c r="I2880" s="4"/>
      <c r="J2880" s="6">
        <v>0</v>
      </c>
      <c r="K2880" s="30" t="s">
        <v>3207</v>
      </c>
      <c r="L2880" s="4"/>
      <c r="M2880" s="3"/>
    </row>
    <row r="2881" spans="1:13" x14ac:dyDescent="0.3">
      <c r="A2881" s="17">
        <v>101</v>
      </c>
      <c r="B2881" s="19">
        <v>101</v>
      </c>
      <c r="C2881" s="23">
        <v>1410.2570000000001</v>
      </c>
      <c r="D2881" s="23">
        <v>1410.194</v>
      </c>
      <c r="E2881" s="23">
        <v>1410.319</v>
      </c>
      <c r="F2881" s="4"/>
      <c r="G2881" s="4"/>
      <c r="H2881" s="28" t="s">
        <v>4459</v>
      </c>
      <c r="I2881" s="4"/>
      <c r="J2881" s="6">
        <v>0</v>
      </c>
      <c r="K2881" s="29" t="s">
        <v>3207</v>
      </c>
      <c r="L2881" s="4"/>
      <c r="M2881" s="3"/>
    </row>
    <row r="2882" spans="1:13" x14ac:dyDescent="0.3">
      <c r="A2882" s="18">
        <v>101</v>
      </c>
      <c r="B2882" s="20">
        <v>101</v>
      </c>
      <c r="C2882" s="24">
        <v>1410.395</v>
      </c>
      <c r="D2882" s="24">
        <v>1410.319</v>
      </c>
      <c r="E2882" s="24">
        <v>1410.47</v>
      </c>
      <c r="F2882" s="4"/>
      <c r="G2882" s="4"/>
      <c r="H2882" s="27" t="s">
        <v>4460</v>
      </c>
      <c r="I2882" s="4"/>
      <c r="J2882" s="6">
        <v>0</v>
      </c>
      <c r="K2882" s="30" t="s">
        <v>3207</v>
      </c>
      <c r="L2882" s="4"/>
      <c r="M2882" s="3"/>
    </row>
    <row r="2883" spans="1:13" x14ac:dyDescent="0.3">
      <c r="A2883" s="17">
        <v>101</v>
      </c>
      <c r="B2883" s="19">
        <v>101</v>
      </c>
      <c r="C2883" s="23">
        <v>1410.693</v>
      </c>
      <c r="D2883" s="23">
        <v>1410.47</v>
      </c>
      <c r="E2883" s="23">
        <v>1410.915</v>
      </c>
      <c r="F2883" s="4"/>
      <c r="G2883" s="4"/>
      <c r="H2883" s="28" t="s">
        <v>4461</v>
      </c>
      <c r="I2883" s="4"/>
      <c r="J2883" s="6">
        <v>0</v>
      </c>
      <c r="K2883" s="29" t="s">
        <v>3207</v>
      </c>
      <c r="L2883" s="4"/>
      <c r="M2883" s="3"/>
    </row>
    <row r="2884" spans="1:13" x14ac:dyDescent="0.3">
      <c r="A2884" s="18">
        <v>101</v>
      </c>
      <c r="B2884" s="20">
        <v>101</v>
      </c>
      <c r="C2884" s="24">
        <v>1411.0129999999999</v>
      </c>
      <c r="D2884" s="24">
        <v>1410.915</v>
      </c>
      <c r="E2884" s="24">
        <v>1411.1110000000001</v>
      </c>
      <c r="F2884" s="4"/>
      <c r="G2884" s="4"/>
      <c r="H2884" s="27" t="s">
        <v>4462</v>
      </c>
      <c r="I2884" s="4"/>
      <c r="J2884" s="6">
        <v>0</v>
      </c>
      <c r="K2884" s="30" t="s">
        <v>3207</v>
      </c>
      <c r="L2884" s="4"/>
      <c r="M2884" s="3"/>
    </row>
    <row r="2885" spans="1:13" x14ac:dyDescent="0.3">
      <c r="A2885" s="17">
        <v>101</v>
      </c>
      <c r="B2885" s="19">
        <v>101</v>
      </c>
      <c r="C2885" s="23">
        <v>1411.2260000000001</v>
      </c>
      <c r="D2885" s="23">
        <v>1411.1110000000001</v>
      </c>
      <c r="E2885" s="23">
        <v>1411.34</v>
      </c>
      <c r="F2885" s="4"/>
      <c r="G2885" s="4"/>
      <c r="H2885" s="28" t="s">
        <v>4463</v>
      </c>
      <c r="I2885" s="4"/>
      <c r="J2885" s="6">
        <v>0</v>
      </c>
      <c r="K2885" s="29" t="s">
        <v>3207</v>
      </c>
      <c r="L2885" s="4"/>
      <c r="M2885" s="3"/>
    </row>
    <row r="2886" spans="1:13" x14ac:dyDescent="0.3">
      <c r="A2886" s="18">
        <v>101</v>
      </c>
      <c r="B2886" s="20">
        <v>101</v>
      </c>
      <c r="C2886" s="24">
        <v>1411.6389999999999</v>
      </c>
      <c r="D2886" s="24">
        <v>1411.34</v>
      </c>
      <c r="E2886" s="24">
        <v>1411.9369999999999</v>
      </c>
      <c r="F2886" s="4"/>
      <c r="G2886" s="4"/>
      <c r="H2886" s="27" t="s">
        <v>4464</v>
      </c>
      <c r="I2886" s="4"/>
      <c r="J2886" s="6">
        <v>0</v>
      </c>
      <c r="K2886" s="30" t="s">
        <v>3207</v>
      </c>
      <c r="L2886" s="4"/>
      <c r="M2886" s="3"/>
    </row>
    <row r="2887" spans="1:13" x14ac:dyDescent="0.3">
      <c r="A2887" s="17">
        <v>101</v>
      </c>
      <c r="B2887" s="19">
        <v>101</v>
      </c>
      <c r="C2887" s="23">
        <v>1412.03</v>
      </c>
      <c r="D2887" s="23">
        <v>1411.9369999999999</v>
      </c>
      <c r="E2887" s="23">
        <v>1412.1220000000001</v>
      </c>
      <c r="F2887" s="4"/>
      <c r="G2887" s="4"/>
      <c r="H2887" s="28" t="s">
        <v>4465</v>
      </c>
      <c r="I2887" s="4"/>
      <c r="J2887" s="6">
        <v>0</v>
      </c>
      <c r="K2887" s="29" t="s">
        <v>3207</v>
      </c>
      <c r="L2887" s="4"/>
      <c r="M2887" s="3"/>
    </row>
    <row r="2888" spans="1:13" x14ac:dyDescent="0.3">
      <c r="A2888" s="18">
        <v>101</v>
      </c>
      <c r="B2888" s="20">
        <v>101</v>
      </c>
      <c r="C2888" s="24">
        <v>1412.3620000000001</v>
      </c>
      <c r="D2888" s="24">
        <v>1412.1220000000001</v>
      </c>
      <c r="E2888" s="24">
        <v>1412.6010000000001</v>
      </c>
      <c r="F2888" s="4"/>
      <c r="G2888" s="4"/>
      <c r="H2888" s="27" t="s">
        <v>4466</v>
      </c>
      <c r="I2888" s="4"/>
      <c r="J2888" s="6">
        <v>0</v>
      </c>
      <c r="K2888" s="30" t="s">
        <v>3207</v>
      </c>
      <c r="L2888" s="4"/>
      <c r="M2888" s="3"/>
    </row>
    <row r="2889" spans="1:13" x14ac:dyDescent="0.3">
      <c r="A2889" s="17">
        <v>101</v>
      </c>
      <c r="B2889" s="19">
        <v>101</v>
      </c>
      <c r="C2889" s="23">
        <v>1412.7619999999999</v>
      </c>
      <c r="D2889" s="23">
        <v>1412.6010000000001</v>
      </c>
      <c r="E2889" s="23">
        <v>1412.923</v>
      </c>
      <c r="F2889" s="4"/>
      <c r="G2889" s="4"/>
      <c r="H2889" s="28" t="s">
        <v>4467</v>
      </c>
      <c r="I2889" s="4"/>
      <c r="J2889" s="6">
        <v>0</v>
      </c>
      <c r="K2889" s="29" t="s">
        <v>3207</v>
      </c>
      <c r="L2889" s="4"/>
      <c r="M2889" s="3"/>
    </row>
    <row r="2890" spans="1:13" x14ac:dyDescent="0.3">
      <c r="A2890" s="18">
        <v>101</v>
      </c>
      <c r="B2890" s="20">
        <v>101</v>
      </c>
      <c r="C2890" s="24">
        <v>1413.0630000000001</v>
      </c>
      <c r="D2890" s="24">
        <v>1412.923</v>
      </c>
      <c r="E2890" s="24">
        <v>1413.202</v>
      </c>
      <c r="F2890" s="4"/>
      <c r="G2890" s="4"/>
      <c r="H2890" s="27" t="s">
        <v>4468</v>
      </c>
      <c r="I2890" s="4"/>
      <c r="J2890" s="6">
        <v>0</v>
      </c>
      <c r="K2890" s="30" t="s">
        <v>3207</v>
      </c>
      <c r="L2890" s="4"/>
      <c r="M2890" s="3"/>
    </row>
    <row r="2891" spans="1:13" x14ac:dyDescent="0.3">
      <c r="A2891" s="17">
        <v>101</v>
      </c>
      <c r="B2891" s="19">
        <v>101</v>
      </c>
      <c r="C2891" s="23">
        <v>1413.2449999999999</v>
      </c>
      <c r="D2891" s="23">
        <v>1413.202</v>
      </c>
      <c r="E2891" s="23">
        <v>1413.287</v>
      </c>
      <c r="F2891" s="4"/>
      <c r="G2891" s="4"/>
      <c r="H2891" s="28" t="s">
        <v>4469</v>
      </c>
      <c r="I2891" s="4"/>
      <c r="J2891" s="6">
        <v>0</v>
      </c>
      <c r="K2891" s="29" t="s">
        <v>3207</v>
      </c>
      <c r="L2891" s="4"/>
      <c r="M2891" s="3"/>
    </row>
    <row r="2892" spans="1:13" x14ac:dyDescent="0.3">
      <c r="A2892" s="18">
        <v>101</v>
      </c>
      <c r="B2892" s="20">
        <v>101</v>
      </c>
      <c r="C2892" s="24">
        <v>1413.425</v>
      </c>
      <c r="D2892" s="24">
        <v>1413.287</v>
      </c>
      <c r="E2892" s="24">
        <v>1413.5630000000001</v>
      </c>
      <c r="F2892" s="4"/>
      <c r="G2892" s="4"/>
      <c r="H2892" s="27" t="s">
        <v>4470</v>
      </c>
      <c r="I2892" s="4"/>
      <c r="J2892" s="6">
        <v>0</v>
      </c>
      <c r="K2892" s="30" t="s">
        <v>3207</v>
      </c>
      <c r="L2892" s="4"/>
      <c r="M2892" s="3"/>
    </row>
    <row r="2893" spans="1:13" x14ac:dyDescent="0.3">
      <c r="A2893" s="17">
        <v>101</v>
      </c>
      <c r="B2893" s="19">
        <v>101</v>
      </c>
      <c r="C2893" s="23">
        <v>1413.606</v>
      </c>
      <c r="D2893" s="23">
        <v>1413.5630000000001</v>
      </c>
      <c r="E2893" s="23">
        <v>1413.6479999999999</v>
      </c>
      <c r="F2893" s="4"/>
      <c r="G2893" s="4"/>
      <c r="H2893" s="28" t="s">
        <v>4471</v>
      </c>
      <c r="I2893" s="4"/>
      <c r="J2893" s="6">
        <v>0</v>
      </c>
      <c r="K2893" s="29" t="s">
        <v>3207</v>
      </c>
      <c r="L2893" s="4"/>
      <c r="M2893" s="3"/>
    </row>
    <row r="2894" spans="1:13" x14ac:dyDescent="0.3">
      <c r="A2894" s="18">
        <v>101</v>
      </c>
      <c r="B2894" s="20">
        <v>101</v>
      </c>
      <c r="C2894" s="24">
        <v>1413.778</v>
      </c>
      <c r="D2894" s="24">
        <v>1413.6479999999999</v>
      </c>
      <c r="E2894" s="24">
        <v>1413.9079999999999</v>
      </c>
      <c r="F2894" s="4"/>
      <c r="G2894" s="4"/>
      <c r="H2894" s="27" t="s">
        <v>4472</v>
      </c>
      <c r="I2894" s="4"/>
      <c r="J2894" s="6">
        <v>0</v>
      </c>
      <c r="K2894" s="30" t="s">
        <v>3207</v>
      </c>
      <c r="L2894" s="4"/>
      <c r="M2894" s="3"/>
    </row>
    <row r="2895" spans="1:13" x14ac:dyDescent="0.3">
      <c r="A2895" s="17">
        <v>101</v>
      </c>
      <c r="B2895" s="19">
        <v>101</v>
      </c>
      <c r="C2895" s="23">
        <v>1413.922</v>
      </c>
      <c r="D2895" s="23">
        <v>1413.9079999999999</v>
      </c>
      <c r="E2895" s="23">
        <v>1413.9359999999999</v>
      </c>
      <c r="F2895" s="4"/>
      <c r="G2895" s="4"/>
      <c r="H2895" s="28" t="s">
        <v>4473</v>
      </c>
      <c r="I2895" s="4"/>
      <c r="J2895" s="6">
        <v>0</v>
      </c>
      <c r="K2895" s="29" t="s">
        <v>3207</v>
      </c>
      <c r="L2895" s="4"/>
      <c r="M2895" s="3"/>
    </row>
    <row r="2896" spans="1:13" x14ac:dyDescent="0.3">
      <c r="A2896" s="18">
        <v>101</v>
      </c>
      <c r="B2896" s="20">
        <v>101</v>
      </c>
      <c r="C2896" s="24">
        <v>1414.0609999999999</v>
      </c>
      <c r="D2896" s="24">
        <v>1413.9359999999999</v>
      </c>
      <c r="E2896" s="24">
        <v>1414.1849999999999</v>
      </c>
      <c r="F2896" s="4"/>
      <c r="G2896" s="4"/>
      <c r="H2896" s="27" t="s">
        <v>4474</v>
      </c>
      <c r="I2896" s="4"/>
      <c r="J2896" s="6">
        <v>0</v>
      </c>
      <c r="K2896" s="30" t="s">
        <v>3207</v>
      </c>
      <c r="L2896" s="4"/>
      <c r="M2896" s="3"/>
    </row>
    <row r="2897" spans="1:13" x14ac:dyDescent="0.3">
      <c r="A2897" s="17">
        <v>101</v>
      </c>
      <c r="B2897" s="19">
        <v>101</v>
      </c>
      <c r="C2897" s="23">
        <v>1414.3140000000001</v>
      </c>
      <c r="D2897" s="23">
        <v>1414.1849999999999</v>
      </c>
      <c r="E2897" s="23">
        <v>1414.442</v>
      </c>
      <c r="F2897" s="4"/>
      <c r="G2897" s="4"/>
      <c r="H2897" s="28" t="s">
        <v>4475</v>
      </c>
      <c r="I2897" s="4"/>
      <c r="J2897" s="6">
        <v>0</v>
      </c>
      <c r="K2897" s="29" t="s">
        <v>3207</v>
      </c>
      <c r="L2897" s="4"/>
      <c r="M2897" s="3"/>
    </row>
    <row r="2898" spans="1:13" x14ac:dyDescent="0.3">
      <c r="A2898" s="18">
        <v>101</v>
      </c>
      <c r="B2898" s="20">
        <v>101</v>
      </c>
      <c r="C2898" s="24">
        <v>1414.809</v>
      </c>
      <c r="D2898" s="24">
        <v>1414.442</v>
      </c>
      <c r="E2898" s="24">
        <v>1415.175</v>
      </c>
      <c r="F2898" s="4"/>
      <c r="G2898" s="4"/>
      <c r="H2898" s="27" t="s">
        <v>4476</v>
      </c>
      <c r="I2898" s="4"/>
      <c r="J2898" s="6">
        <v>0</v>
      </c>
      <c r="K2898" s="30" t="s">
        <v>3207</v>
      </c>
      <c r="L2898" s="4"/>
      <c r="M2898" s="3"/>
    </row>
    <row r="2899" spans="1:13" x14ac:dyDescent="0.3">
      <c r="A2899" s="17">
        <v>101</v>
      </c>
      <c r="B2899" s="19">
        <v>101</v>
      </c>
      <c r="C2899" s="23">
        <v>1415.2560000000001</v>
      </c>
      <c r="D2899" s="23">
        <v>1415.175</v>
      </c>
      <c r="E2899" s="23">
        <v>1415.337</v>
      </c>
      <c r="F2899" s="4"/>
      <c r="G2899" s="4"/>
      <c r="H2899" s="28" t="s">
        <v>4477</v>
      </c>
      <c r="I2899" s="4"/>
      <c r="J2899" s="6">
        <v>0</v>
      </c>
      <c r="K2899" s="29" t="s">
        <v>3207</v>
      </c>
      <c r="L2899" s="4"/>
      <c r="M2899" s="3"/>
    </row>
    <row r="2900" spans="1:13" x14ac:dyDescent="0.3">
      <c r="A2900" s="18">
        <v>101</v>
      </c>
      <c r="B2900" s="20">
        <v>101</v>
      </c>
      <c r="C2900" s="24">
        <v>1415.6220000000001</v>
      </c>
      <c r="D2900" s="24">
        <v>1415.337</v>
      </c>
      <c r="E2900" s="24">
        <v>1415.9069999999999</v>
      </c>
      <c r="F2900" s="4"/>
      <c r="G2900" s="4"/>
      <c r="H2900" s="27" t="s">
        <v>4478</v>
      </c>
      <c r="I2900" s="4"/>
      <c r="J2900" s="6">
        <v>0</v>
      </c>
      <c r="K2900" s="30" t="s">
        <v>3207</v>
      </c>
      <c r="L2900" s="4"/>
      <c r="M2900" s="3"/>
    </row>
    <row r="2901" spans="1:13" x14ac:dyDescent="0.3">
      <c r="A2901" s="17">
        <v>101</v>
      </c>
      <c r="B2901" s="19">
        <v>101</v>
      </c>
      <c r="C2901" s="23">
        <v>1416.085</v>
      </c>
      <c r="D2901" s="23">
        <v>1415.9069999999999</v>
      </c>
      <c r="E2901" s="23">
        <v>1416.2619999999999</v>
      </c>
      <c r="F2901" s="4"/>
      <c r="G2901" s="4"/>
      <c r="H2901" s="28" t="s">
        <v>4479</v>
      </c>
      <c r="I2901" s="4"/>
      <c r="J2901" s="6">
        <v>0</v>
      </c>
      <c r="K2901" s="29" t="s">
        <v>3207</v>
      </c>
      <c r="L2901" s="4"/>
      <c r="M2901" s="3"/>
    </row>
    <row r="2902" spans="1:13" x14ac:dyDescent="0.3">
      <c r="A2902" s="18">
        <v>101</v>
      </c>
      <c r="B2902" s="20">
        <v>101</v>
      </c>
      <c r="C2902" s="24">
        <v>1416.489</v>
      </c>
      <c r="D2902" s="24">
        <v>1416.2619999999999</v>
      </c>
      <c r="E2902" s="24">
        <v>1416.7149999999999</v>
      </c>
      <c r="F2902" s="4"/>
      <c r="G2902" s="4"/>
      <c r="H2902" s="27" t="s">
        <v>4480</v>
      </c>
      <c r="I2902" s="4"/>
      <c r="J2902" s="6">
        <v>0</v>
      </c>
      <c r="K2902" s="30" t="s">
        <v>3207</v>
      </c>
      <c r="L2902" s="4"/>
      <c r="M2902" s="3"/>
    </row>
    <row r="2903" spans="1:13" x14ac:dyDescent="0.3">
      <c r="A2903" s="17">
        <v>101</v>
      </c>
      <c r="B2903" s="19">
        <v>101</v>
      </c>
      <c r="C2903" s="23">
        <v>1416.7660000000001</v>
      </c>
      <c r="D2903" s="23">
        <v>1416.7149999999999</v>
      </c>
      <c r="E2903" s="23">
        <v>1416.817</v>
      </c>
      <c r="F2903" s="4"/>
      <c r="G2903" s="4"/>
      <c r="H2903" s="28" t="s">
        <v>4481</v>
      </c>
      <c r="I2903" s="4"/>
      <c r="J2903" s="6">
        <v>0</v>
      </c>
      <c r="K2903" s="29" t="s">
        <v>3207</v>
      </c>
      <c r="L2903" s="4"/>
      <c r="M2903" s="3"/>
    </row>
    <row r="2904" spans="1:13" x14ac:dyDescent="0.3">
      <c r="A2904" s="18">
        <v>101</v>
      </c>
      <c r="B2904" s="20">
        <v>101</v>
      </c>
      <c r="C2904" s="24">
        <v>1417.454</v>
      </c>
      <c r="D2904" s="24">
        <v>1416.817</v>
      </c>
      <c r="E2904" s="24">
        <v>1418.09</v>
      </c>
      <c r="F2904" s="4"/>
      <c r="G2904" s="4"/>
      <c r="H2904" s="27" t="s">
        <v>4482</v>
      </c>
      <c r="I2904" s="4"/>
      <c r="J2904" s="6">
        <v>0</v>
      </c>
      <c r="K2904" s="30" t="s">
        <v>3207</v>
      </c>
      <c r="L2904" s="4"/>
      <c r="M2904" s="3"/>
    </row>
    <row r="2905" spans="1:13" x14ac:dyDescent="0.3">
      <c r="A2905" s="17">
        <v>101</v>
      </c>
      <c r="B2905" s="19">
        <v>101</v>
      </c>
      <c r="C2905" s="23">
        <v>1418.232</v>
      </c>
      <c r="D2905" s="23">
        <v>1418.09</v>
      </c>
      <c r="E2905" s="23">
        <v>1418.373</v>
      </c>
      <c r="F2905" s="4"/>
      <c r="G2905" s="4"/>
      <c r="H2905" s="28" t="s">
        <v>4483</v>
      </c>
      <c r="I2905" s="4"/>
      <c r="J2905" s="6">
        <v>0</v>
      </c>
      <c r="K2905" s="29" t="s">
        <v>3207</v>
      </c>
      <c r="L2905" s="4"/>
      <c r="M2905" s="3"/>
    </row>
    <row r="2906" spans="1:13" x14ac:dyDescent="0.3">
      <c r="A2906" s="18">
        <v>101</v>
      </c>
      <c r="B2906" s="20">
        <v>101</v>
      </c>
      <c r="C2906" s="24">
        <v>1418.6320000000001</v>
      </c>
      <c r="D2906" s="24">
        <v>1418.373</v>
      </c>
      <c r="E2906" s="24">
        <v>1418.89</v>
      </c>
      <c r="F2906" s="4"/>
      <c r="G2906" s="4"/>
      <c r="H2906" s="27" t="s">
        <v>4484</v>
      </c>
      <c r="I2906" s="4"/>
      <c r="J2906" s="6">
        <v>0</v>
      </c>
      <c r="K2906" s="30" t="s">
        <v>3207</v>
      </c>
      <c r="L2906" s="4"/>
      <c r="M2906" s="3"/>
    </row>
    <row r="2907" spans="1:13" x14ac:dyDescent="0.3">
      <c r="A2907" s="17">
        <v>101</v>
      </c>
      <c r="B2907" s="19">
        <v>101</v>
      </c>
      <c r="C2907" s="23">
        <v>1418.8979999999999</v>
      </c>
      <c r="D2907" s="23">
        <v>1418.89</v>
      </c>
      <c r="E2907" s="23">
        <v>1418.9059999999999</v>
      </c>
      <c r="F2907" s="4"/>
      <c r="G2907" s="4"/>
      <c r="H2907" s="28" t="s">
        <v>4485</v>
      </c>
      <c r="I2907" s="4"/>
      <c r="J2907" s="6">
        <v>0</v>
      </c>
      <c r="K2907" s="29" t="s">
        <v>3207</v>
      </c>
      <c r="L2907" s="4"/>
      <c r="M2907" s="3"/>
    </row>
    <row r="2908" spans="1:13" x14ac:dyDescent="0.3">
      <c r="A2908" s="18">
        <v>101</v>
      </c>
      <c r="B2908" s="20">
        <v>101</v>
      </c>
      <c r="C2908" s="24">
        <v>1419.1210000000001</v>
      </c>
      <c r="D2908" s="24">
        <v>1418.9059999999999</v>
      </c>
      <c r="E2908" s="24">
        <v>1419.336</v>
      </c>
      <c r="F2908" s="4"/>
      <c r="G2908" s="4"/>
      <c r="H2908" s="27" t="s">
        <v>4486</v>
      </c>
      <c r="I2908" s="4"/>
      <c r="J2908" s="6">
        <v>0</v>
      </c>
      <c r="K2908" s="30" t="s">
        <v>3207</v>
      </c>
      <c r="L2908" s="4"/>
      <c r="M2908" s="3"/>
    </row>
    <row r="2909" spans="1:13" x14ac:dyDescent="0.3">
      <c r="A2909" s="17">
        <v>101</v>
      </c>
      <c r="B2909" s="19">
        <v>101</v>
      </c>
      <c r="C2909" s="23">
        <v>1419.393</v>
      </c>
      <c r="D2909" s="23">
        <v>1419.336</v>
      </c>
      <c r="E2909" s="23">
        <v>1419.4490000000001</v>
      </c>
      <c r="F2909" s="4"/>
      <c r="G2909" s="4"/>
      <c r="H2909" s="28" t="s">
        <v>4487</v>
      </c>
      <c r="I2909" s="4"/>
      <c r="J2909" s="6">
        <v>0</v>
      </c>
      <c r="K2909" s="29" t="s">
        <v>3207</v>
      </c>
      <c r="L2909" s="4"/>
      <c r="M2909" s="3"/>
    </row>
    <row r="2910" spans="1:13" x14ac:dyDescent="0.3">
      <c r="A2910" s="18">
        <v>101</v>
      </c>
      <c r="B2910" s="20">
        <v>101</v>
      </c>
      <c r="C2910" s="24">
        <v>1419.8810000000001</v>
      </c>
      <c r="D2910" s="24">
        <v>1419.4490000000001</v>
      </c>
      <c r="E2910" s="24">
        <v>1420.3130000000001</v>
      </c>
      <c r="F2910" s="4"/>
      <c r="G2910" s="4"/>
      <c r="H2910" s="27" t="s">
        <v>4488</v>
      </c>
      <c r="I2910" s="4"/>
      <c r="J2910" s="6">
        <v>0</v>
      </c>
      <c r="K2910" s="30" t="s">
        <v>3207</v>
      </c>
      <c r="L2910" s="4"/>
      <c r="M2910" s="3"/>
    </row>
    <row r="2911" spans="1:13" x14ac:dyDescent="0.3">
      <c r="A2911" s="17">
        <v>101</v>
      </c>
      <c r="B2911" s="19">
        <v>101</v>
      </c>
      <c r="C2911" s="23">
        <v>1420.3820000000001</v>
      </c>
      <c r="D2911" s="23">
        <v>1420.3130000000001</v>
      </c>
      <c r="E2911" s="23">
        <v>1420.451</v>
      </c>
      <c r="F2911" s="4"/>
      <c r="G2911" s="4"/>
      <c r="H2911" s="28" t="s">
        <v>4489</v>
      </c>
      <c r="I2911" s="4"/>
      <c r="J2911" s="6">
        <v>0</v>
      </c>
      <c r="K2911" s="29" t="s">
        <v>3207</v>
      </c>
      <c r="L2911" s="4"/>
      <c r="M2911" s="3"/>
    </row>
    <row r="2912" spans="1:13" x14ac:dyDescent="0.3">
      <c r="A2912" s="18">
        <v>101</v>
      </c>
      <c r="B2912" s="20">
        <v>101</v>
      </c>
      <c r="C2912" s="24">
        <v>1420.6179999999999</v>
      </c>
      <c r="D2912" s="24">
        <v>1420.451</v>
      </c>
      <c r="E2912" s="24">
        <v>1420.7850000000001</v>
      </c>
      <c r="F2912" s="4"/>
      <c r="G2912" s="4"/>
      <c r="H2912" s="27" t="s">
        <v>4490</v>
      </c>
      <c r="I2912" s="4"/>
      <c r="J2912" s="6">
        <v>0</v>
      </c>
      <c r="K2912" s="30" t="s">
        <v>3207</v>
      </c>
      <c r="L2912" s="4"/>
      <c r="M2912" s="3"/>
    </row>
    <row r="2913" spans="1:13" x14ac:dyDescent="0.3">
      <c r="A2913" s="17">
        <v>101</v>
      </c>
      <c r="B2913" s="19">
        <v>101</v>
      </c>
      <c r="C2913" s="23">
        <v>1420.8630000000001</v>
      </c>
      <c r="D2913" s="23">
        <v>1420.7850000000001</v>
      </c>
      <c r="E2913" s="23">
        <v>1420.941</v>
      </c>
      <c r="F2913" s="4"/>
      <c r="G2913" s="4"/>
      <c r="H2913" s="28" t="s">
        <v>4491</v>
      </c>
      <c r="I2913" s="4"/>
      <c r="J2913" s="6">
        <v>0</v>
      </c>
      <c r="K2913" s="29" t="s">
        <v>3207</v>
      </c>
      <c r="L2913" s="4"/>
      <c r="M2913" s="3"/>
    </row>
    <row r="2914" spans="1:13" x14ac:dyDescent="0.3">
      <c r="A2914" s="18">
        <v>101</v>
      </c>
      <c r="B2914" s="20">
        <v>101</v>
      </c>
      <c r="C2914" s="24">
        <v>1421.106</v>
      </c>
      <c r="D2914" s="24">
        <v>1420.941</v>
      </c>
      <c r="E2914" s="24">
        <v>1421.27</v>
      </c>
      <c r="F2914" s="4"/>
      <c r="G2914" s="4"/>
      <c r="H2914" s="27" t="s">
        <v>4492</v>
      </c>
      <c r="I2914" s="4"/>
      <c r="J2914" s="6">
        <v>0</v>
      </c>
      <c r="K2914" s="30" t="s">
        <v>3207</v>
      </c>
      <c r="L2914" s="4"/>
      <c r="M2914" s="3"/>
    </row>
    <row r="2915" spans="1:13" x14ac:dyDescent="0.3">
      <c r="A2915" s="17">
        <v>101</v>
      </c>
      <c r="B2915" s="19">
        <v>101</v>
      </c>
      <c r="C2915" s="23">
        <v>1421.279</v>
      </c>
      <c r="D2915" s="23">
        <v>1421.27</v>
      </c>
      <c r="E2915" s="23">
        <v>1421.287</v>
      </c>
      <c r="F2915" s="4"/>
      <c r="G2915" s="4"/>
      <c r="H2915" s="28" t="s">
        <v>4493</v>
      </c>
      <c r="I2915" s="4"/>
      <c r="J2915" s="6">
        <v>0</v>
      </c>
      <c r="K2915" s="29" t="s">
        <v>3207</v>
      </c>
      <c r="L2915" s="4"/>
      <c r="M2915" s="3"/>
    </row>
    <row r="2916" spans="1:13" x14ac:dyDescent="0.3">
      <c r="A2916" s="18">
        <v>101</v>
      </c>
      <c r="B2916" s="20">
        <v>101</v>
      </c>
      <c r="C2916" s="24">
        <v>1421.5129999999999</v>
      </c>
      <c r="D2916" s="24">
        <v>1421.287</v>
      </c>
      <c r="E2916" s="24">
        <v>1421.739</v>
      </c>
      <c r="F2916" s="4"/>
      <c r="G2916" s="4"/>
      <c r="H2916" s="27" t="s">
        <v>4494</v>
      </c>
      <c r="I2916" s="4"/>
      <c r="J2916" s="6">
        <v>0</v>
      </c>
      <c r="K2916" s="30" t="s">
        <v>3207</v>
      </c>
      <c r="L2916" s="4"/>
      <c r="M2916" s="3"/>
    </row>
    <row r="2917" spans="1:13" x14ac:dyDescent="0.3">
      <c r="A2917" s="17">
        <v>101</v>
      </c>
      <c r="B2917" s="19">
        <v>101</v>
      </c>
      <c r="C2917" s="23">
        <v>1421.9110000000001</v>
      </c>
      <c r="D2917" s="23">
        <v>1421.739</v>
      </c>
      <c r="E2917" s="23">
        <v>1422.0830000000001</v>
      </c>
      <c r="F2917" s="4"/>
      <c r="G2917" s="4"/>
      <c r="H2917" s="28" t="s">
        <v>4495</v>
      </c>
      <c r="I2917" s="4"/>
      <c r="J2917" s="6">
        <v>0</v>
      </c>
      <c r="K2917" s="29" t="s">
        <v>3207</v>
      </c>
      <c r="L2917" s="4"/>
      <c r="M2917" s="3"/>
    </row>
    <row r="2918" spans="1:13" x14ac:dyDescent="0.3">
      <c r="A2918" s="18">
        <v>101</v>
      </c>
      <c r="B2918" s="20">
        <v>101</v>
      </c>
      <c r="C2918" s="24">
        <v>1422.2059999999999</v>
      </c>
      <c r="D2918" s="24">
        <v>1422.0830000000001</v>
      </c>
      <c r="E2918" s="24">
        <v>1422.328</v>
      </c>
      <c r="F2918" s="4"/>
      <c r="G2918" s="4"/>
      <c r="H2918" s="27" t="s">
        <v>4496</v>
      </c>
      <c r="I2918" s="4"/>
      <c r="J2918" s="6">
        <v>0</v>
      </c>
      <c r="K2918" s="30" t="s">
        <v>3207</v>
      </c>
      <c r="L2918" s="4"/>
      <c r="M2918" s="3"/>
    </row>
    <row r="2919" spans="1:13" x14ac:dyDescent="0.3">
      <c r="A2919" s="17">
        <v>101</v>
      </c>
      <c r="B2919" s="19">
        <v>101</v>
      </c>
      <c r="C2919" s="23">
        <v>1422.3630000000001</v>
      </c>
      <c r="D2919" s="23">
        <v>1422.328</v>
      </c>
      <c r="E2919" s="23">
        <v>1422.3979999999999</v>
      </c>
      <c r="F2919" s="4"/>
      <c r="G2919" s="4"/>
      <c r="H2919" s="28" t="s">
        <v>4497</v>
      </c>
      <c r="I2919" s="4"/>
      <c r="J2919" s="6">
        <v>0</v>
      </c>
      <c r="K2919" s="29" t="s">
        <v>3207</v>
      </c>
      <c r="L2919" s="4"/>
      <c r="M2919" s="3"/>
    </row>
    <row r="2920" spans="1:13" x14ac:dyDescent="0.3">
      <c r="A2920" s="18">
        <v>101</v>
      </c>
      <c r="B2920" s="20">
        <v>101</v>
      </c>
      <c r="C2920" s="24">
        <v>1422.4939999999999</v>
      </c>
      <c r="D2920" s="24">
        <v>1422.3979999999999</v>
      </c>
      <c r="E2920" s="24">
        <v>1422.5889999999999</v>
      </c>
      <c r="F2920" s="4"/>
      <c r="G2920" s="4"/>
      <c r="H2920" s="27" t="s">
        <v>4498</v>
      </c>
      <c r="I2920" s="4"/>
      <c r="J2920" s="6">
        <v>0</v>
      </c>
      <c r="K2920" s="30" t="s">
        <v>3207</v>
      </c>
      <c r="L2920" s="4"/>
      <c r="M2920" s="3"/>
    </row>
    <row r="2921" spans="1:13" x14ac:dyDescent="0.3">
      <c r="A2921" s="17">
        <v>101</v>
      </c>
      <c r="B2921" s="19">
        <v>101</v>
      </c>
      <c r="C2921" s="23">
        <v>1422.6179999999999</v>
      </c>
      <c r="D2921" s="23">
        <v>1422.5889999999999</v>
      </c>
      <c r="E2921" s="23">
        <v>1422.6469999999999</v>
      </c>
      <c r="F2921" s="4"/>
      <c r="G2921" s="4"/>
      <c r="H2921" s="28" t="s">
        <v>4499</v>
      </c>
      <c r="I2921" s="4"/>
      <c r="J2921" s="6">
        <v>0</v>
      </c>
      <c r="K2921" s="29" t="s">
        <v>3207</v>
      </c>
      <c r="L2921" s="4"/>
      <c r="M2921" s="3"/>
    </row>
    <row r="2922" spans="1:13" x14ac:dyDescent="0.3">
      <c r="A2922" s="18">
        <v>101</v>
      </c>
      <c r="B2922" s="20">
        <v>101</v>
      </c>
      <c r="C2922" s="24">
        <v>1422.7529999999999</v>
      </c>
      <c r="D2922" s="24">
        <v>1422.6469999999999</v>
      </c>
      <c r="E2922" s="24">
        <v>1422.8579999999999</v>
      </c>
      <c r="F2922" s="4"/>
      <c r="G2922" s="4"/>
      <c r="H2922" s="27" t="s">
        <v>4500</v>
      </c>
      <c r="I2922" s="4"/>
      <c r="J2922" s="6">
        <v>0</v>
      </c>
      <c r="K2922" s="30" t="s">
        <v>3207</v>
      </c>
      <c r="L2922" s="4"/>
      <c r="M2922" s="3"/>
    </row>
    <row r="2923" spans="1:13" x14ac:dyDescent="0.3">
      <c r="A2923" s="17">
        <v>101</v>
      </c>
      <c r="B2923" s="19">
        <v>101</v>
      </c>
      <c r="C2923" s="23">
        <v>1422.9090000000001</v>
      </c>
      <c r="D2923" s="23">
        <v>1422.8579999999999</v>
      </c>
      <c r="E2923" s="23">
        <v>1422.9590000000001</v>
      </c>
      <c r="F2923" s="4"/>
      <c r="G2923" s="4"/>
      <c r="H2923" s="28" t="s">
        <v>4501</v>
      </c>
      <c r="I2923" s="4"/>
      <c r="J2923" s="6">
        <v>0</v>
      </c>
      <c r="K2923" s="29" t="s">
        <v>3207</v>
      </c>
      <c r="L2923" s="4"/>
      <c r="M2923" s="3"/>
    </row>
    <row r="2924" spans="1:13" x14ac:dyDescent="0.3">
      <c r="A2924" s="18">
        <v>101</v>
      </c>
      <c r="B2924" s="20">
        <v>101</v>
      </c>
      <c r="C2924" s="24">
        <v>1423.2760000000001</v>
      </c>
      <c r="D2924" s="24">
        <v>1422.9590000000001</v>
      </c>
      <c r="E2924" s="24">
        <v>1423.5930000000001</v>
      </c>
      <c r="F2924" s="4"/>
      <c r="G2924" s="4"/>
      <c r="H2924" s="27" t="s">
        <v>4502</v>
      </c>
      <c r="I2924" s="4"/>
      <c r="J2924" s="6">
        <v>0</v>
      </c>
      <c r="K2924" s="30" t="s">
        <v>3207</v>
      </c>
      <c r="L2924" s="4"/>
      <c r="M2924" s="3"/>
    </row>
    <row r="2925" spans="1:13" x14ac:dyDescent="0.3">
      <c r="A2925" s="17">
        <v>101</v>
      </c>
      <c r="B2925" s="19">
        <v>101</v>
      </c>
      <c r="C2925" s="23">
        <v>1423.7349999999999</v>
      </c>
      <c r="D2925" s="23">
        <v>1423.5930000000001</v>
      </c>
      <c r="E2925" s="23">
        <v>1423.876</v>
      </c>
      <c r="F2925" s="4"/>
      <c r="G2925" s="4"/>
      <c r="H2925" s="28" t="s">
        <v>4503</v>
      </c>
      <c r="I2925" s="4"/>
      <c r="J2925" s="6">
        <v>0</v>
      </c>
      <c r="K2925" s="29" t="s">
        <v>3207</v>
      </c>
      <c r="L2925" s="4"/>
      <c r="M2925" s="3"/>
    </row>
    <row r="2926" spans="1:13" x14ac:dyDescent="0.3">
      <c r="A2926" s="18">
        <v>101</v>
      </c>
      <c r="B2926" s="20">
        <v>101</v>
      </c>
      <c r="C2926" s="24">
        <v>1424.249</v>
      </c>
      <c r="D2926" s="24">
        <v>1423.876</v>
      </c>
      <c r="E2926" s="24">
        <v>1424.6210000000001</v>
      </c>
      <c r="F2926" s="4"/>
      <c r="G2926" s="4"/>
      <c r="H2926" s="27" t="s">
        <v>4504</v>
      </c>
      <c r="I2926" s="4"/>
      <c r="J2926" s="6">
        <v>0</v>
      </c>
      <c r="K2926" s="30" t="s">
        <v>3207</v>
      </c>
      <c r="L2926" s="4"/>
      <c r="M2926" s="3"/>
    </row>
    <row r="2927" spans="1:13" x14ac:dyDescent="0.3">
      <c r="A2927" s="17">
        <v>101</v>
      </c>
      <c r="B2927" s="19">
        <v>101</v>
      </c>
      <c r="C2927" s="23">
        <v>1424.636</v>
      </c>
      <c r="D2927" s="23">
        <v>1424.6210000000001</v>
      </c>
      <c r="E2927" s="23">
        <v>1424.65</v>
      </c>
      <c r="F2927" s="4"/>
      <c r="G2927" s="4"/>
      <c r="H2927" s="28" t="s">
        <v>4505</v>
      </c>
      <c r="I2927" s="4"/>
      <c r="J2927" s="6">
        <v>0</v>
      </c>
      <c r="K2927" s="29" t="s">
        <v>3207</v>
      </c>
      <c r="L2927" s="4"/>
      <c r="M2927" s="3"/>
    </row>
    <row r="2928" spans="1:13" x14ac:dyDescent="0.3">
      <c r="A2928" s="18">
        <v>101</v>
      </c>
      <c r="B2928" s="20">
        <v>101</v>
      </c>
      <c r="C2928" s="24">
        <v>1425.03</v>
      </c>
      <c r="D2928" s="24">
        <v>1424.65</v>
      </c>
      <c r="E2928" s="24">
        <v>1425.4090000000001</v>
      </c>
      <c r="F2928" s="4"/>
      <c r="G2928" s="4"/>
      <c r="H2928" s="27" t="s">
        <v>4506</v>
      </c>
      <c r="I2928" s="4"/>
      <c r="J2928" s="6">
        <v>0</v>
      </c>
      <c r="K2928" s="30" t="s">
        <v>3207</v>
      </c>
      <c r="L2928" s="4"/>
      <c r="M2928" s="3"/>
    </row>
    <row r="2929" spans="1:13" x14ac:dyDescent="0.3">
      <c r="A2929" s="17">
        <v>101</v>
      </c>
      <c r="B2929" s="19">
        <v>101</v>
      </c>
      <c r="C2929" s="23">
        <v>1425.421</v>
      </c>
      <c r="D2929" s="23">
        <v>1425.4090000000001</v>
      </c>
      <c r="E2929" s="23">
        <v>1425.432</v>
      </c>
      <c r="F2929" s="4"/>
      <c r="G2929" s="4"/>
      <c r="H2929" s="28" t="s">
        <v>4507</v>
      </c>
      <c r="I2929" s="4"/>
      <c r="J2929" s="6">
        <v>0</v>
      </c>
      <c r="K2929" s="29" t="s">
        <v>3207</v>
      </c>
      <c r="L2929" s="4"/>
      <c r="M2929" s="3"/>
    </row>
    <row r="2930" spans="1:13" x14ac:dyDescent="0.3">
      <c r="A2930" s="18">
        <v>101</v>
      </c>
      <c r="B2930" s="20">
        <v>101</v>
      </c>
      <c r="C2930" s="24">
        <v>1425.856</v>
      </c>
      <c r="D2930" s="24">
        <v>1425.432</v>
      </c>
      <c r="E2930" s="24">
        <v>1426.279</v>
      </c>
      <c r="F2930" s="4"/>
      <c r="G2930" s="4"/>
      <c r="H2930" s="27" t="s">
        <v>4508</v>
      </c>
      <c r="I2930" s="4"/>
      <c r="J2930" s="6">
        <v>0</v>
      </c>
      <c r="K2930" s="30" t="s">
        <v>3207</v>
      </c>
      <c r="L2930" s="4"/>
      <c r="M2930" s="3"/>
    </row>
    <row r="2931" spans="1:13" x14ac:dyDescent="0.3">
      <c r="A2931" s="17">
        <v>101</v>
      </c>
      <c r="B2931" s="19">
        <v>101</v>
      </c>
      <c r="C2931" s="23">
        <v>1426.4</v>
      </c>
      <c r="D2931" s="23">
        <v>1426.279</v>
      </c>
      <c r="E2931" s="23">
        <v>1426.52</v>
      </c>
      <c r="F2931" s="4"/>
      <c r="G2931" s="4"/>
      <c r="H2931" s="28" t="s">
        <v>4509</v>
      </c>
      <c r="I2931" s="4"/>
      <c r="J2931" s="6">
        <v>0</v>
      </c>
      <c r="K2931" s="29" t="s">
        <v>3207</v>
      </c>
      <c r="L2931" s="4"/>
      <c r="M2931" s="3"/>
    </row>
    <row r="2932" spans="1:13" x14ac:dyDescent="0.3">
      <c r="A2932" s="18">
        <v>101</v>
      </c>
      <c r="B2932" s="20">
        <v>101</v>
      </c>
      <c r="C2932" s="24">
        <v>1426.6959999999999</v>
      </c>
      <c r="D2932" s="24">
        <v>1426.52</v>
      </c>
      <c r="E2932" s="24">
        <v>1426.8710000000001</v>
      </c>
      <c r="F2932" s="4"/>
      <c r="G2932" s="4"/>
      <c r="H2932" s="27" t="s">
        <v>4510</v>
      </c>
      <c r="I2932" s="4"/>
      <c r="J2932" s="6">
        <v>0</v>
      </c>
      <c r="K2932" s="30" t="s">
        <v>3207</v>
      </c>
      <c r="L2932" s="4"/>
      <c r="M2932" s="3"/>
    </row>
    <row r="2933" spans="1:13" x14ac:dyDescent="0.3">
      <c r="A2933" s="17">
        <v>101</v>
      </c>
      <c r="B2933" s="19">
        <v>101</v>
      </c>
      <c r="C2933" s="23">
        <v>1427.009</v>
      </c>
      <c r="D2933" s="23">
        <v>1426.8710000000001</v>
      </c>
      <c r="E2933" s="23">
        <v>1427.146</v>
      </c>
      <c r="F2933" s="4"/>
      <c r="G2933" s="4"/>
      <c r="H2933" s="28" t="s">
        <v>4511</v>
      </c>
      <c r="I2933" s="4"/>
      <c r="J2933" s="6">
        <v>0</v>
      </c>
      <c r="K2933" s="29" t="s">
        <v>3207</v>
      </c>
      <c r="L2933" s="4"/>
      <c r="M2933" s="3"/>
    </row>
    <row r="2934" spans="1:13" x14ac:dyDescent="0.3">
      <c r="A2934" s="18">
        <v>101</v>
      </c>
      <c r="B2934" s="20">
        <v>101</v>
      </c>
      <c r="C2934" s="24">
        <v>1427.271</v>
      </c>
      <c r="D2934" s="24">
        <v>1427.146</v>
      </c>
      <c r="E2934" s="24">
        <v>1427.396</v>
      </c>
      <c r="F2934" s="4"/>
      <c r="G2934" s="4"/>
      <c r="H2934" s="27" t="s">
        <v>4512</v>
      </c>
      <c r="I2934" s="4"/>
      <c r="J2934" s="6">
        <v>0</v>
      </c>
      <c r="K2934" s="30" t="s">
        <v>3207</v>
      </c>
      <c r="L2934" s="4"/>
      <c r="M2934" s="3"/>
    </row>
    <row r="2935" spans="1:13" x14ac:dyDescent="0.3">
      <c r="A2935" s="17">
        <v>101</v>
      </c>
      <c r="B2935" s="19">
        <v>101</v>
      </c>
      <c r="C2935" s="23">
        <v>1427.4079999999999</v>
      </c>
      <c r="D2935" s="23">
        <v>1427.396</v>
      </c>
      <c r="E2935" s="23">
        <v>1427.42</v>
      </c>
      <c r="F2935" s="4"/>
      <c r="G2935" s="4"/>
      <c r="H2935" s="28" t="s">
        <v>4513</v>
      </c>
      <c r="I2935" s="4"/>
      <c r="J2935" s="6">
        <v>0</v>
      </c>
      <c r="K2935" s="29" t="s">
        <v>3207</v>
      </c>
      <c r="L2935" s="4"/>
      <c r="M2935" s="3"/>
    </row>
    <row r="2936" spans="1:13" x14ac:dyDescent="0.3">
      <c r="A2936" s="18">
        <v>101</v>
      </c>
      <c r="B2936" s="20">
        <v>101</v>
      </c>
      <c r="C2936" s="24">
        <v>1427.6579999999999</v>
      </c>
      <c r="D2936" s="24">
        <v>1427.42</v>
      </c>
      <c r="E2936" s="24">
        <v>1427.896</v>
      </c>
      <c r="F2936" s="4"/>
      <c r="G2936" s="4"/>
      <c r="H2936" s="27" t="s">
        <v>4514</v>
      </c>
      <c r="I2936" s="4"/>
      <c r="J2936" s="6">
        <v>0</v>
      </c>
      <c r="K2936" s="30" t="s">
        <v>3207</v>
      </c>
      <c r="L2936" s="4"/>
      <c r="M2936" s="3"/>
    </row>
    <row r="2937" spans="1:13" x14ac:dyDescent="0.3">
      <c r="A2937" s="17">
        <v>101</v>
      </c>
      <c r="B2937" s="19">
        <v>101</v>
      </c>
      <c r="C2937" s="23">
        <v>1428.077</v>
      </c>
      <c r="D2937" s="23">
        <v>1427.896</v>
      </c>
      <c r="E2937" s="23">
        <v>1428.2570000000001</v>
      </c>
      <c r="F2937" s="4"/>
      <c r="G2937" s="4"/>
      <c r="H2937" s="28" t="s">
        <v>4515</v>
      </c>
      <c r="I2937" s="4"/>
      <c r="J2937" s="6">
        <v>0</v>
      </c>
      <c r="K2937" s="29" t="s">
        <v>3207</v>
      </c>
      <c r="L2937" s="4"/>
      <c r="M2937" s="3"/>
    </row>
    <row r="2938" spans="1:13" x14ac:dyDescent="0.3">
      <c r="A2938" s="18">
        <v>101</v>
      </c>
      <c r="B2938" s="20">
        <v>101</v>
      </c>
      <c r="C2938" s="24">
        <v>1428.499</v>
      </c>
      <c r="D2938" s="24">
        <v>1428.2570000000001</v>
      </c>
      <c r="E2938" s="24">
        <v>1428.74</v>
      </c>
      <c r="F2938" s="4"/>
      <c r="G2938" s="4"/>
      <c r="H2938" s="27" t="s">
        <v>4516</v>
      </c>
      <c r="I2938" s="4"/>
      <c r="J2938" s="6">
        <v>0</v>
      </c>
      <c r="K2938" s="30" t="s">
        <v>3207</v>
      </c>
      <c r="L2938" s="4"/>
      <c r="M2938" s="3"/>
    </row>
    <row r="2939" spans="1:13" x14ac:dyDescent="0.3">
      <c r="A2939" s="17">
        <v>101</v>
      </c>
      <c r="B2939" s="19">
        <v>101</v>
      </c>
      <c r="C2939" s="23">
        <v>1428.903</v>
      </c>
      <c r="D2939" s="23">
        <v>1428.74</v>
      </c>
      <c r="E2939" s="23">
        <v>1429.0650000000001</v>
      </c>
      <c r="F2939" s="4"/>
      <c r="G2939" s="4"/>
      <c r="H2939" s="28" t="s">
        <v>4517</v>
      </c>
      <c r="I2939" s="4"/>
      <c r="J2939" s="6">
        <v>0</v>
      </c>
      <c r="K2939" s="29" t="s">
        <v>3207</v>
      </c>
      <c r="L2939" s="4"/>
      <c r="M2939" s="3"/>
    </row>
    <row r="2940" spans="1:13" x14ac:dyDescent="0.3">
      <c r="A2940" s="18">
        <v>101</v>
      </c>
      <c r="B2940" s="20">
        <v>101</v>
      </c>
      <c r="C2940" s="24">
        <v>1429.3810000000001</v>
      </c>
      <c r="D2940" s="24">
        <v>1429.0650000000001</v>
      </c>
      <c r="E2940" s="24">
        <v>1429.6969999999999</v>
      </c>
      <c r="F2940" s="4"/>
      <c r="G2940" s="4"/>
      <c r="H2940" s="27" t="s">
        <v>4518</v>
      </c>
      <c r="I2940" s="4"/>
      <c r="J2940" s="6">
        <v>0</v>
      </c>
      <c r="K2940" s="30" t="s">
        <v>3207</v>
      </c>
      <c r="L2940" s="4"/>
      <c r="M2940" s="3"/>
    </row>
    <row r="2941" spans="1:13" x14ac:dyDescent="0.3">
      <c r="A2941" s="17">
        <v>101</v>
      </c>
      <c r="B2941" s="19">
        <v>101</v>
      </c>
      <c r="C2941" s="23">
        <v>1429.731</v>
      </c>
      <c r="D2941" s="23">
        <v>1429.6969999999999</v>
      </c>
      <c r="E2941" s="23">
        <v>1429.7639999999999</v>
      </c>
      <c r="F2941" s="4"/>
      <c r="G2941" s="4"/>
      <c r="H2941" s="28" t="s">
        <v>4519</v>
      </c>
      <c r="I2941" s="4"/>
      <c r="J2941" s="6">
        <v>0</v>
      </c>
      <c r="K2941" s="29" t="s">
        <v>3207</v>
      </c>
      <c r="L2941" s="4"/>
      <c r="M2941" s="3"/>
    </row>
    <row r="2942" spans="1:13" x14ac:dyDescent="0.3">
      <c r="A2942" s="18">
        <v>101</v>
      </c>
      <c r="B2942" s="20">
        <v>101</v>
      </c>
      <c r="C2942" s="24">
        <v>1430.075</v>
      </c>
      <c r="D2942" s="24">
        <v>1429.7639999999999</v>
      </c>
      <c r="E2942" s="24">
        <v>1430.386</v>
      </c>
      <c r="F2942" s="4"/>
      <c r="G2942" s="4"/>
      <c r="H2942" s="27" t="s">
        <v>4520</v>
      </c>
      <c r="I2942" s="4"/>
      <c r="J2942" s="6">
        <v>0</v>
      </c>
      <c r="K2942" s="30" t="s">
        <v>3207</v>
      </c>
      <c r="L2942" s="4"/>
      <c r="M2942" s="3"/>
    </row>
    <row r="2943" spans="1:13" x14ac:dyDescent="0.3">
      <c r="A2943" s="17">
        <v>101</v>
      </c>
      <c r="B2943" s="19">
        <v>101</v>
      </c>
      <c r="C2943" s="23">
        <v>1430.4259999999999</v>
      </c>
      <c r="D2943" s="23">
        <v>1430.386</v>
      </c>
      <c r="E2943" s="23">
        <v>1430.4659999999999</v>
      </c>
      <c r="F2943" s="4"/>
      <c r="G2943" s="4"/>
      <c r="H2943" s="28" t="s">
        <v>4521</v>
      </c>
      <c r="I2943" s="4"/>
      <c r="J2943" s="6">
        <v>0</v>
      </c>
      <c r="K2943" s="29" t="s">
        <v>3207</v>
      </c>
      <c r="L2943" s="4"/>
      <c r="M2943" s="3"/>
    </row>
    <row r="2944" spans="1:13" x14ac:dyDescent="0.3">
      <c r="A2944" s="18">
        <v>101</v>
      </c>
      <c r="B2944" s="20">
        <v>101</v>
      </c>
      <c r="C2944" s="24">
        <v>1430.646</v>
      </c>
      <c r="D2944" s="24">
        <v>1430.4659999999999</v>
      </c>
      <c r="E2944" s="24">
        <v>1430.825</v>
      </c>
      <c r="F2944" s="4"/>
      <c r="G2944" s="4"/>
      <c r="H2944" s="27" t="s">
        <v>4522</v>
      </c>
      <c r="I2944" s="4"/>
      <c r="J2944" s="6">
        <v>0</v>
      </c>
      <c r="K2944" s="30" t="s">
        <v>3207</v>
      </c>
      <c r="L2944" s="4"/>
      <c r="M2944" s="3"/>
    </row>
    <row r="2945" spans="1:13" x14ac:dyDescent="0.3">
      <c r="A2945" s="17">
        <v>101</v>
      </c>
      <c r="B2945" s="19">
        <v>101</v>
      </c>
      <c r="C2945" s="23">
        <v>1430.877</v>
      </c>
      <c r="D2945" s="23">
        <v>1430.825</v>
      </c>
      <c r="E2945" s="23">
        <v>1430.9290000000001</v>
      </c>
      <c r="F2945" s="4"/>
      <c r="G2945" s="4"/>
      <c r="H2945" s="28" t="s">
        <v>4523</v>
      </c>
      <c r="I2945" s="4"/>
      <c r="J2945" s="6">
        <v>0</v>
      </c>
      <c r="K2945" s="29" t="s">
        <v>3207</v>
      </c>
      <c r="L2945" s="4"/>
      <c r="M2945" s="3"/>
    </row>
    <row r="2946" spans="1:13" x14ac:dyDescent="0.3">
      <c r="A2946" s="18">
        <v>101</v>
      </c>
      <c r="B2946" s="20">
        <v>101</v>
      </c>
      <c r="C2946" s="24">
        <v>1431.1369999999999</v>
      </c>
      <c r="D2946" s="24">
        <v>1430.9290000000001</v>
      </c>
      <c r="E2946" s="24">
        <v>1431.3440000000001</v>
      </c>
      <c r="F2946" s="4"/>
      <c r="G2946" s="4"/>
      <c r="H2946" s="27" t="s">
        <v>4524</v>
      </c>
      <c r="I2946" s="4"/>
      <c r="J2946" s="6">
        <v>0</v>
      </c>
      <c r="K2946" s="30" t="s">
        <v>3207</v>
      </c>
      <c r="L2946" s="4"/>
      <c r="M2946" s="3"/>
    </row>
    <row r="2947" spans="1:13" x14ac:dyDescent="0.3">
      <c r="A2947" s="17">
        <v>101</v>
      </c>
      <c r="B2947" s="19">
        <v>101</v>
      </c>
      <c r="C2947" s="23">
        <v>1431.41</v>
      </c>
      <c r="D2947" s="23">
        <v>1431.3440000000001</v>
      </c>
      <c r="E2947" s="23">
        <v>1431.4749999999999</v>
      </c>
      <c r="F2947" s="4"/>
      <c r="G2947" s="4"/>
      <c r="H2947" s="28" t="s">
        <v>4525</v>
      </c>
      <c r="I2947" s="4"/>
      <c r="J2947" s="6">
        <v>0</v>
      </c>
      <c r="K2947" s="29" t="s">
        <v>3207</v>
      </c>
      <c r="L2947" s="4"/>
      <c r="M2947" s="3"/>
    </row>
    <row r="2948" spans="1:13" x14ac:dyDescent="0.3">
      <c r="A2948" s="18">
        <v>101</v>
      </c>
      <c r="B2948" s="20">
        <v>101</v>
      </c>
      <c r="C2948" s="24">
        <v>1431.789</v>
      </c>
      <c r="D2948" s="24">
        <v>1431.4749999999999</v>
      </c>
      <c r="E2948" s="24">
        <v>1432.1020000000001</v>
      </c>
      <c r="F2948" s="4"/>
      <c r="G2948" s="4"/>
      <c r="H2948" s="27" t="s">
        <v>4526</v>
      </c>
      <c r="I2948" s="4"/>
      <c r="J2948" s="6">
        <v>0</v>
      </c>
      <c r="K2948" s="30" t="s">
        <v>3207</v>
      </c>
      <c r="L2948" s="4"/>
      <c r="M2948" s="3"/>
    </row>
    <row r="2949" spans="1:13" x14ac:dyDescent="0.3">
      <c r="A2949" s="17">
        <v>101</v>
      </c>
      <c r="B2949" s="19">
        <v>101</v>
      </c>
      <c r="C2949" s="23">
        <v>1432.1579999999999</v>
      </c>
      <c r="D2949" s="23">
        <v>1432.1020000000001</v>
      </c>
      <c r="E2949" s="23">
        <v>1432.213</v>
      </c>
      <c r="F2949" s="4"/>
      <c r="G2949" s="4"/>
      <c r="H2949" s="28" t="s">
        <v>4527</v>
      </c>
      <c r="I2949" s="4"/>
      <c r="J2949" s="6">
        <v>0</v>
      </c>
      <c r="K2949" s="29" t="s">
        <v>3207</v>
      </c>
      <c r="L2949" s="4"/>
      <c r="M2949" s="3"/>
    </row>
    <row r="2950" spans="1:13" x14ac:dyDescent="0.3">
      <c r="A2950" s="18">
        <v>101</v>
      </c>
      <c r="B2950" s="20">
        <v>101</v>
      </c>
      <c r="C2950" s="24">
        <v>1432.3689999999999</v>
      </c>
      <c r="D2950" s="24">
        <v>1432.213</v>
      </c>
      <c r="E2950" s="24">
        <v>1432.5250000000001</v>
      </c>
      <c r="F2950" s="4"/>
      <c r="G2950" s="4"/>
      <c r="H2950" s="27" t="s">
        <v>4528</v>
      </c>
      <c r="I2950" s="4"/>
      <c r="J2950" s="6">
        <v>0</v>
      </c>
      <c r="K2950" s="30" t="s">
        <v>3207</v>
      </c>
      <c r="L2950" s="4"/>
      <c r="M2950" s="3"/>
    </row>
    <row r="2951" spans="1:13" x14ac:dyDescent="0.3">
      <c r="A2951" s="17">
        <v>101</v>
      </c>
      <c r="B2951" s="19">
        <v>101</v>
      </c>
      <c r="C2951" s="23">
        <v>1432.653</v>
      </c>
      <c r="D2951" s="23">
        <v>1432.5250000000001</v>
      </c>
      <c r="E2951" s="23">
        <v>1432.78</v>
      </c>
      <c r="F2951" s="4"/>
      <c r="G2951" s="4"/>
      <c r="H2951" s="28" t="s">
        <v>4529</v>
      </c>
      <c r="I2951" s="4"/>
      <c r="J2951" s="6">
        <v>0</v>
      </c>
      <c r="K2951" s="29" t="s">
        <v>3207</v>
      </c>
      <c r="L2951" s="4"/>
      <c r="M2951" s="3"/>
    </row>
    <row r="2952" spans="1:13" x14ac:dyDescent="0.3">
      <c r="A2952" s="18">
        <v>101</v>
      </c>
      <c r="B2952" s="20">
        <v>101</v>
      </c>
      <c r="C2952" s="24">
        <v>1433.0329999999999</v>
      </c>
      <c r="D2952" s="24">
        <v>1432.78</v>
      </c>
      <c r="E2952" s="24">
        <v>1433.2860000000001</v>
      </c>
      <c r="F2952" s="4"/>
      <c r="G2952" s="4"/>
      <c r="H2952" s="27" t="s">
        <v>4530</v>
      </c>
      <c r="I2952" s="4"/>
      <c r="J2952" s="6">
        <v>0</v>
      </c>
      <c r="K2952" s="30" t="s">
        <v>3207</v>
      </c>
      <c r="L2952" s="4"/>
      <c r="M2952" s="3"/>
    </row>
    <row r="2953" spans="1:13" x14ac:dyDescent="0.3">
      <c r="A2953" s="17">
        <v>101</v>
      </c>
      <c r="B2953" s="19">
        <v>101</v>
      </c>
      <c r="C2953" s="23">
        <v>1433.3589999999999</v>
      </c>
      <c r="D2953" s="23">
        <v>1433.2860000000001</v>
      </c>
      <c r="E2953" s="23">
        <v>1433.432</v>
      </c>
      <c r="F2953" s="4"/>
      <c r="G2953" s="4"/>
      <c r="H2953" s="28" t="s">
        <v>4531</v>
      </c>
      <c r="I2953" s="4"/>
      <c r="J2953" s="6">
        <v>0</v>
      </c>
      <c r="K2953" s="29" t="s">
        <v>3207</v>
      </c>
      <c r="L2953" s="4"/>
      <c r="M2953" s="3"/>
    </row>
    <row r="2954" spans="1:13" x14ac:dyDescent="0.3">
      <c r="A2954" s="18">
        <v>101</v>
      </c>
      <c r="B2954" s="20">
        <v>101</v>
      </c>
      <c r="C2954" s="24">
        <v>1433.6220000000001</v>
      </c>
      <c r="D2954" s="24">
        <v>1433.432</v>
      </c>
      <c r="E2954" s="24">
        <v>1433.8109999999999</v>
      </c>
      <c r="F2954" s="4"/>
      <c r="G2954" s="4"/>
      <c r="H2954" s="27" t="s">
        <v>4532</v>
      </c>
      <c r="I2954" s="4"/>
      <c r="J2954" s="6">
        <v>0</v>
      </c>
      <c r="K2954" s="30" t="s">
        <v>3207</v>
      </c>
      <c r="L2954" s="4"/>
      <c r="M2954" s="3"/>
    </row>
    <row r="2955" spans="1:13" x14ac:dyDescent="0.3">
      <c r="A2955" s="17">
        <v>101</v>
      </c>
      <c r="B2955" s="19">
        <v>101</v>
      </c>
      <c r="C2955" s="23">
        <v>1433.973</v>
      </c>
      <c r="D2955" s="23">
        <v>1433.8109999999999</v>
      </c>
      <c r="E2955" s="23">
        <v>1434.135</v>
      </c>
      <c r="F2955" s="4"/>
      <c r="G2955" s="4"/>
      <c r="H2955" s="28" t="s">
        <v>4533</v>
      </c>
      <c r="I2955" s="4"/>
      <c r="J2955" s="6">
        <v>0</v>
      </c>
      <c r="K2955" s="29" t="s">
        <v>3207</v>
      </c>
      <c r="L2955" s="4"/>
      <c r="M2955" s="3"/>
    </row>
    <row r="2956" spans="1:13" x14ac:dyDescent="0.3">
      <c r="A2956" s="18">
        <v>101</v>
      </c>
      <c r="B2956" s="20">
        <v>101</v>
      </c>
      <c r="C2956" s="24">
        <v>1434.481</v>
      </c>
      <c r="D2956" s="24">
        <v>1434.135</v>
      </c>
      <c r="E2956" s="24">
        <v>1434.827</v>
      </c>
      <c r="F2956" s="4"/>
      <c r="G2956" s="4"/>
      <c r="H2956" s="27" t="s">
        <v>4534</v>
      </c>
      <c r="I2956" s="4"/>
      <c r="J2956" s="6">
        <v>0</v>
      </c>
      <c r="K2956" s="30" t="s">
        <v>3207</v>
      </c>
      <c r="L2956" s="4"/>
      <c r="M2956" s="3"/>
    </row>
    <row r="2957" spans="1:13" x14ac:dyDescent="0.3">
      <c r="A2957" s="17">
        <v>101</v>
      </c>
      <c r="B2957" s="19">
        <v>101</v>
      </c>
      <c r="C2957" s="23">
        <v>1434.8420000000001</v>
      </c>
      <c r="D2957" s="23">
        <v>1434.827</v>
      </c>
      <c r="E2957" s="23">
        <v>1434.856</v>
      </c>
      <c r="F2957" s="4"/>
      <c r="G2957" s="4"/>
      <c r="H2957" s="28" t="s">
        <v>4535</v>
      </c>
      <c r="I2957" s="4"/>
      <c r="J2957" s="6">
        <v>0</v>
      </c>
      <c r="K2957" s="29" t="s">
        <v>3207</v>
      </c>
      <c r="L2957" s="4"/>
      <c r="M2957" s="3"/>
    </row>
    <row r="2958" spans="1:13" x14ac:dyDescent="0.3">
      <c r="A2958" s="18">
        <v>101</v>
      </c>
      <c r="B2958" s="20">
        <v>101</v>
      </c>
      <c r="C2958" s="24">
        <v>1435.029</v>
      </c>
      <c r="D2958" s="24">
        <v>1434.856</v>
      </c>
      <c r="E2958" s="24">
        <v>1435.202</v>
      </c>
      <c r="F2958" s="4"/>
      <c r="G2958" s="4"/>
      <c r="H2958" s="27" t="s">
        <v>4536</v>
      </c>
      <c r="I2958" s="4"/>
      <c r="J2958" s="6">
        <v>0</v>
      </c>
      <c r="K2958" s="30" t="s">
        <v>3207</v>
      </c>
      <c r="L2958" s="4"/>
      <c r="M2958" s="3"/>
    </row>
    <row r="2959" spans="1:13" x14ac:dyDescent="0.3">
      <c r="A2959" s="17">
        <v>101</v>
      </c>
      <c r="B2959" s="19">
        <v>101</v>
      </c>
      <c r="C2959" s="23">
        <v>1435.3130000000001</v>
      </c>
      <c r="D2959" s="23">
        <v>1435.202</v>
      </c>
      <c r="E2959" s="23">
        <v>1435.423</v>
      </c>
      <c r="F2959" s="4"/>
      <c r="G2959" s="4"/>
      <c r="H2959" s="28" t="s">
        <v>4537</v>
      </c>
      <c r="I2959" s="4"/>
      <c r="J2959" s="6">
        <v>0</v>
      </c>
      <c r="K2959" s="29" t="s">
        <v>3207</v>
      </c>
      <c r="L2959" s="4"/>
      <c r="M2959" s="3"/>
    </row>
    <row r="2960" spans="1:13" x14ac:dyDescent="0.3">
      <c r="A2960" s="18">
        <v>101</v>
      </c>
      <c r="B2960" s="20">
        <v>101</v>
      </c>
      <c r="C2960" s="24">
        <v>1436.114</v>
      </c>
      <c r="D2960" s="24">
        <v>1435.423</v>
      </c>
      <c r="E2960" s="24">
        <v>1436.8040000000001</v>
      </c>
      <c r="F2960" s="4"/>
      <c r="G2960" s="4"/>
      <c r="H2960" s="27" t="s">
        <v>4538</v>
      </c>
      <c r="I2960" s="4"/>
      <c r="J2960" s="6">
        <v>0</v>
      </c>
      <c r="K2960" s="30" t="s">
        <v>3207</v>
      </c>
      <c r="L2960" s="4"/>
      <c r="M2960" s="3"/>
    </row>
    <row r="2961" spans="1:13" x14ac:dyDescent="0.3">
      <c r="A2961" s="17">
        <v>101</v>
      </c>
      <c r="B2961" s="19">
        <v>101</v>
      </c>
      <c r="C2961" s="23">
        <v>1436.9780000000001</v>
      </c>
      <c r="D2961" s="23">
        <v>1436.8040000000001</v>
      </c>
      <c r="E2961" s="23">
        <v>1437.1510000000001</v>
      </c>
      <c r="F2961" s="4"/>
      <c r="G2961" s="4"/>
      <c r="H2961" s="28" t="s">
        <v>4539</v>
      </c>
      <c r="I2961" s="4"/>
      <c r="J2961" s="6">
        <v>0</v>
      </c>
      <c r="K2961" s="29" t="s">
        <v>3207</v>
      </c>
      <c r="L2961" s="4"/>
      <c r="M2961" s="3"/>
    </row>
    <row r="2962" spans="1:13" x14ac:dyDescent="0.3">
      <c r="A2962" s="18">
        <v>101</v>
      </c>
      <c r="B2962" s="20">
        <v>101</v>
      </c>
      <c r="C2962" s="24">
        <v>1437.3019999999999</v>
      </c>
      <c r="D2962" s="24">
        <v>1437.1510000000001</v>
      </c>
      <c r="E2962" s="24">
        <v>1437.453</v>
      </c>
      <c r="F2962" s="4"/>
      <c r="G2962" s="4"/>
      <c r="H2962" s="27" t="s">
        <v>4540</v>
      </c>
      <c r="I2962" s="4"/>
      <c r="J2962" s="6">
        <v>0</v>
      </c>
      <c r="K2962" s="30" t="s">
        <v>3207</v>
      </c>
      <c r="L2962" s="4"/>
      <c r="M2962" s="3"/>
    </row>
    <row r="2963" spans="1:13" x14ac:dyDescent="0.3">
      <c r="A2963" s="17">
        <v>101</v>
      </c>
      <c r="B2963" s="19">
        <v>101</v>
      </c>
      <c r="C2963" s="23">
        <v>1437.6859999999999</v>
      </c>
      <c r="D2963" s="23">
        <v>1437.453</v>
      </c>
      <c r="E2963" s="23">
        <v>1437.9179999999999</v>
      </c>
      <c r="F2963" s="4"/>
      <c r="G2963" s="4"/>
      <c r="H2963" s="28" t="s">
        <v>4541</v>
      </c>
      <c r="I2963" s="4"/>
      <c r="J2963" s="6">
        <v>0</v>
      </c>
      <c r="K2963" s="29" t="s">
        <v>3207</v>
      </c>
      <c r="L2963" s="4"/>
      <c r="M2963" s="3"/>
    </row>
    <row r="2964" spans="1:13" x14ac:dyDescent="0.3">
      <c r="A2964" s="18">
        <v>101</v>
      </c>
      <c r="B2964" s="20">
        <v>101</v>
      </c>
      <c r="C2964" s="24">
        <v>1438.1079999999999</v>
      </c>
      <c r="D2964" s="24">
        <v>1437.9179999999999</v>
      </c>
      <c r="E2964" s="24">
        <v>1438.298</v>
      </c>
      <c r="F2964" s="4"/>
      <c r="G2964" s="4"/>
      <c r="H2964" s="27" t="s">
        <v>4542</v>
      </c>
      <c r="I2964" s="4"/>
      <c r="J2964" s="6">
        <v>0</v>
      </c>
      <c r="K2964" s="30" t="s">
        <v>3207</v>
      </c>
      <c r="L2964" s="4"/>
      <c r="M2964" s="3"/>
    </row>
    <row r="2965" spans="1:13" x14ac:dyDescent="0.3">
      <c r="A2965" s="17">
        <v>101</v>
      </c>
      <c r="B2965" s="19">
        <v>101</v>
      </c>
      <c r="C2965" s="23">
        <v>1438.4939999999999</v>
      </c>
      <c r="D2965" s="23">
        <v>1438.298</v>
      </c>
      <c r="E2965" s="23">
        <v>1438.69</v>
      </c>
      <c r="F2965" s="4"/>
      <c r="G2965" s="4"/>
      <c r="H2965" s="28" t="s">
        <v>4543</v>
      </c>
      <c r="I2965" s="4"/>
      <c r="J2965" s="6">
        <v>0</v>
      </c>
      <c r="K2965" s="29" t="s">
        <v>3207</v>
      </c>
      <c r="L2965" s="4"/>
      <c r="M2965" s="3"/>
    </row>
    <row r="2966" spans="1:13" x14ac:dyDescent="0.3">
      <c r="A2966" s="18">
        <v>101</v>
      </c>
      <c r="B2966" s="20">
        <v>101</v>
      </c>
      <c r="C2966" s="24">
        <v>1438.7560000000001</v>
      </c>
      <c r="D2966" s="24">
        <v>1438.69</v>
      </c>
      <c r="E2966" s="24">
        <v>1438.8209999999999</v>
      </c>
      <c r="F2966" s="4"/>
      <c r="G2966" s="4"/>
      <c r="H2966" s="27" t="s">
        <v>4544</v>
      </c>
      <c r="I2966" s="4"/>
      <c r="J2966" s="6">
        <v>0</v>
      </c>
      <c r="K2966" s="30" t="s">
        <v>3207</v>
      </c>
      <c r="L2966" s="4"/>
      <c r="M2966" s="3"/>
    </row>
    <row r="2967" spans="1:13" x14ac:dyDescent="0.3">
      <c r="A2967" s="17">
        <v>101</v>
      </c>
      <c r="B2967" s="19">
        <v>101</v>
      </c>
      <c r="C2967" s="23">
        <v>1439.0820000000001</v>
      </c>
      <c r="D2967" s="23">
        <v>1438.8209999999999</v>
      </c>
      <c r="E2967" s="23">
        <v>1439.3430000000001</v>
      </c>
      <c r="F2967" s="4"/>
      <c r="G2967" s="4"/>
      <c r="H2967" s="28" t="s">
        <v>4545</v>
      </c>
      <c r="I2967" s="4"/>
      <c r="J2967" s="6">
        <v>0</v>
      </c>
      <c r="K2967" s="29" t="s">
        <v>3207</v>
      </c>
      <c r="L2967" s="4"/>
      <c r="M2967" s="3"/>
    </row>
    <row r="2968" spans="1:13" x14ac:dyDescent="0.3">
      <c r="A2968" s="18">
        <v>101</v>
      </c>
      <c r="B2968" s="20">
        <v>101</v>
      </c>
      <c r="C2968" s="24">
        <v>1439.3630000000001</v>
      </c>
      <c r="D2968" s="24">
        <v>1439.3430000000001</v>
      </c>
      <c r="E2968" s="24">
        <v>1439.3820000000001</v>
      </c>
      <c r="F2968" s="4"/>
      <c r="G2968" s="4"/>
      <c r="H2968" s="27" t="s">
        <v>4546</v>
      </c>
      <c r="I2968" s="4"/>
      <c r="J2968" s="6">
        <v>0</v>
      </c>
      <c r="K2968" s="30" t="s">
        <v>3207</v>
      </c>
      <c r="L2968" s="4"/>
      <c r="M2968" s="3"/>
    </row>
    <row r="2969" spans="1:13" x14ac:dyDescent="0.3">
      <c r="A2969" s="17">
        <v>101</v>
      </c>
      <c r="B2969" s="19">
        <v>101</v>
      </c>
      <c r="C2969" s="23">
        <v>1439.4880000000001</v>
      </c>
      <c r="D2969" s="23">
        <v>1439.3820000000001</v>
      </c>
      <c r="E2969" s="23">
        <v>1439.5940000000001</v>
      </c>
      <c r="F2969" s="4"/>
      <c r="G2969" s="4"/>
      <c r="H2969" s="28" t="s">
        <v>4547</v>
      </c>
      <c r="I2969" s="4"/>
      <c r="J2969" s="6">
        <v>0</v>
      </c>
      <c r="K2969" s="29" t="s">
        <v>3207</v>
      </c>
      <c r="L2969" s="4"/>
      <c r="M2969" s="3"/>
    </row>
    <row r="2970" spans="1:13" x14ac:dyDescent="0.3">
      <c r="A2970" s="18">
        <v>101</v>
      </c>
      <c r="B2970" s="20">
        <v>101</v>
      </c>
      <c r="C2970" s="24">
        <v>1439.6890000000001</v>
      </c>
      <c r="D2970" s="24">
        <v>1439.5940000000001</v>
      </c>
      <c r="E2970" s="24">
        <v>1439.7840000000001</v>
      </c>
      <c r="F2970" s="4"/>
      <c r="G2970" s="4"/>
      <c r="H2970" s="27" t="s">
        <v>4548</v>
      </c>
      <c r="I2970" s="4"/>
      <c r="J2970" s="6">
        <v>0</v>
      </c>
      <c r="K2970" s="30" t="s">
        <v>3207</v>
      </c>
      <c r="L2970" s="4"/>
      <c r="M2970" s="3"/>
    </row>
    <row r="2971" spans="1:13" x14ac:dyDescent="0.3">
      <c r="A2971" s="17">
        <v>101</v>
      </c>
      <c r="B2971" s="19">
        <v>101</v>
      </c>
      <c r="C2971" s="23">
        <v>1439.829</v>
      </c>
      <c r="D2971" s="23">
        <v>1439.7840000000001</v>
      </c>
      <c r="E2971" s="23">
        <v>1439.873</v>
      </c>
      <c r="F2971" s="4"/>
      <c r="G2971" s="4"/>
      <c r="H2971" s="28" t="s">
        <v>4549</v>
      </c>
      <c r="I2971" s="4"/>
      <c r="J2971" s="6">
        <v>0</v>
      </c>
      <c r="K2971" s="29" t="s">
        <v>3207</v>
      </c>
      <c r="L2971" s="4"/>
      <c r="M2971" s="3"/>
    </row>
    <row r="2972" spans="1:13" x14ac:dyDescent="0.3">
      <c r="A2972" s="18">
        <v>101</v>
      </c>
      <c r="B2972" s="20">
        <v>101</v>
      </c>
      <c r="C2972" s="24">
        <v>1440.2550000000001</v>
      </c>
      <c r="D2972" s="24">
        <v>1439.873</v>
      </c>
      <c r="E2972" s="24">
        <v>1440.636</v>
      </c>
      <c r="F2972" s="4"/>
      <c r="G2972" s="4"/>
      <c r="H2972" s="27" t="s">
        <v>4550</v>
      </c>
      <c r="I2972" s="4"/>
      <c r="J2972" s="6">
        <v>0</v>
      </c>
      <c r="K2972" s="30" t="s">
        <v>3207</v>
      </c>
      <c r="L2972" s="4"/>
      <c r="M2972" s="3"/>
    </row>
    <row r="2973" spans="1:13" x14ac:dyDescent="0.3">
      <c r="A2973" s="17">
        <v>101</v>
      </c>
      <c r="B2973" s="19">
        <v>101</v>
      </c>
      <c r="C2973" s="23">
        <v>1440.652</v>
      </c>
      <c r="D2973" s="23">
        <v>1440.636</v>
      </c>
      <c r="E2973" s="23">
        <v>1440.6669999999999</v>
      </c>
      <c r="F2973" s="4"/>
      <c r="G2973" s="4"/>
      <c r="H2973" s="28" t="s">
        <v>4551</v>
      </c>
      <c r="I2973" s="4"/>
      <c r="J2973" s="6">
        <v>0</v>
      </c>
      <c r="K2973" s="29" t="s">
        <v>3207</v>
      </c>
      <c r="L2973" s="4"/>
      <c r="M2973" s="3"/>
    </row>
    <row r="2974" spans="1:13" x14ac:dyDescent="0.3">
      <c r="A2974" s="18">
        <v>101</v>
      </c>
      <c r="B2974" s="20">
        <v>101</v>
      </c>
      <c r="C2974" s="24">
        <v>1441.0509999999999</v>
      </c>
      <c r="D2974" s="24">
        <v>1440.6669999999999</v>
      </c>
      <c r="E2974" s="24">
        <v>1441.4349999999999</v>
      </c>
      <c r="F2974" s="4"/>
      <c r="G2974" s="4"/>
      <c r="H2974" s="27" t="s">
        <v>4552</v>
      </c>
      <c r="I2974" s="4"/>
      <c r="J2974" s="6">
        <v>0</v>
      </c>
      <c r="K2974" s="30" t="s">
        <v>3207</v>
      </c>
      <c r="L2974" s="4"/>
      <c r="M2974" s="3"/>
    </row>
    <row r="2975" spans="1:13" x14ac:dyDescent="0.3">
      <c r="A2975" s="17">
        <v>101</v>
      </c>
      <c r="B2975" s="19">
        <v>101</v>
      </c>
      <c r="C2975" s="23">
        <v>1441.723</v>
      </c>
      <c r="D2975" s="23">
        <v>1441.4349999999999</v>
      </c>
      <c r="E2975" s="23">
        <v>1442.01</v>
      </c>
      <c r="F2975" s="4"/>
      <c r="G2975" s="4"/>
      <c r="H2975" s="28" t="s">
        <v>4553</v>
      </c>
      <c r="I2975" s="4"/>
      <c r="J2975" s="6">
        <v>0</v>
      </c>
      <c r="K2975" s="29" t="s">
        <v>3207</v>
      </c>
      <c r="L2975" s="4"/>
      <c r="M2975" s="3"/>
    </row>
    <row r="2976" spans="1:13" x14ac:dyDescent="0.3">
      <c r="A2976" s="18">
        <v>101</v>
      </c>
      <c r="B2976" s="20">
        <v>101</v>
      </c>
      <c r="C2976" s="24">
        <v>1442.2329999999999</v>
      </c>
      <c r="D2976" s="24">
        <v>1442.01</v>
      </c>
      <c r="E2976" s="24">
        <v>1442.4549999999999</v>
      </c>
      <c r="F2976" s="4"/>
      <c r="G2976" s="4"/>
      <c r="H2976" s="27" t="s">
        <v>4554</v>
      </c>
      <c r="I2976" s="4"/>
      <c r="J2976" s="6">
        <v>0</v>
      </c>
      <c r="K2976" s="30" t="s">
        <v>3207</v>
      </c>
      <c r="L2976" s="4"/>
      <c r="M2976" s="3"/>
    </row>
    <row r="2977" spans="1:13" x14ac:dyDescent="0.3">
      <c r="A2977" s="17">
        <v>101</v>
      </c>
      <c r="B2977" s="19">
        <v>101</v>
      </c>
      <c r="C2977" s="23">
        <v>1442.7260000000001</v>
      </c>
      <c r="D2977" s="23">
        <v>1442.4549999999999</v>
      </c>
      <c r="E2977" s="23">
        <v>1442.9970000000001</v>
      </c>
      <c r="F2977" s="4"/>
      <c r="G2977" s="4"/>
      <c r="H2977" s="28" t="s">
        <v>4555</v>
      </c>
      <c r="I2977" s="4"/>
      <c r="J2977" s="6">
        <v>0</v>
      </c>
      <c r="K2977" s="29" t="s">
        <v>3207</v>
      </c>
      <c r="L2977" s="4"/>
      <c r="M2977" s="3"/>
    </row>
    <row r="2978" spans="1:13" x14ac:dyDescent="0.3">
      <c r="A2978" s="18">
        <v>101</v>
      </c>
      <c r="B2978" s="20">
        <v>101</v>
      </c>
      <c r="C2978" s="24">
        <v>1443.183</v>
      </c>
      <c r="D2978" s="24">
        <v>1442.9970000000001</v>
      </c>
      <c r="E2978" s="24">
        <v>1443.3689999999999</v>
      </c>
      <c r="F2978" s="4"/>
      <c r="G2978" s="4"/>
      <c r="H2978" s="27" t="s">
        <v>4556</v>
      </c>
      <c r="I2978" s="4"/>
      <c r="J2978" s="6">
        <v>0</v>
      </c>
      <c r="K2978" s="30" t="s">
        <v>3207</v>
      </c>
      <c r="L2978" s="4"/>
      <c r="M2978" s="3"/>
    </row>
    <row r="2979" spans="1:13" x14ac:dyDescent="0.3">
      <c r="A2979" s="17">
        <v>101</v>
      </c>
      <c r="B2979" s="19">
        <v>101</v>
      </c>
      <c r="C2979" s="23">
        <v>1443.51</v>
      </c>
      <c r="D2979" s="23">
        <v>1443.3689999999999</v>
      </c>
      <c r="E2979" s="23">
        <v>1443.65</v>
      </c>
      <c r="F2979" s="4"/>
      <c r="G2979" s="4"/>
      <c r="H2979" s="28" t="s">
        <v>4557</v>
      </c>
      <c r="I2979" s="4"/>
      <c r="J2979" s="6">
        <v>0</v>
      </c>
      <c r="K2979" s="29" t="s">
        <v>3207</v>
      </c>
      <c r="L2979" s="4"/>
      <c r="M2979" s="3"/>
    </row>
    <row r="2980" spans="1:13" x14ac:dyDescent="0.3">
      <c r="A2980" s="18">
        <v>101</v>
      </c>
      <c r="B2980" s="20">
        <v>101</v>
      </c>
      <c r="C2980" s="24">
        <v>1443.8589999999999</v>
      </c>
      <c r="D2980" s="24">
        <v>1443.65</v>
      </c>
      <c r="E2980" s="24">
        <v>1444.068</v>
      </c>
      <c r="F2980" s="4"/>
      <c r="G2980" s="4"/>
      <c r="H2980" s="27" t="s">
        <v>4558</v>
      </c>
      <c r="I2980" s="4"/>
      <c r="J2980" s="6">
        <v>0</v>
      </c>
      <c r="K2980" s="30" t="s">
        <v>3207</v>
      </c>
      <c r="L2980" s="4"/>
      <c r="M2980" s="3"/>
    </row>
    <row r="2981" spans="1:13" x14ac:dyDescent="0.3">
      <c r="A2981" s="17">
        <v>101</v>
      </c>
      <c r="B2981" s="19">
        <v>101</v>
      </c>
      <c r="C2981" s="23">
        <v>1444.452</v>
      </c>
      <c r="D2981" s="23">
        <v>1444.068</v>
      </c>
      <c r="E2981" s="23">
        <v>1444.836</v>
      </c>
      <c r="F2981" s="4"/>
      <c r="G2981" s="4"/>
      <c r="H2981" s="28" t="s">
        <v>4559</v>
      </c>
      <c r="I2981" s="4"/>
      <c r="J2981" s="6">
        <v>0</v>
      </c>
      <c r="K2981" s="29" t="s">
        <v>3207</v>
      </c>
      <c r="L2981" s="4"/>
      <c r="M2981" s="3"/>
    </row>
    <row r="2982" spans="1:13" x14ac:dyDescent="0.3">
      <c r="A2982" s="18">
        <v>101</v>
      </c>
      <c r="B2982" s="20">
        <v>101</v>
      </c>
      <c r="C2982" s="24">
        <v>1445.098</v>
      </c>
      <c r="D2982" s="24">
        <v>1444.836</v>
      </c>
      <c r="E2982" s="24">
        <v>1445.3589999999999</v>
      </c>
      <c r="F2982" s="4"/>
      <c r="G2982" s="4"/>
      <c r="H2982" s="27" t="s">
        <v>4560</v>
      </c>
      <c r="I2982" s="4"/>
      <c r="J2982" s="6">
        <v>0</v>
      </c>
      <c r="K2982" s="30" t="s">
        <v>3207</v>
      </c>
      <c r="L2982" s="4"/>
      <c r="M2982" s="3"/>
    </row>
    <row r="2983" spans="1:13" x14ac:dyDescent="0.3">
      <c r="A2983" s="17">
        <v>101</v>
      </c>
      <c r="B2983" s="19">
        <v>101</v>
      </c>
      <c r="C2983" s="23">
        <v>1445.645</v>
      </c>
      <c r="D2983" s="23">
        <v>1445.3589999999999</v>
      </c>
      <c r="E2983" s="23">
        <v>1445.93</v>
      </c>
      <c r="F2983" s="4"/>
      <c r="G2983" s="4"/>
      <c r="H2983" s="28" t="s">
        <v>4561</v>
      </c>
      <c r="I2983" s="4"/>
      <c r="J2983" s="6">
        <v>0</v>
      </c>
      <c r="K2983" s="29" t="s">
        <v>3207</v>
      </c>
      <c r="L2983" s="4"/>
      <c r="M2983" s="3"/>
    </row>
    <row r="2984" spans="1:13" x14ac:dyDescent="0.3">
      <c r="A2984" s="18">
        <v>101</v>
      </c>
      <c r="B2984" s="20">
        <v>101</v>
      </c>
      <c r="C2984" s="24">
        <v>1446.3030000000001</v>
      </c>
      <c r="D2984" s="24">
        <v>1445.93</v>
      </c>
      <c r="E2984" s="24">
        <v>1446.6759999999999</v>
      </c>
      <c r="F2984" s="4"/>
      <c r="G2984" s="4"/>
      <c r="H2984" s="27" t="s">
        <v>4562</v>
      </c>
      <c r="I2984" s="4"/>
      <c r="J2984" s="6">
        <v>0</v>
      </c>
      <c r="K2984" s="30" t="s">
        <v>3207</v>
      </c>
      <c r="L2984" s="4"/>
      <c r="M2984" s="3"/>
    </row>
    <row r="2985" spans="1:13" x14ac:dyDescent="0.3">
      <c r="A2985" s="17">
        <v>101</v>
      </c>
      <c r="B2985" s="19">
        <v>101</v>
      </c>
      <c r="C2985" s="23">
        <v>1446.74</v>
      </c>
      <c r="D2985" s="23">
        <v>1446.6759999999999</v>
      </c>
      <c r="E2985" s="23">
        <v>1446.8030000000001</v>
      </c>
      <c r="F2985" s="4"/>
      <c r="G2985" s="4"/>
      <c r="H2985" s="28" t="s">
        <v>4563</v>
      </c>
      <c r="I2985" s="4"/>
      <c r="J2985" s="6">
        <v>0</v>
      </c>
      <c r="K2985" s="29" t="s">
        <v>3207</v>
      </c>
      <c r="L2985" s="4"/>
      <c r="M2985" s="3"/>
    </row>
    <row r="2986" spans="1:13" x14ac:dyDescent="0.3">
      <c r="A2986" s="18">
        <v>101</v>
      </c>
      <c r="B2986" s="20">
        <v>101</v>
      </c>
      <c r="C2986" s="24">
        <v>1447.162</v>
      </c>
      <c r="D2986" s="24">
        <v>1446.8030000000001</v>
      </c>
      <c r="E2986" s="24">
        <v>1447.52</v>
      </c>
      <c r="F2986" s="4"/>
      <c r="G2986" s="4"/>
      <c r="H2986" s="27" t="s">
        <v>4564</v>
      </c>
      <c r="I2986" s="4"/>
      <c r="J2986" s="6">
        <v>0</v>
      </c>
      <c r="K2986" s="30" t="s">
        <v>3207</v>
      </c>
      <c r="L2986" s="4"/>
      <c r="M2986" s="3"/>
    </row>
    <row r="2987" spans="1:13" x14ac:dyDescent="0.3">
      <c r="A2987" s="17">
        <v>101</v>
      </c>
      <c r="B2987" s="19">
        <v>101</v>
      </c>
      <c r="C2987" s="23">
        <v>1447.828</v>
      </c>
      <c r="D2987" s="23">
        <v>1447.52</v>
      </c>
      <c r="E2987" s="23">
        <v>1448.136</v>
      </c>
      <c r="F2987" s="4"/>
      <c r="G2987" s="4"/>
      <c r="H2987" s="28" t="s">
        <v>4565</v>
      </c>
      <c r="I2987" s="4"/>
      <c r="J2987" s="6">
        <v>0</v>
      </c>
      <c r="K2987" s="29" t="s">
        <v>3207</v>
      </c>
      <c r="L2987" s="4"/>
      <c r="M2987" s="3"/>
    </row>
    <row r="2988" spans="1:13" x14ac:dyDescent="0.3">
      <c r="A2988" s="18">
        <v>101</v>
      </c>
      <c r="B2988" s="20">
        <v>101</v>
      </c>
      <c r="C2988" s="24">
        <v>1448.3209999999999</v>
      </c>
      <c r="D2988" s="24">
        <v>1448.136</v>
      </c>
      <c r="E2988" s="24">
        <v>1448.5050000000001</v>
      </c>
      <c r="F2988" s="4"/>
      <c r="G2988" s="4"/>
      <c r="H2988" s="27" t="s">
        <v>4566</v>
      </c>
      <c r="I2988" s="4"/>
      <c r="J2988" s="6">
        <v>0</v>
      </c>
      <c r="K2988" s="30" t="s">
        <v>3207</v>
      </c>
      <c r="L2988" s="4"/>
      <c r="M2988" s="3"/>
    </row>
    <row r="2989" spans="1:13" x14ac:dyDescent="0.3">
      <c r="A2989" s="17">
        <v>101</v>
      </c>
      <c r="B2989" s="19">
        <v>101</v>
      </c>
      <c r="C2989" s="23">
        <v>1448.6949999999999</v>
      </c>
      <c r="D2989" s="23">
        <v>1448.5050000000001</v>
      </c>
      <c r="E2989" s="23">
        <v>1448.885</v>
      </c>
      <c r="F2989" s="4"/>
      <c r="G2989" s="4"/>
      <c r="H2989" s="28" t="s">
        <v>4567</v>
      </c>
      <c r="I2989" s="4"/>
      <c r="J2989" s="6">
        <v>0</v>
      </c>
      <c r="K2989" s="29" t="s">
        <v>3207</v>
      </c>
      <c r="L2989" s="4"/>
      <c r="M2989" s="3"/>
    </row>
    <row r="2990" spans="1:13" x14ac:dyDescent="0.3">
      <c r="A2990" s="18">
        <v>101</v>
      </c>
      <c r="B2990" s="20">
        <v>101</v>
      </c>
      <c r="C2990" s="24">
        <v>1449.3150000000001</v>
      </c>
      <c r="D2990" s="24">
        <v>1448.885</v>
      </c>
      <c r="E2990" s="24">
        <v>1449.7439999999999</v>
      </c>
      <c r="F2990" s="4"/>
      <c r="G2990" s="4"/>
      <c r="H2990" s="27" t="s">
        <v>4568</v>
      </c>
      <c r="I2990" s="4"/>
      <c r="J2990" s="6">
        <v>0</v>
      </c>
      <c r="K2990" s="30" t="s">
        <v>3207</v>
      </c>
      <c r="L2990" s="4"/>
      <c r="M2990" s="3"/>
    </row>
    <row r="2991" spans="1:13" x14ac:dyDescent="0.3">
      <c r="A2991" s="17">
        <v>101</v>
      </c>
      <c r="B2991" s="19">
        <v>101</v>
      </c>
      <c r="C2991" s="23">
        <v>1449.914</v>
      </c>
      <c r="D2991" s="23">
        <v>1449.7439999999999</v>
      </c>
      <c r="E2991" s="23">
        <v>1450.0840000000001</v>
      </c>
      <c r="F2991" s="4"/>
      <c r="G2991" s="4"/>
      <c r="H2991" s="28" t="s">
        <v>4569</v>
      </c>
      <c r="I2991" s="4"/>
      <c r="J2991" s="6">
        <v>0</v>
      </c>
      <c r="K2991" s="29" t="s">
        <v>3207</v>
      </c>
      <c r="L2991" s="4"/>
      <c r="M2991" s="3"/>
    </row>
    <row r="2992" spans="1:13" x14ac:dyDescent="0.3">
      <c r="A2992" s="18">
        <v>101</v>
      </c>
      <c r="B2992" s="20">
        <v>101</v>
      </c>
      <c r="C2992" s="24">
        <v>1450.501</v>
      </c>
      <c r="D2992" s="24">
        <v>1450.0840000000001</v>
      </c>
      <c r="E2992" s="24">
        <v>1450.9179999999999</v>
      </c>
      <c r="F2992" s="4"/>
      <c r="G2992" s="4"/>
      <c r="H2992" s="27" t="s">
        <v>4570</v>
      </c>
      <c r="I2992" s="4"/>
      <c r="J2992" s="6">
        <v>0</v>
      </c>
      <c r="K2992" s="30" t="s">
        <v>3207</v>
      </c>
      <c r="L2992" s="4"/>
      <c r="M2992" s="3"/>
    </row>
    <row r="2993" spans="1:13" x14ac:dyDescent="0.3">
      <c r="A2993" s="17">
        <v>101</v>
      </c>
      <c r="B2993" s="19">
        <v>101</v>
      </c>
      <c r="C2993" s="23">
        <v>1450.973</v>
      </c>
      <c r="D2993" s="23">
        <v>1450.9179999999999</v>
      </c>
      <c r="E2993" s="23">
        <v>1451.027</v>
      </c>
      <c r="F2993" s="4"/>
      <c r="G2993" s="4"/>
      <c r="H2993" s="28" t="s">
        <v>4571</v>
      </c>
      <c r="I2993" s="4"/>
      <c r="J2993" s="6">
        <v>0</v>
      </c>
      <c r="K2993" s="29" t="s">
        <v>3207</v>
      </c>
      <c r="L2993" s="4"/>
      <c r="M2993" s="3"/>
    </row>
    <row r="2994" spans="1:13" x14ac:dyDescent="0.3">
      <c r="A2994" s="18">
        <v>101</v>
      </c>
      <c r="B2994" s="20">
        <v>101</v>
      </c>
      <c r="C2994" s="24">
        <v>1451.258</v>
      </c>
      <c r="D2994" s="24">
        <v>1451.027</v>
      </c>
      <c r="E2994" s="24">
        <v>1451.4880000000001</v>
      </c>
      <c r="F2994" s="4"/>
      <c r="G2994" s="4"/>
      <c r="H2994" s="27" t="s">
        <v>4572</v>
      </c>
      <c r="I2994" s="4"/>
      <c r="J2994" s="6">
        <v>0</v>
      </c>
      <c r="K2994" s="30" t="s">
        <v>3207</v>
      </c>
      <c r="L2994" s="4"/>
      <c r="M2994" s="3"/>
    </row>
    <row r="2995" spans="1:13" x14ac:dyDescent="0.3">
      <c r="A2995" s="17">
        <v>101</v>
      </c>
      <c r="B2995" s="19">
        <v>101</v>
      </c>
      <c r="C2995" s="23">
        <v>1451.55</v>
      </c>
      <c r="D2995" s="23">
        <v>1451.4880000000001</v>
      </c>
      <c r="E2995" s="23">
        <v>1451.6110000000001</v>
      </c>
      <c r="F2995" s="4"/>
      <c r="G2995" s="4"/>
      <c r="H2995" s="28" t="s">
        <v>4573</v>
      </c>
      <c r="I2995" s="4"/>
      <c r="J2995" s="6">
        <v>0</v>
      </c>
      <c r="K2995" s="29" t="s">
        <v>3207</v>
      </c>
      <c r="L2995" s="4"/>
      <c r="M2995" s="3"/>
    </row>
    <row r="2996" spans="1:13" x14ac:dyDescent="0.3">
      <c r="A2996" s="18">
        <v>101</v>
      </c>
      <c r="B2996" s="20">
        <v>101</v>
      </c>
      <c r="C2996" s="24">
        <v>1451.837</v>
      </c>
      <c r="D2996" s="24">
        <v>1451.6110000000001</v>
      </c>
      <c r="E2996" s="24">
        <v>1452.0619999999999</v>
      </c>
      <c r="F2996" s="4"/>
      <c r="G2996" s="4"/>
      <c r="H2996" s="27" t="s">
        <v>4574</v>
      </c>
      <c r="I2996" s="4"/>
      <c r="J2996" s="6">
        <v>0</v>
      </c>
      <c r="K2996" s="30" t="s">
        <v>3207</v>
      </c>
      <c r="L2996" s="4"/>
      <c r="M2996" s="3"/>
    </row>
    <row r="2997" spans="1:13" x14ac:dyDescent="0.3">
      <c r="A2997" s="17">
        <v>101</v>
      </c>
      <c r="B2997" s="19">
        <v>101</v>
      </c>
      <c r="C2997" s="23">
        <v>1452.086</v>
      </c>
      <c r="D2997" s="23">
        <v>1452.0619999999999</v>
      </c>
      <c r="E2997" s="23">
        <v>1452.11</v>
      </c>
      <c r="F2997" s="4"/>
      <c r="G2997" s="4"/>
      <c r="H2997" s="28" t="s">
        <v>4575</v>
      </c>
      <c r="I2997" s="4"/>
      <c r="J2997" s="6">
        <v>0</v>
      </c>
      <c r="K2997" s="29" t="s">
        <v>3207</v>
      </c>
      <c r="L2997" s="4"/>
      <c r="M2997" s="3"/>
    </row>
    <row r="2998" spans="1:13" x14ac:dyDescent="0.3">
      <c r="A2998" s="18">
        <v>101</v>
      </c>
      <c r="B2998" s="20">
        <v>101</v>
      </c>
      <c r="C2998" s="24">
        <v>1452.329</v>
      </c>
      <c r="D2998" s="24">
        <v>1452.11</v>
      </c>
      <c r="E2998" s="24">
        <v>1452.547</v>
      </c>
      <c r="F2998" s="4"/>
      <c r="G2998" s="4"/>
      <c r="H2998" s="27" t="s">
        <v>4576</v>
      </c>
      <c r="I2998" s="4"/>
      <c r="J2998" s="6">
        <v>0</v>
      </c>
      <c r="K2998" s="30" t="s">
        <v>3207</v>
      </c>
      <c r="L2998" s="4"/>
      <c r="M2998" s="3"/>
    </row>
    <row r="2999" spans="1:13" x14ac:dyDescent="0.3">
      <c r="A2999" s="17">
        <v>101</v>
      </c>
      <c r="B2999" s="19">
        <v>101</v>
      </c>
      <c r="C2999" s="23">
        <v>1452.566</v>
      </c>
      <c r="D2999" s="23">
        <v>1452.547</v>
      </c>
      <c r="E2999" s="23">
        <v>1452.585</v>
      </c>
      <c r="F2999" s="4"/>
      <c r="G2999" s="4"/>
      <c r="H2999" s="28" t="s">
        <v>4577</v>
      </c>
      <c r="I2999" s="4"/>
      <c r="J2999" s="6">
        <v>0</v>
      </c>
      <c r="K2999" s="29" t="s">
        <v>3207</v>
      </c>
      <c r="L2999" s="4"/>
      <c r="M2999" s="3"/>
    </row>
    <row r="3000" spans="1:13" x14ac:dyDescent="0.3">
      <c r="A3000" s="18">
        <v>101</v>
      </c>
      <c r="B3000" s="20">
        <v>101</v>
      </c>
      <c r="C3000" s="24">
        <v>1452.8579999999999</v>
      </c>
      <c r="D3000" s="24">
        <v>1452.585</v>
      </c>
      <c r="E3000" s="24">
        <v>1453.1310000000001</v>
      </c>
      <c r="F3000" s="4"/>
      <c r="G3000" s="4"/>
      <c r="H3000" s="27" t="s">
        <v>4578</v>
      </c>
      <c r="I3000" s="4"/>
      <c r="J3000" s="6">
        <v>0</v>
      </c>
      <c r="K3000" s="30" t="s">
        <v>3207</v>
      </c>
      <c r="L3000" s="4"/>
      <c r="M3000" s="3"/>
    </row>
    <row r="3001" spans="1:13" x14ac:dyDescent="0.3">
      <c r="A3001" s="17">
        <v>101</v>
      </c>
      <c r="B3001" s="19">
        <v>101</v>
      </c>
      <c r="C3001" s="23">
        <v>1453.538</v>
      </c>
      <c r="D3001" s="23">
        <v>1453.1310000000001</v>
      </c>
      <c r="E3001" s="23">
        <v>1453.944</v>
      </c>
      <c r="F3001" s="4"/>
      <c r="G3001" s="4"/>
      <c r="H3001" s="28" t="s">
        <v>4579</v>
      </c>
      <c r="I3001" s="4"/>
      <c r="J3001" s="6">
        <v>0</v>
      </c>
      <c r="K3001" s="29" t="s">
        <v>3207</v>
      </c>
      <c r="L3001" s="4"/>
      <c r="M3001" s="3"/>
    </row>
    <row r="3002" spans="1:13" x14ac:dyDescent="0.3">
      <c r="A3002" s="18">
        <v>101</v>
      </c>
      <c r="B3002" s="20">
        <v>101</v>
      </c>
      <c r="C3002" s="24">
        <v>1454.098</v>
      </c>
      <c r="D3002" s="24">
        <v>1453.944</v>
      </c>
      <c r="E3002" s="24">
        <v>1454.252</v>
      </c>
      <c r="F3002" s="4"/>
      <c r="G3002" s="4"/>
      <c r="H3002" s="27" t="s">
        <v>4580</v>
      </c>
      <c r="I3002" s="4"/>
      <c r="J3002" s="6">
        <v>0</v>
      </c>
      <c r="K3002" s="30" t="s">
        <v>3207</v>
      </c>
      <c r="L3002" s="4"/>
      <c r="M3002" s="3"/>
    </row>
    <row r="3003" spans="1:13" x14ac:dyDescent="0.3">
      <c r="A3003" s="17">
        <v>101</v>
      </c>
      <c r="B3003" s="19">
        <v>101</v>
      </c>
      <c r="C3003" s="23">
        <v>1454.4839999999999</v>
      </c>
      <c r="D3003" s="23">
        <v>1454.252</v>
      </c>
      <c r="E3003" s="23">
        <v>1454.7149999999999</v>
      </c>
      <c r="F3003" s="4"/>
      <c r="G3003" s="4"/>
      <c r="H3003" s="28" t="s">
        <v>4581</v>
      </c>
      <c r="I3003" s="4"/>
      <c r="J3003" s="6">
        <v>0</v>
      </c>
      <c r="K3003" s="29" t="s">
        <v>3207</v>
      </c>
      <c r="L3003" s="4"/>
      <c r="M3003" s="3"/>
    </row>
    <row r="3004" spans="1:13" x14ac:dyDescent="0.3">
      <c r="A3004" s="18">
        <v>101</v>
      </c>
      <c r="B3004" s="20">
        <v>101</v>
      </c>
      <c r="C3004" s="24">
        <v>1455.039</v>
      </c>
      <c r="D3004" s="24">
        <v>1454.7149999999999</v>
      </c>
      <c r="E3004" s="24">
        <v>1455.3620000000001</v>
      </c>
      <c r="F3004" s="4"/>
      <c r="G3004" s="4"/>
      <c r="H3004" s="27" t="s">
        <v>4582</v>
      </c>
      <c r="I3004" s="4"/>
      <c r="J3004" s="6">
        <v>0</v>
      </c>
      <c r="K3004" s="30" t="s">
        <v>3207</v>
      </c>
      <c r="L3004" s="4"/>
      <c r="M3004" s="3"/>
    </row>
    <row r="3005" spans="1:13" x14ac:dyDescent="0.3">
      <c r="A3005" s="17">
        <v>101</v>
      </c>
      <c r="B3005" s="19">
        <v>101</v>
      </c>
      <c r="C3005" s="23">
        <v>1455.4780000000001</v>
      </c>
      <c r="D3005" s="23">
        <v>1455.3620000000001</v>
      </c>
      <c r="E3005" s="23">
        <v>1455.5930000000001</v>
      </c>
      <c r="F3005" s="4"/>
      <c r="G3005" s="4"/>
      <c r="H3005" s="28" t="s">
        <v>4583</v>
      </c>
      <c r="I3005" s="4"/>
      <c r="J3005" s="6">
        <v>0</v>
      </c>
      <c r="K3005" s="29" t="s">
        <v>3207</v>
      </c>
      <c r="L3005" s="4"/>
      <c r="M3005" s="3"/>
    </row>
    <row r="3006" spans="1:13" x14ac:dyDescent="0.3">
      <c r="A3006" s="18">
        <v>101</v>
      </c>
      <c r="B3006" s="20">
        <v>101</v>
      </c>
      <c r="C3006" s="24">
        <v>1456.0530000000001</v>
      </c>
      <c r="D3006" s="24">
        <v>1455.5930000000001</v>
      </c>
      <c r="E3006" s="24">
        <v>1456.5119999999999</v>
      </c>
      <c r="F3006" s="4"/>
      <c r="G3006" s="4"/>
      <c r="H3006" s="27" t="s">
        <v>4584</v>
      </c>
      <c r="I3006" s="4"/>
      <c r="J3006" s="6">
        <v>0</v>
      </c>
      <c r="K3006" s="30" t="s">
        <v>3207</v>
      </c>
      <c r="L3006" s="4"/>
      <c r="M3006" s="3"/>
    </row>
    <row r="3007" spans="1:13" x14ac:dyDescent="0.3">
      <c r="A3007" s="17">
        <v>101</v>
      </c>
      <c r="B3007" s="19">
        <v>101</v>
      </c>
      <c r="C3007" s="23">
        <v>1456.614</v>
      </c>
      <c r="D3007" s="23">
        <v>1456.5119999999999</v>
      </c>
      <c r="E3007" s="23">
        <v>1456.7159999999999</v>
      </c>
      <c r="F3007" s="4"/>
      <c r="G3007" s="4"/>
      <c r="H3007" s="28" t="s">
        <v>4585</v>
      </c>
      <c r="I3007" s="4"/>
      <c r="J3007" s="6">
        <v>0</v>
      </c>
      <c r="K3007" s="29" t="s">
        <v>3207</v>
      </c>
      <c r="L3007" s="4"/>
      <c r="M3007" s="3"/>
    </row>
    <row r="3008" spans="1:13" x14ac:dyDescent="0.3">
      <c r="A3008" s="18">
        <v>101</v>
      </c>
      <c r="B3008" s="20">
        <v>101</v>
      </c>
      <c r="C3008" s="24">
        <v>1457.251</v>
      </c>
      <c r="D3008" s="24">
        <v>1456.7159999999999</v>
      </c>
      <c r="E3008" s="24">
        <v>1457.7860000000001</v>
      </c>
      <c r="F3008" s="4"/>
      <c r="G3008" s="4"/>
      <c r="H3008" s="27" t="s">
        <v>4586</v>
      </c>
      <c r="I3008" s="4"/>
      <c r="J3008" s="6">
        <v>0</v>
      </c>
      <c r="K3008" s="30" t="s">
        <v>3207</v>
      </c>
      <c r="L3008" s="4"/>
      <c r="M3008" s="3"/>
    </row>
    <row r="3009" spans="1:13" x14ac:dyDescent="0.3">
      <c r="A3009" s="17">
        <v>101</v>
      </c>
      <c r="B3009" s="19">
        <v>101</v>
      </c>
      <c r="C3009" s="23">
        <v>1458.201</v>
      </c>
      <c r="D3009" s="23">
        <v>1457.7860000000001</v>
      </c>
      <c r="E3009" s="23">
        <v>1458.616</v>
      </c>
      <c r="F3009" s="4"/>
      <c r="G3009" s="4"/>
      <c r="H3009" s="28" t="s">
        <v>4587</v>
      </c>
      <c r="I3009" s="4"/>
      <c r="J3009" s="6">
        <v>0</v>
      </c>
      <c r="K3009" s="29" t="s">
        <v>3207</v>
      </c>
      <c r="L3009" s="4"/>
      <c r="M3009" s="3"/>
    </row>
    <row r="3010" spans="1:13" x14ac:dyDescent="0.3">
      <c r="A3010" s="18">
        <v>101</v>
      </c>
      <c r="B3010" s="20">
        <v>101</v>
      </c>
      <c r="C3010" s="24">
        <v>1458.8209999999999</v>
      </c>
      <c r="D3010" s="24">
        <v>1458.616</v>
      </c>
      <c r="E3010" s="24">
        <v>1459.0260000000001</v>
      </c>
      <c r="F3010" s="4"/>
      <c r="G3010" s="4"/>
      <c r="H3010" s="27" t="s">
        <v>4588</v>
      </c>
      <c r="I3010" s="4"/>
      <c r="J3010" s="6">
        <v>0</v>
      </c>
      <c r="K3010" s="30" t="s">
        <v>3207</v>
      </c>
      <c r="L3010" s="4"/>
      <c r="M3010" s="3"/>
    </row>
    <row r="3011" spans="1:13" x14ac:dyDescent="0.3">
      <c r="A3011" s="17">
        <v>101</v>
      </c>
      <c r="B3011" s="19">
        <v>101</v>
      </c>
      <c r="C3011" s="23">
        <v>1459.277</v>
      </c>
      <c r="D3011" s="23">
        <v>1459.0260000000001</v>
      </c>
      <c r="E3011" s="23">
        <v>1459.527</v>
      </c>
      <c r="F3011" s="4"/>
      <c r="G3011" s="4"/>
      <c r="H3011" s="28" t="s">
        <v>4589</v>
      </c>
      <c r="I3011" s="4"/>
      <c r="J3011" s="6">
        <v>0</v>
      </c>
      <c r="K3011" s="29" t="s">
        <v>3207</v>
      </c>
      <c r="L3011" s="4"/>
      <c r="M3011" s="3"/>
    </row>
    <row r="3012" spans="1:13" x14ac:dyDescent="0.3">
      <c r="A3012" s="18">
        <v>101</v>
      </c>
      <c r="B3012" s="20">
        <v>101</v>
      </c>
      <c r="C3012" s="24">
        <v>1459.8240000000001</v>
      </c>
      <c r="D3012" s="24">
        <v>1459.527</v>
      </c>
      <c r="E3012" s="24">
        <v>1460.1210000000001</v>
      </c>
      <c r="F3012" s="4"/>
      <c r="G3012" s="4"/>
      <c r="H3012" s="27" t="s">
        <v>4590</v>
      </c>
      <c r="I3012" s="4"/>
      <c r="J3012" s="6">
        <v>0</v>
      </c>
      <c r="K3012" s="30" t="s">
        <v>3207</v>
      </c>
      <c r="L3012" s="4"/>
      <c r="M3012" s="3"/>
    </row>
    <row r="3013" spans="1:13" x14ac:dyDescent="0.3">
      <c r="A3013" s="17">
        <v>101</v>
      </c>
      <c r="B3013" s="19">
        <v>101</v>
      </c>
      <c r="C3013" s="23">
        <v>1460.325</v>
      </c>
      <c r="D3013" s="23">
        <v>1460.1210000000001</v>
      </c>
      <c r="E3013" s="23">
        <v>1460.529</v>
      </c>
      <c r="F3013" s="4"/>
      <c r="G3013" s="4"/>
      <c r="H3013" s="28" t="s">
        <v>4591</v>
      </c>
      <c r="I3013" s="4"/>
      <c r="J3013" s="6">
        <v>0</v>
      </c>
      <c r="K3013" s="29" t="s">
        <v>3207</v>
      </c>
      <c r="L3013" s="4"/>
      <c r="M3013" s="3"/>
    </row>
    <row r="3014" spans="1:13" x14ac:dyDescent="0.3">
      <c r="A3014" s="18">
        <v>101</v>
      </c>
      <c r="B3014" s="20">
        <v>101</v>
      </c>
      <c r="C3014" s="24">
        <v>1460.693</v>
      </c>
      <c r="D3014" s="24">
        <v>1460.529</v>
      </c>
      <c r="E3014" s="24">
        <v>1460.857</v>
      </c>
      <c r="F3014" s="4"/>
      <c r="G3014" s="4"/>
      <c r="H3014" s="27" t="s">
        <v>4592</v>
      </c>
      <c r="I3014" s="4"/>
      <c r="J3014" s="6">
        <v>0</v>
      </c>
      <c r="K3014" s="30" t="s">
        <v>3207</v>
      </c>
      <c r="L3014" s="4"/>
      <c r="M3014" s="3"/>
    </row>
    <row r="3015" spans="1:13" x14ac:dyDescent="0.3">
      <c r="A3015" s="17">
        <v>101</v>
      </c>
      <c r="B3015" s="19">
        <v>101</v>
      </c>
      <c r="C3015" s="23">
        <v>1460.8720000000001</v>
      </c>
      <c r="D3015" s="23">
        <v>1460.857</v>
      </c>
      <c r="E3015" s="23">
        <v>1460.8869999999999</v>
      </c>
      <c r="F3015" s="4"/>
      <c r="G3015" s="4"/>
      <c r="H3015" s="28" t="s">
        <v>4593</v>
      </c>
      <c r="I3015" s="4"/>
      <c r="J3015" s="6">
        <v>0</v>
      </c>
      <c r="K3015" s="29" t="s">
        <v>3207</v>
      </c>
      <c r="L3015" s="4"/>
      <c r="M3015" s="3"/>
    </row>
    <row r="3016" spans="1:13" x14ac:dyDescent="0.3">
      <c r="A3016" s="18">
        <v>101</v>
      </c>
      <c r="B3016" s="20">
        <v>101</v>
      </c>
      <c r="C3016" s="24">
        <v>1461.183</v>
      </c>
      <c r="D3016" s="24">
        <v>1460.8869999999999</v>
      </c>
      <c r="E3016" s="24">
        <v>1461.4780000000001</v>
      </c>
      <c r="F3016" s="4"/>
      <c r="G3016" s="4"/>
      <c r="H3016" s="27" t="s">
        <v>4594</v>
      </c>
      <c r="I3016" s="4"/>
      <c r="J3016" s="6">
        <v>0</v>
      </c>
      <c r="K3016" s="30" t="s">
        <v>3207</v>
      </c>
      <c r="L3016" s="4"/>
      <c r="M3016" s="3"/>
    </row>
    <row r="3017" spans="1:13" x14ac:dyDescent="0.3">
      <c r="A3017" s="17">
        <v>101</v>
      </c>
      <c r="B3017" s="19">
        <v>101</v>
      </c>
      <c r="C3017" s="23">
        <v>1461.6410000000001</v>
      </c>
      <c r="D3017" s="23">
        <v>1461.4780000000001</v>
      </c>
      <c r="E3017" s="23">
        <v>1461.8040000000001</v>
      </c>
      <c r="F3017" s="4"/>
      <c r="G3017" s="4"/>
      <c r="H3017" s="28" t="s">
        <v>4595</v>
      </c>
      <c r="I3017" s="4"/>
      <c r="J3017" s="6">
        <v>0</v>
      </c>
      <c r="K3017" s="29" t="s">
        <v>3207</v>
      </c>
      <c r="L3017" s="4"/>
      <c r="M3017" s="3"/>
    </row>
    <row r="3018" spans="1:13" x14ac:dyDescent="0.3">
      <c r="A3018" s="18">
        <v>101</v>
      </c>
      <c r="B3018" s="20">
        <v>101</v>
      </c>
      <c r="C3018" s="24">
        <v>1462.001</v>
      </c>
      <c r="D3018" s="24">
        <v>1461.8040000000001</v>
      </c>
      <c r="E3018" s="24">
        <v>1462.1980000000001</v>
      </c>
      <c r="F3018" s="4"/>
      <c r="G3018" s="4"/>
      <c r="H3018" s="27" t="s">
        <v>4596</v>
      </c>
      <c r="I3018" s="4"/>
      <c r="J3018" s="6">
        <v>0</v>
      </c>
      <c r="K3018" s="30" t="s">
        <v>3207</v>
      </c>
      <c r="L3018" s="4"/>
      <c r="M3018" s="3"/>
    </row>
    <row r="3019" spans="1:13" x14ac:dyDescent="0.3">
      <c r="A3019" s="17">
        <v>101</v>
      </c>
      <c r="B3019" s="19">
        <v>101</v>
      </c>
      <c r="C3019" s="23">
        <v>1462.5</v>
      </c>
      <c r="D3019" s="23">
        <v>1462.1980000000001</v>
      </c>
      <c r="E3019" s="23">
        <v>1462.8019999999999</v>
      </c>
      <c r="F3019" s="4"/>
      <c r="G3019" s="4"/>
      <c r="H3019" s="28" t="s">
        <v>4597</v>
      </c>
      <c r="I3019" s="4"/>
      <c r="J3019" s="6">
        <v>0</v>
      </c>
      <c r="K3019" s="29" t="s">
        <v>3207</v>
      </c>
      <c r="L3019" s="4"/>
      <c r="M3019" s="3"/>
    </row>
    <row r="3020" spans="1:13" x14ac:dyDescent="0.3">
      <c r="A3020" s="18">
        <v>101</v>
      </c>
      <c r="B3020" s="20">
        <v>101</v>
      </c>
      <c r="C3020" s="24">
        <v>1462.9949999999999</v>
      </c>
      <c r="D3020" s="24">
        <v>1462.8019999999999</v>
      </c>
      <c r="E3020" s="24">
        <v>1463.1869999999999</v>
      </c>
      <c r="F3020" s="4"/>
      <c r="G3020" s="4"/>
      <c r="H3020" s="27" t="s">
        <v>4598</v>
      </c>
      <c r="I3020" s="4"/>
      <c r="J3020" s="6">
        <v>0</v>
      </c>
      <c r="K3020" s="30" t="s">
        <v>3207</v>
      </c>
      <c r="L3020" s="4"/>
      <c r="M3020" s="3"/>
    </row>
    <row r="3021" spans="1:13" x14ac:dyDescent="0.3">
      <c r="A3021" s="17">
        <v>101</v>
      </c>
      <c r="B3021" s="19">
        <v>101</v>
      </c>
      <c r="C3021" s="23">
        <v>1463.231</v>
      </c>
      <c r="D3021" s="23">
        <v>1463.1869999999999</v>
      </c>
      <c r="E3021" s="23">
        <v>1463.2739999999999</v>
      </c>
      <c r="F3021" s="4"/>
      <c r="G3021" s="4"/>
      <c r="H3021" s="28" t="s">
        <v>4599</v>
      </c>
      <c r="I3021" s="4"/>
      <c r="J3021" s="6">
        <v>0</v>
      </c>
      <c r="K3021" s="29" t="s">
        <v>3207</v>
      </c>
      <c r="L3021" s="4"/>
      <c r="M3021" s="3"/>
    </row>
    <row r="3022" spans="1:13" x14ac:dyDescent="0.3">
      <c r="A3022" s="18">
        <v>101</v>
      </c>
      <c r="B3022" s="20">
        <v>101</v>
      </c>
      <c r="C3022" s="24">
        <v>1463.546</v>
      </c>
      <c r="D3022" s="24">
        <v>1463.2739999999999</v>
      </c>
      <c r="E3022" s="24">
        <v>1463.817</v>
      </c>
      <c r="F3022" s="4"/>
      <c r="G3022" s="4"/>
      <c r="H3022" s="27" t="s">
        <v>4600</v>
      </c>
      <c r="I3022" s="4"/>
      <c r="J3022" s="6">
        <v>0</v>
      </c>
      <c r="K3022" s="30" t="s">
        <v>3207</v>
      </c>
      <c r="L3022" s="4"/>
      <c r="M3022" s="3"/>
    </row>
    <row r="3023" spans="1:13" x14ac:dyDescent="0.3">
      <c r="A3023" s="17">
        <v>101</v>
      </c>
      <c r="B3023" s="19">
        <v>101</v>
      </c>
      <c r="C3023" s="23">
        <v>1463.8409999999999</v>
      </c>
      <c r="D3023" s="23">
        <v>1463.817</v>
      </c>
      <c r="E3023" s="23">
        <v>1463.865</v>
      </c>
      <c r="F3023" s="4"/>
      <c r="G3023" s="4"/>
      <c r="H3023" s="28" t="s">
        <v>4601</v>
      </c>
      <c r="I3023" s="4"/>
      <c r="J3023" s="6">
        <v>0</v>
      </c>
      <c r="K3023" s="29" t="s">
        <v>3207</v>
      </c>
      <c r="L3023" s="4"/>
      <c r="M3023" s="3"/>
    </row>
    <row r="3024" spans="1:13" x14ac:dyDescent="0.3">
      <c r="A3024" s="18">
        <v>101</v>
      </c>
      <c r="B3024" s="20">
        <v>101</v>
      </c>
      <c r="C3024" s="24">
        <v>1464.021</v>
      </c>
      <c r="D3024" s="24">
        <v>1463.865</v>
      </c>
      <c r="E3024" s="24">
        <v>1464.1759999999999</v>
      </c>
      <c r="F3024" s="4"/>
      <c r="G3024" s="4"/>
      <c r="H3024" s="27" t="s">
        <v>4602</v>
      </c>
      <c r="I3024" s="4"/>
      <c r="J3024" s="6">
        <v>0</v>
      </c>
      <c r="K3024" s="30" t="s">
        <v>3207</v>
      </c>
      <c r="L3024" s="4"/>
      <c r="M3024" s="3"/>
    </row>
    <row r="3025" spans="1:13" x14ac:dyDescent="0.3">
      <c r="A3025" s="17">
        <v>101</v>
      </c>
      <c r="B3025" s="19">
        <v>101</v>
      </c>
      <c r="C3025" s="23">
        <v>1464.2539999999999</v>
      </c>
      <c r="D3025" s="23">
        <v>1464.1759999999999</v>
      </c>
      <c r="E3025" s="23">
        <v>1464.3309999999999</v>
      </c>
      <c r="F3025" s="4"/>
      <c r="G3025" s="4"/>
      <c r="H3025" s="28" t="s">
        <v>4603</v>
      </c>
      <c r="I3025" s="4"/>
      <c r="J3025" s="6">
        <v>0</v>
      </c>
      <c r="K3025" s="29" t="s">
        <v>3207</v>
      </c>
      <c r="L3025" s="4"/>
      <c r="M3025" s="3"/>
    </row>
    <row r="3026" spans="1:13" x14ac:dyDescent="0.3">
      <c r="A3026" s="18">
        <v>101</v>
      </c>
      <c r="B3026" s="20">
        <v>101</v>
      </c>
      <c r="C3026" s="24">
        <v>1464.568</v>
      </c>
      <c r="D3026" s="24">
        <v>1464.3309999999999</v>
      </c>
      <c r="E3026" s="24">
        <v>1464.8040000000001</v>
      </c>
      <c r="F3026" s="4"/>
      <c r="G3026" s="4"/>
      <c r="H3026" s="27" t="s">
        <v>4604</v>
      </c>
      <c r="I3026" s="4"/>
      <c r="J3026" s="6">
        <v>0</v>
      </c>
      <c r="K3026" s="30" t="s">
        <v>3207</v>
      </c>
      <c r="L3026" s="4"/>
      <c r="M3026" s="3"/>
    </row>
    <row r="3027" spans="1:13" x14ac:dyDescent="0.3">
      <c r="A3027" s="17">
        <v>101</v>
      </c>
      <c r="B3027" s="19">
        <v>101</v>
      </c>
      <c r="C3027" s="23">
        <v>1464.8979999999999</v>
      </c>
      <c r="D3027" s="23">
        <v>1464.8040000000001</v>
      </c>
      <c r="E3027" s="23">
        <v>1464.992</v>
      </c>
      <c r="F3027" s="4"/>
      <c r="G3027" s="4"/>
      <c r="H3027" s="28" t="s">
        <v>4605</v>
      </c>
      <c r="I3027" s="4"/>
      <c r="J3027" s="6">
        <v>0</v>
      </c>
      <c r="K3027" s="29" t="s">
        <v>3207</v>
      </c>
      <c r="L3027" s="4"/>
      <c r="M3027" s="3"/>
    </row>
    <row r="3028" spans="1:13" x14ac:dyDescent="0.3">
      <c r="A3028" s="18">
        <v>101</v>
      </c>
      <c r="B3028" s="20">
        <v>101</v>
      </c>
      <c r="C3028" s="24">
        <v>1465.144</v>
      </c>
      <c r="D3028" s="24">
        <v>1464.992</v>
      </c>
      <c r="E3028" s="24">
        <v>1465.2950000000001</v>
      </c>
      <c r="F3028" s="4"/>
      <c r="G3028" s="4"/>
      <c r="H3028" s="27" t="s">
        <v>4606</v>
      </c>
      <c r="I3028" s="4"/>
      <c r="J3028" s="6">
        <v>0</v>
      </c>
      <c r="K3028" s="30" t="s">
        <v>3207</v>
      </c>
      <c r="L3028" s="4"/>
      <c r="M3028" s="3"/>
    </row>
    <row r="3029" spans="1:13" x14ac:dyDescent="0.3">
      <c r="A3029" s="17">
        <v>101</v>
      </c>
      <c r="B3029" s="19">
        <v>101</v>
      </c>
      <c r="C3029" s="23">
        <v>1465.3530000000001</v>
      </c>
      <c r="D3029" s="23">
        <v>1465.2950000000001</v>
      </c>
      <c r="E3029" s="23">
        <v>1465.41</v>
      </c>
      <c r="F3029" s="4"/>
      <c r="G3029" s="4"/>
      <c r="H3029" s="28" t="s">
        <v>4607</v>
      </c>
      <c r="I3029" s="4"/>
      <c r="J3029" s="6">
        <v>0</v>
      </c>
      <c r="K3029" s="29" t="s">
        <v>3207</v>
      </c>
      <c r="L3029" s="4"/>
      <c r="M3029" s="3"/>
    </row>
    <row r="3030" spans="1:13" x14ac:dyDescent="0.3">
      <c r="A3030" s="18">
        <v>101</v>
      </c>
      <c r="B3030" s="20">
        <v>101</v>
      </c>
      <c r="C3030" s="24">
        <v>1465.8009999999999</v>
      </c>
      <c r="D3030" s="24">
        <v>1465.41</v>
      </c>
      <c r="E3030" s="24">
        <v>1466.192</v>
      </c>
      <c r="F3030" s="4"/>
      <c r="G3030" s="4"/>
      <c r="H3030" s="27" t="s">
        <v>4608</v>
      </c>
      <c r="I3030" s="4"/>
      <c r="J3030" s="6">
        <v>0</v>
      </c>
      <c r="K3030" s="30" t="s">
        <v>3207</v>
      </c>
      <c r="L3030" s="4"/>
      <c r="M3030" s="3"/>
    </row>
    <row r="3031" spans="1:13" x14ac:dyDescent="0.3">
      <c r="A3031" s="17">
        <v>101</v>
      </c>
      <c r="B3031" s="19">
        <v>101</v>
      </c>
      <c r="C3031" s="23">
        <v>1466.297</v>
      </c>
      <c r="D3031" s="23">
        <v>1466.192</v>
      </c>
      <c r="E3031" s="23">
        <v>1466.4010000000001</v>
      </c>
      <c r="F3031" s="4"/>
      <c r="G3031" s="4"/>
      <c r="H3031" s="28" t="s">
        <v>4609</v>
      </c>
      <c r="I3031" s="4"/>
      <c r="J3031" s="6">
        <v>0</v>
      </c>
      <c r="K3031" s="29" t="s">
        <v>3207</v>
      </c>
      <c r="L3031" s="4"/>
      <c r="M3031" s="3"/>
    </row>
    <row r="3032" spans="1:13" x14ac:dyDescent="0.3">
      <c r="A3032" s="18">
        <v>101</v>
      </c>
      <c r="B3032" s="20">
        <v>101</v>
      </c>
      <c r="C3032" s="24">
        <v>1466.6389999999999</v>
      </c>
      <c r="D3032" s="24">
        <v>1466.4010000000001</v>
      </c>
      <c r="E3032" s="24">
        <v>1466.877</v>
      </c>
      <c r="F3032" s="4"/>
      <c r="G3032" s="4"/>
      <c r="H3032" s="27" t="s">
        <v>4610</v>
      </c>
      <c r="I3032" s="4"/>
      <c r="J3032" s="6">
        <v>0</v>
      </c>
      <c r="K3032" s="30" t="s">
        <v>3207</v>
      </c>
      <c r="L3032" s="4"/>
      <c r="M3032" s="3"/>
    </row>
    <row r="3033" spans="1:13" x14ac:dyDescent="0.3">
      <c r="A3033" s="17">
        <v>101</v>
      </c>
      <c r="B3033" s="19">
        <v>101</v>
      </c>
      <c r="C3033" s="23">
        <v>1466.9169999999999</v>
      </c>
      <c r="D3033" s="23">
        <v>1466.877</v>
      </c>
      <c r="E3033" s="23">
        <v>1466.9570000000001</v>
      </c>
      <c r="F3033" s="4"/>
      <c r="G3033" s="4"/>
      <c r="H3033" s="28" t="s">
        <v>4611</v>
      </c>
      <c r="I3033" s="4"/>
      <c r="J3033" s="6">
        <v>0</v>
      </c>
      <c r="K3033" s="29" t="s">
        <v>3207</v>
      </c>
      <c r="L3033" s="4"/>
      <c r="M3033" s="3"/>
    </row>
    <row r="3034" spans="1:13" x14ac:dyDescent="0.3">
      <c r="A3034" s="18">
        <v>101</v>
      </c>
      <c r="B3034" s="20">
        <v>101</v>
      </c>
      <c r="C3034" s="24">
        <v>1467.0170000000001</v>
      </c>
      <c r="D3034" s="24">
        <v>1466.9570000000001</v>
      </c>
      <c r="E3034" s="24">
        <v>1467.077</v>
      </c>
      <c r="F3034" s="4"/>
      <c r="G3034" s="4"/>
      <c r="H3034" s="27" t="s">
        <v>4612</v>
      </c>
      <c r="I3034" s="4"/>
      <c r="J3034" s="6">
        <v>0</v>
      </c>
      <c r="K3034" s="30" t="s">
        <v>3207</v>
      </c>
      <c r="L3034" s="4"/>
      <c r="M3034" s="3"/>
    </row>
    <row r="3035" spans="1:13" x14ac:dyDescent="0.3">
      <c r="A3035" s="17">
        <v>101</v>
      </c>
      <c r="B3035" s="19">
        <v>101</v>
      </c>
      <c r="C3035" s="23">
        <v>1467.2370000000001</v>
      </c>
      <c r="D3035" s="23">
        <v>1467.077</v>
      </c>
      <c r="E3035" s="23">
        <v>1467.3969999999999</v>
      </c>
      <c r="F3035" s="4"/>
      <c r="G3035" s="4"/>
      <c r="H3035" s="28" t="s">
        <v>4613</v>
      </c>
      <c r="I3035" s="4"/>
      <c r="J3035" s="6">
        <v>0</v>
      </c>
      <c r="K3035" s="29" t="s">
        <v>3207</v>
      </c>
      <c r="L3035" s="4"/>
      <c r="M3035" s="3"/>
    </row>
    <row r="3036" spans="1:13" x14ac:dyDescent="0.3">
      <c r="A3036" s="18">
        <v>101</v>
      </c>
      <c r="B3036" s="20">
        <v>101</v>
      </c>
      <c r="C3036" s="24">
        <v>1467.4860000000001</v>
      </c>
      <c r="D3036" s="24">
        <v>1467.3969999999999</v>
      </c>
      <c r="E3036" s="24">
        <v>1467.575</v>
      </c>
      <c r="F3036" s="4"/>
      <c r="G3036" s="4"/>
      <c r="H3036" s="27" t="s">
        <v>4614</v>
      </c>
      <c r="I3036" s="4"/>
      <c r="J3036" s="6">
        <v>0</v>
      </c>
      <c r="K3036" s="30" t="s">
        <v>3207</v>
      </c>
      <c r="L3036" s="4"/>
      <c r="M3036" s="3"/>
    </row>
    <row r="3037" spans="1:13" x14ac:dyDescent="0.3">
      <c r="A3037" s="17">
        <v>101</v>
      </c>
      <c r="B3037" s="19">
        <v>101</v>
      </c>
      <c r="C3037" s="23">
        <v>1467.85</v>
      </c>
      <c r="D3037" s="23">
        <v>1467.575</v>
      </c>
      <c r="E3037" s="23">
        <v>1468.125</v>
      </c>
      <c r="F3037" s="4"/>
      <c r="G3037" s="4"/>
      <c r="H3037" s="28" t="s">
        <v>4615</v>
      </c>
      <c r="I3037" s="4"/>
      <c r="J3037" s="6">
        <v>0</v>
      </c>
      <c r="K3037" s="29" t="s">
        <v>3207</v>
      </c>
      <c r="L3037" s="4"/>
      <c r="M3037" s="3"/>
    </row>
    <row r="3038" spans="1:13" x14ac:dyDescent="0.3">
      <c r="A3038" s="18">
        <v>101</v>
      </c>
      <c r="B3038" s="20">
        <v>101</v>
      </c>
      <c r="C3038" s="24">
        <v>1468.3019999999999</v>
      </c>
      <c r="D3038" s="24">
        <v>1468.125</v>
      </c>
      <c r="E3038" s="24">
        <v>1468.4780000000001</v>
      </c>
      <c r="F3038" s="4"/>
      <c r="G3038" s="4"/>
      <c r="H3038" s="27" t="s">
        <v>4616</v>
      </c>
      <c r="I3038" s="4"/>
      <c r="J3038" s="6">
        <v>0</v>
      </c>
      <c r="K3038" s="30" t="s">
        <v>3207</v>
      </c>
      <c r="L3038" s="4"/>
      <c r="M3038" s="3"/>
    </row>
    <row r="3039" spans="1:13" x14ac:dyDescent="0.3">
      <c r="A3039" s="17">
        <v>101</v>
      </c>
      <c r="B3039" s="19">
        <v>101</v>
      </c>
      <c r="C3039" s="23">
        <v>1468.7650000000001</v>
      </c>
      <c r="D3039" s="23">
        <v>1468.4780000000001</v>
      </c>
      <c r="E3039" s="23">
        <v>1469.0519999999999</v>
      </c>
      <c r="F3039" s="4"/>
      <c r="G3039" s="4"/>
      <c r="H3039" s="28" t="s">
        <v>4617</v>
      </c>
      <c r="I3039" s="4"/>
      <c r="J3039" s="6">
        <v>0</v>
      </c>
      <c r="K3039" s="29" t="s">
        <v>3207</v>
      </c>
      <c r="L3039" s="4"/>
      <c r="M3039" s="3"/>
    </row>
    <row r="3040" spans="1:13" x14ac:dyDescent="0.3">
      <c r="A3040" s="18">
        <v>101</v>
      </c>
      <c r="B3040" s="20">
        <v>101</v>
      </c>
      <c r="C3040" s="24">
        <v>1469.143</v>
      </c>
      <c r="D3040" s="24">
        <v>1469.0519999999999</v>
      </c>
      <c r="E3040" s="24">
        <v>1469.2329999999999</v>
      </c>
      <c r="F3040" s="4"/>
      <c r="G3040" s="4"/>
      <c r="H3040" s="27" t="s">
        <v>4618</v>
      </c>
      <c r="I3040" s="4"/>
      <c r="J3040" s="6">
        <v>0</v>
      </c>
      <c r="K3040" s="30" t="s">
        <v>3207</v>
      </c>
      <c r="L3040" s="4"/>
      <c r="M3040" s="3"/>
    </row>
    <row r="3041" spans="1:13" x14ac:dyDescent="0.3">
      <c r="A3041" s="17">
        <v>101</v>
      </c>
      <c r="B3041" s="19">
        <v>101</v>
      </c>
      <c r="C3041" s="23">
        <v>1469.36</v>
      </c>
      <c r="D3041" s="23">
        <v>1469.2329999999999</v>
      </c>
      <c r="E3041" s="23">
        <v>1469.4870000000001</v>
      </c>
      <c r="F3041" s="4"/>
      <c r="G3041" s="4"/>
      <c r="H3041" s="28" t="s">
        <v>4619</v>
      </c>
      <c r="I3041" s="4"/>
      <c r="J3041" s="6">
        <v>0</v>
      </c>
      <c r="K3041" s="29" t="s">
        <v>3207</v>
      </c>
      <c r="L3041" s="4"/>
      <c r="M3041" s="3"/>
    </row>
    <row r="3042" spans="1:13" x14ac:dyDescent="0.3">
      <c r="A3042" s="18">
        <v>101</v>
      </c>
      <c r="B3042" s="20">
        <v>101</v>
      </c>
      <c r="C3042" s="24">
        <v>1469.8</v>
      </c>
      <c r="D3042" s="24">
        <v>1469.4870000000001</v>
      </c>
      <c r="E3042" s="24">
        <v>1470.1120000000001</v>
      </c>
      <c r="F3042" s="4"/>
      <c r="G3042" s="4"/>
      <c r="H3042" s="27" t="s">
        <v>4620</v>
      </c>
      <c r="I3042" s="4"/>
      <c r="J3042" s="6">
        <v>0</v>
      </c>
      <c r="K3042" s="30" t="s">
        <v>3207</v>
      </c>
      <c r="L3042" s="4"/>
      <c r="M3042" s="3"/>
    </row>
    <row r="3043" spans="1:13" x14ac:dyDescent="0.3">
      <c r="A3043" s="17">
        <v>101</v>
      </c>
      <c r="B3043" s="19">
        <v>101</v>
      </c>
      <c r="C3043" s="23">
        <v>1470.4059999999999</v>
      </c>
      <c r="D3043" s="23">
        <v>1470.1120000000001</v>
      </c>
      <c r="E3043" s="23">
        <v>1470.7</v>
      </c>
      <c r="F3043" s="4"/>
      <c r="G3043" s="4"/>
      <c r="H3043" s="28" t="s">
        <v>4621</v>
      </c>
      <c r="I3043" s="4"/>
      <c r="J3043" s="6">
        <v>0</v>
      </c>
      <c r="K3043" s="29" t="s">
        <v>3207</v>
      </c>
      <c r="L3043" s="4"/>
      <c r="M3043" s="3"/>
    </row>
    <row r="3044" spans="1:13" x14ac:dyDescent="0.3">
      <c r="A3044" s="18">
        <v>101</v>
      </c>
      <c r="B3044" s="20">
        <v>101</v>
      </c>
      <c r="C3044" s="24">
        <v>1470.8130000000001</v>
      </c>
      <c r="D3044" s="24">
        <v>1470.7</v>
      </c>
      <c r="E3044" s="24">
        <v>1470.925</v>
      </c>
      <c r="F3044" s="4"/>
      <c r="G3044" s="4"/>
      <c r="H3044" s="27" t="s">
        <v>4622</v>
      </c>
      <c r="I3044" s="4"/>
      <c r="J3044" s="6">
        <v>0</v>
      </c>
      <c r="K3044" s="30" t="s">
        <v>3207</v>
      </c>
      <c r="L3044" s="4"/>
      <c r="M3044" s="3"/>
    </row>
    <row r="3045" spans="1:13" x14ac:dyDescent="0.3">
      <c r="A3045" s="17">
        <v>101</v>
      </c>
      <c r="B3045" s="19">
        <v>101</v>
      </c>
      <c r="C3045" s="23">
        <v>1471.0060000000001</v>
      </c>
      <c r="D3045" s="23">
        <v>1470.925</v>
      </c>
      <c r="E3045" s="23">
        <v>1471.086</v>
      </c>
      <c r="F3045" s="4"/>
      <c r="G3045" s="4"/>
      <c r="H3045" s="28" t="s">
        <v>4623</v>
      </c>
      <c r="I3045" s="4"/>
      <c r="J3045" s="6">
        <v>0</v>
      </c>
      <c r="K3045" s="29" t="s">
        <v>3207</v>
      </c>
      <c r="L3045" s="4"/>
      <c r="M3045" s="3"/>
    </row>
    <row r="3046" spans="1:13" x14ac:dyDescent="0.3">
      <c r="A3046" s="18">
        <v>101</v>
      </c>
      <c r="B3046" s="20">
        <v>101</v>
      </c>
      <c r="C3046" s="24">
        <v>1471.2170000000001</v>
      </c>
      <c r="D3046" s="24">
        <v>1471.086</v>
      </c>
      <c r="E3046" s="24">
        <v>1471.347</v>
      </c>
      <c r="F3046" s="4"/>
      <c r="G3046" s="4"/>
      <c r="H3046" s="27" t="s">
        <v>4624</v>
      </c>
      <c r="I3046" s="4"/>
      <c r="J3046" s="6">
        <v>0</v>
      </c>
      <c r="K3046" s="30" t="s">
        <v>3207</v>
      </c>
      <c r="L3046" s="4"/>
      <c r="M3046" s="3"/>
    </row>
    <row r="3047" spans="1:13" x14ac:dyDescent="0.3">
      <c r="A3047" s="17">
        <v>101</v>
      </c>
      <c r="B3047" s="19">
        <v>101</v>
      </c>
      <c r="C3047" s="23">
        <v>1472.2929999999999</v>
      </c>
      <c r="D3047" s="23">
        <v>1472.1769999999999</v>
      </c>
      <c r="E3047" s="23">
        <v>1472.4090000000001</v>
      </c>
      <c r="F3047" s="4"/>
      <c r="G3047" s="4"/>
      <c r="H3047" s="28" t="s">
        <v>4625</v>
      </c>
      <c r="I3047" s="4"/>
      <c r="J3047" s="6">
        <v>0</v>
      </c>
      <c r="K3047" s="29" t="s">
        <v>3207</v>
      </c>
      <c r="L3047" s="4"/>
      <c r="M3047" s="3"/>
    </row>
    <row r="3048" spans="1:13" x14ac:dyDescent="0.3">
      <c r="A3048" s="18">
        <v>101</v>
      </c>
      <c r="B3048" s="20">
        <v>101</v>
      </c>
      <c r="C3048" s="24">
        <v>1472.4349999999999</v>
      </c>
      <c r="D3048" s="24">
        <v>1472.4090000000001</v>
      </c>
      <c r="E3048" s="24">
        <v>1472.46</v>
      </c>
      <c r="F3048" s="4"/>
      <c r="G3048" s="4"/>
      <c r="H3048" s="27" t="s">
        <v>4626</v>
      </c>
      <c r="I3048" s="4"/>
      <c r="J3048" s="6">
        <v>0</v>
      </c>
      <c r="K3048" s="30" t="s">
        <v>3207</v>
      </c>
      <c r="L3048" s="4"/>
      <c r="M3048" s="3"/>
    </row>
    <row r="3049" spans="1:13" x14ac:dyDescent="0.3">
      <c r="A3049" s="17">
        <v>101</v>
      </c>
      <c r="B3049" s="19">
        <v>101</v>
      </c>
      <c r="C3049" s="23">
        <v>1472.7070000000001</v>
      </c>
      <c r="D3049" s="23">
        <v>1472.46</v>
      </c>
      <c r="E3049" s="23">
        <v>1472.954</v>
      </c>
      <c r="F3049" s="4"/>
      <c r="G3049" s="4"/>
      <c r="H3049" s="28" t="s">
        <v>4627</v>
      </c>
      <c r="I3049" s="4"/>
      <c r="J3049" s="6">
        <v>0</v>
      </c>
      <c r="K3049" s="29" t="s">
        <v>3207</v>
      </c>
      <c r="L3049" s="4"/>
      <c r="M3049" s="3"/>
    </row>
    <row r="3050" spans="1:13" x14ac:dyDescent="0.3">
      <c r="A3050" s="18">
        <v>101</v>
      </c>
      <c r="B3050" s="20">
        <v>101</v>
      </c>
      <c r="C3050" s="24">
        <v>1473.07</v>
      </c>
      <c r="D3050" s="24">
        <v>1472.954</v>
      </c>
      <c r="E3050" s="24">
        <v>1473.1849999999999</v>
      </c>
      <c r="F3050" s="4"/>
      <c r="G3050" s="4"/>
      <c r="H3050" s="27" t="s">
        <v>4628</v>
      </c>
      <c r="I3050" s="4"/>
      <c r="J3050" s="6">
        <v>0</v>
      </c>
      <c r="K3050" s="30" t="s">
        <v>3207</v>
      </c>
      <c r="L3050" s="4"/>
      <c r="M3050" s="3"/>
    </row>
    <row r="3051" spans="1:13" x14ac:dyDescent="0.3">
      <c r="A3051" s="17">
        <v>101</v>
      </c>
      <c r="B3051" s="19">
        <v>101</v>
      </c>
      <c r="C3051" s="23">
        <v>1473.2819999999999</v>
      </c>
      <c r="D3051" s="23">
        <v>1473.1849999999999</v>
      </c>
      <c r="E3051" s="23">
        <v>1473.3779999999999</v>
      </c>
      <c r="F3051" s="4"/>
      <c r="G3051" s="4"/>
      <c r="H3051" s="28" t="s">
        <v>4629</v>
      </c>
      <c r="I3051" s="4"/>
      <c r="J3051" s="6">
        <v>0</v>
      </c>
      <c r="K3051" s="29" t="s">
        <v>3207</v>
      </c>
      <c r="L3051" s="4"/>
      <c r="M3051" s="3"/>
    </row>
    <row r="3052" spans="1:13" x14ac:dyDescent="0.3">
      <c r="A3052" s="18">
        <v>101</v>
      </c>
      <c r="B3052" s="20">
        <v>101</v>
      </c>
      <c r="C3052" s="24">
        <v>1473.663</v>
      </c>
      <c r="D3052" s="24">
        <v>1473.3779999999999</v>
      </c>
      <c r="E3052" s="24">
        <v>1473.9480000000001</v>
      </c>
      <c r="F3052" s="4"/>
      <c r="G3052" s="4"/>
      <c r="H3052" s="27" t="s">
        <v>4630</v>
      </c>
      <c r="I3052" s="4"/>
      <c r="J3052" s="6">
        <v>0</v>
      </c>
      <c r="K3052" s="30" t="s">
        <v>3207</v>
      </c>
      <c r="L3052" s="4"/>
      <c r="M3052" s="3"/>
    </row>
    <row r="3053" spans="1:13" x14ac:dyDescent="0.3">
      <c r="A3053" s="17">
        <v>101</v>
      </c>
      <c r="B3053" s="19">
        <v>101</v>
      </c>
      <c r="C3053" s="23">
        <v>1474.0139999999999</v>
      </c>
      <c r="D3053" s="23">
        <v>1473.9480000000001</v>
      </c>
      <c r="E3053" s="23">
        <v>1474.079</v>
      </c>
      <c r="F3053" s="4"/>
      <c r="G3053" s="4"/>
      <c r="H3053" s="28" t="s">
        <v>4631</v>
      </c>
      <c r="I3053" s="4"/>
      <c r="J3053" s="6">
        <v>0</v>
      </c>
      <c r="K3053" s="29" t="s">
        <v>3207</v>
      </c>
      <c r="L3053" s="4"/>
      <c r="M3053" s="3"/>
    </row>
    <row r="3054" spans="1:13" x14ac:dyDescent="0.3">
      <c r="A3054" s="18">
        <v>101</v>
      </c>
      <c r="B3054" s="20">
        <v>101</v>
      </c>
      <c r="C3054" s="24">
        <v>1474.288</v>
      </c>
      <c r="D3054" s="24">
        <v>1474.079</v>
      </c>
      <c r="E3054" s="24">
        <v>1474.4960000000001</v>
      </c>
      <c r="F3054" s="4"/>
      <c r="G3054" s="4"/>
      <c r="H3054" s="27" t="s">
        <v>4632</v>
      </c>
      <c r="I3054" s="4"/>
      <c r="J3054" s="6">
        <v>0</v>
      </c>
      <c r="K3054" s="30" t="s">
        <v>3207</v>
      </c>
      <c r="L3054" s="4"/>
      <c r="M3054" s="3"/>
    </row>
    <row r="3055" spans="1:13" x14ac:dyDescent="0.3">
      <c r="A3055" s="17">
        <v>101</v>
      </c>
      <c r="B3055" s="19">
        <v>101</v>
      </c>
      <c r="C3055" s="23">
        <v>1474.6780000000001</v>
      </c>
      <c r="D3055" s="23">
        <v>1474.4960000000001</v>
      </c>
      <c r="E3055" s="23">
        <v>1474.8589999999999</v>
      </c>
      <c r="F3055" s="4"/>
      <c r="G3055" s="4"/>
      <c r="H3055" s="28" t="s">
        <v>4633</v>
      </c>
      <c r="I3055" s="4"/>
      <c r="J3055" s="6">
        <v>0</v>
      </c>
      <c r="K3055" s="29" t="s">
        <v>3207</v>
      </c>
      <c r="L3055" s="4"/>
      <c r="M3055" s="3"/>
    </row>
    <row r="3056" spans="1:13" x14ac:dyDescent="0.3">
      <c r="A3056" s="18">
        <v>101</v>
      </c>
      <c r="B3056" s="20">
        <v>101</v>
      </c>
      <c r="C3056" s="24">
        <v>1475.1379999999999</v>
      </c>
      <c r="D3056" s="24">
        <v>1474.8589999999999</v>
      </c>
      <c r="E3056" s="24">
        <v>1475.4169999999999</v>
      </c>
      <c r="F3056" s="4"/>
      <c r="G3056" s="4"/>
      <c r="H3056" s="27" t="s">
        <v>4634</v>
      </c>
      <c r="I3056" s="4"/>
      <c r="J3056" s="6">
        <v>0</v>
      </c>
      <c r="K3056" s="30" t="s">
        <v>3207</v>
      </c>
      <c r="L3056" s="4"/>
      <c r="M3056" s="3"/>
    </row>
    <row r="3057" spans="1:13" x14ac:dyDescent="0.3">
      <c r="A3057" s="17">
        <v>101</v>
      </c>
      <c r="B3057" s="19">
        <v>101</v>
      </c>
      <c r="C3057" s="23">
        <v>1475.623</v>
      </c>
      <c r="D3057" s="23">
        <v>1475.4169999999999</v>
      </c>
      <c r="E3057" s="23">
        <v>1475.828</v>
      </c>
      <c r="F3057" s="4"/>
      <c r="G3057" s="4"/>
      <c r="H3057" s="28" t="s">
        <v>4635</v>
      </c>
      <c r="I3057" s="4"/>
      <c r="J3057" s="6">
        <v>0</v>
      </c>
      <c r="K3057" s="29" t="s">
        <v>3207</v>
      </c>
      <c r="L3057" s="4"/>
      <c r="M3057" s="3"/>
    </row>
    <row r="3058" spans="1:13" x14ac:dyDescent="0.3">
      <c r="A3058" s="18">
        <v>101</v>
      </c>
      <c r="B3058" s="20">
        <v>101</v>
      </c>
      <c r="C3058" s="24">
        <v>1475.9690000000001</v>
      </c>
      <c r="D3058" s="24">
        <v>1475.828</v>
      </c>
      <c r="E3058" s="24">
        <v>1476.1089999999999</v>
      </c>
      <c r="F3058" s="4"/>
      <c r="G3058" s="4"/>
      <c r="H3058" s="27" t="s">
        <v>4636</v>
      </c>
      <c r="I3058" s="4"/>
      <c r="J3058" s="6">
        <v>0</v>
      </c>
      <c r="K3058" s="30" t="s">
        <v>3207</v>
      </c>
      <c r="L3058" s="4"/>
      <c r="M3058" s="3"/>
    </row>
    <row r="3059" spans="1:13" x14ac:dyDescent="0.3">
      <c r="A3059" s="17">
        <v>101</v>
      </c>
      <c r="B3059" s="19">
        <v>101</v>
      </c>
      <c r="C3059" s="23">
        <v>1476.3320000000001</v>
      </c>
      <c r="D3059" s="23">
        <v>1476.1089999999999</v>
      </c>
      <c r="E3059" s="23">
        <v>1476.5540000000001</v>
      </c>
      <c r="F3059" s="4"/>
      <c r="G3059" s="4"/>
      <c r="H3059" s="28" t="s">
        <v>4637</v>
      </c>
      <c r="I3059" s="4"/>
      <c r="J3059" s="6">
        <v>0</v>
      </c>
      <c r="K3059" s="29" t="s">
        <v>3207</v>
      </c>
      <c r="L3059" s="4"/>
      <c r="M3059" s="3"/>
    </row>
    <row r="3060" spans="1:13" x14ac:dyDescent="0.3">
      <c r="A3060" s="18">
        <v>101</v>
      </c>
      <c r="B3060" s="20">
        <v>101</v>
      </c>
      <c r="C3060" s="24">
        <v>1476.768</v>
      </c>
      <c r="D3060" s="24">
        <v>1476.5540000000001</v>
      </c>
      <c r="E3060" s="24">
        <v>1476.982</v>
      </c>
      <c r="F3060" s="4"/>
      <c r="G3060" s="4"/>
      <c r="H3060" s="27" t="s">
        <v>4638</v>
      </c>
      <c r="I3060" s="4"/>
      <c r="J3060" s="6">
        <v>0</v>
      </c>
      <c r="K3060" s="30" t="s">
        <v>3207</v>
      </c>
      <c r="L3060" s="4"/>
      <c r="M3060" s="3"/>
    </row>
    <row r="3061" spans="1:13" x14ac:dyDescent="0.3">
      <c r="A3061" s="17">
        <v>101</v>
      </c>
      <c r="B3061" s="19">
        <v>101</v>
      </c>
      <c r="C3061" s="23">
        <v>1477.2570000000001</v>
      </c>
      <c r="D3061" s="23">
        <v>1476.982</v>
      </c>
      <c r="E3061" s="23">
        <v>1477.5309999999999</v>
      </c>
      <c r="F3061" s="4"/>
      <c r="G3061" s="4"/>
      <c r="H3061" s="28" t="s">
        <v>4639</v>
      </c>
      <c r="I3061" s="4"/>
      <c r="J3061" s="6">
        <v>0</v>
      </c>
      <c r="K3061" s="29" t="s">
        <v>3207</v>
      </c>
      <c r="L3061" s="4"/>
      <c r="M3061" s="3"/>
    </row>
    <row r="3062" spans="1:13" x14ac:dyDescent="0.3">
      <c r="A3062" s="18">
        <v>101</v>
      </c>
      <c r="B3062" s="20">
        <v>101</v>
      </c>
      <c r="C3062" s="24">
        <v>1477.6849999999999</v>
      </c>
      <c r="D3062" s="24">
        <v>1477.5309999999999</v>
      </c>
      <c r="E3062" s="24">
        <v>1477.8389999999999</v>
      </c>
      <c r="F3062" s="4"/>
      <c r="G3062" s="4"/>
      <c r="H3062" s="27" t="s">
        <v>4640</v>
      </c>
      <c r="I3062" s="4"/>
      <c r="J3062" s="6">
        <v>0</v>
      </c>
      <c r="K3062" s="30" t="s">
        <v>3207</v>
      </c>
      <c r="L3062" s="4"/>
      <c r="M3062" s="3"/>
    </row>
    <row r="3063" spans="1:13" x14ac:dyDescent="0.3">
      <c r="A3063" s="17">
        <v>101</v>
      </c>
      <c r="B3063" s="19">
        <v>101</v>
      </c>
      <c r="C3063" s="23">
        <v>1478.183</v>
      </c>
      <c r="D3063" s="23">
        <v>1477.8389999999999</v>
      </c>
      <c r="E3063" s="23">
        <v>1478.527</v>
      </c>
      <c r="F3063" s="4"/>
      <c r="G3063" s="4"/>
      <c r="H3063" s="28" t="s">
        <v>4641</v>
      </c>
      <c r="I3063" s="4"/>
      <c r="J3063" s="6">
        <v>0</v>
      </c>
      <c r="K3063" s="29" t="s">
        <v>3207</v>
      </c>
      <c r="L3063" s="4"/>
      <c r="M3063" s="3"/>
    </row>
    <row r="3064" spans="1:13" x14ac:dyDescent="0.3">
      <c r="A3064" s="18">
        <v>101</v>
      </c>
      <c r="B3064" s="20">
        <v>101</v>
      </c>
      <c r="C3064" s="24">
        <v>1478.867</v>
      </c>
      <c r="D3064" s="24">
        <v>1478.527</v>
      </c>
      <c r="E3064" s="24">
        <v>1479.2059999999999</v>
      </c>
      <c r="F3064" s="4"/>
      <c r="G3064" s="4"/>
      <c r="H3064" s="27" t="s">
        <v>4642</v>
      </c>
      <c r="I3064" s="4"/>
      <c r="J3064" s="6">
        <v>0</v>
      </c>
      <c r="K3064" s="30" t="s">
        <v>3207</v>
      </c>
      <c r="L3064" s="4"/>
      <c r="M3064" s="3"/>
    </row>
    <row r="3065" spans="1:13" x14ac:dyDescent="0.3">
      <c r="A3065" s="17">
        <v>101</v>
      </c>
      <c r="B3065" s="19">
        <v>101</v>
      </c>
      <c r="C3065" s="23">
        <v>1479.3119999999999</v>
      </c>
      <c r="D3065" s="23">
        <v>1479.2059999999999</v>
      </c>
      <c r="E3065" s="23">
        <v>1479.4179999999999</v>
      </c>
      <c r="F3065" s="4"/>
      <c r="G3065" s="4"/>
      <c r="H3065" s="28" t="s">
        <v>4643</v>
      </c>
      <c r="I3065" s="4"/>
      <c r="J3065" s="6">
        <v>0</v>
      </c>
      <c r="K3065" s="29" t="s">
        <v>3207</v>
      </c>
      <c r="L3065" s="4"/>
      <c r="M3065" s="3"/>
    </row>
    <row r="3066" spans="1:13" x14ac:dyDescent="0.3">
      <c r="A3066" s="18">
        <v>101</v>
      </c>
      <c r="B3066" s="20">
        <v>101</v>
      </c>
      <c r="C3066" s="24">
        <v>1479.4380000000001</v>
      </c>
      <c r="D3066" s="24">
        <v>1479.4179999999999</v>
      </c>
      <c r="E3066" s="24">
        <v>1479.4570000000001</v>
      </c>
      <c r="F3066" s="4"/>
      <c r="G3066" s="4"/>
      <c r="H3066" s="27" t="s">
        <v>4644</v>
      </c>
      <c r="I3066" s="4"/>
      <c r="J3066" s="6">
        <v>0</v>
      </c>
      <c r="K3066" s="30" t="s">
        <v>3207</v>
      </c>
      <c r="L3066" s="4"/>
      <c r="M3066" s="3"/>
    </row>
    <row r="3067" spans="1:13" x14ac:dyDescent="0.3">
      <c r="A3067" s="17">
        <v>101</v>
      </c>
      <c r="B3067" s="19">
        <v>101</v>
      </c>
      <c r="C3067" s="23">
        <v>1479.7180000000001</v>
      </c>
      <c r="D3067" s="23">
        <v>1479.4570000000001</v>
      </c>
      <c r="E3067" s="23">
        <v>1479.979</v>
      </c>
      <c r="F3067" s="4"/>
      <c r="G3067" s="4"/>
      <c r="H3067" s="28" t="s">
        <v>4645</v>
      </c>
      <c r="I3067" s="4"/>
      <c r="J3067" s="6">
        <v>0</v>
      </c>
      <c r="K3067" s="29" t="s">
        <v>3207</v>
      </c>
      <c r="L3067" s="4"/>
      <c r="M3067" s="3"/>
    </row>
    <row r="3068" spans="1:13" x14ac:dyDescent="0.3">
      <c r="A3068" s="18">
        <v>101</v>
      </c>
      <c r="B3068" s="20">
        <v>101</v>
      </c>
      <c r="C3068" s="24">
        <v>1480.0450000000001</v>
      </c>
      <c r="D3068" s="24">
        <v>1479.979</v>
      </c>
      <c r="E3068" s="24">
        <v>1480.11</v>
      </c>
      <c r="F3068" s="4"/>
      <c r="G3068" s="4"/>
      <c r="H3068" s="27" t="s">
        <v>4646</v>
      </c>
      <c r="I3068" s="4"/>
      <c r="J3068" s="6">
        <v>0</v>
      </c>
      <c r="K3068" s="30" t="s">
        <v>3207</v>
      </c>
      <c r="L3068" s="4"/>
      <c r="M3068" s="3"/>
    </row>
    <row r="3069" spans="1:13" x14ac:dyDescent="0.3">
      <c r="A3069" s="17">
        <v>101</v>
      </c>
      <c r="B3069" s="19">
        <v>101</v>
      </c>
      <c r="C3069" s="23">
        <v>1480.306</v>
      </c>
      <c r="D3069" s="23">
        <v>1480.11</v>
      </c>
      <c r="E3069" s="23">
        <v>1480.502</v>
      </c>
      <c r="F3069" s="4"/>
      <c r="G3069" s="4"/>
      <c r="H3069" s="28" t="s">
        <v>4647</v>
      </c>
      <c r="I3069" s="4"/>
      <c r="J3069" s="6">
        <v>0</v>
      </c>
      <c r="K3069" s="29" t="s">
        <v>3207</v>
      </c>
      <c r="L3069" s="4"/>
      <c r="M3069" s="3"/>
    </row>
    <row r="3070" spans="1:13" x14ac:dyDescent="0.3">
      <c r="A3070" s="18">
        <v>101</v>
      </c>
      <c r="B3070" s="20">
        <v>101</v>
      </c>
      <c r="C3070" s="24">
        <v>1480.692</v>
      </c>
      <c r="D3070" s="24">
        <v>1480.502</v>
      </c>
      <c r="E3070" s="24">
        <v>1480.8820000000001</v>
      </c>
      <c r="F3070" s="4"/>
      <c r="G3070" s="4"/>
      <c r="H3070" s="27" t="s">
        <v>4648</v>
      </c>
      <c r="I3070" s="4"/>
      <c r="J3070" s="6">
        <v>0</v>
      </c>
      <c r="K3070" s="30" t="s">
        <v>3207</v>
      </c>
      <c r="L3070" s="4"/>
      <c r="M3070" s="3"/>
    </row>
    <row r="3071" spans="1:13" x14ac:dyDescent="0.3">
      <c r="A3071" s="17">
        <v>101</v>
      </c>
      <c r="B3071" s="19">
        <v>101</v>
      </c>
      <c r="C3071" s="23">
        <v>1481.115</v>
      </c>
      <c r="D3071" s="23">
        <v>1480.8820000000001</v>
      </c>
      <c r="E3071" s="23">
        <v>1481.347</v>
      </c>
      <c r="F3071" s="4"/>
      <c r="G3071" s="4"/>
      <c r="H3071" s="28" t="s">
        <v>4649</v>
      </c>
      <c r="I3071" s="4"/>
      <c r="J3071" s="6">
        <v>0</v>
      </c>
      <c r="K3071" s="29" t="s">
        <v>3207</v>
      </c>
      <c r="L3071" s="4"/>
      <c r="M3071" s="3"/>
    </row>
    <row r="3072" spans="1:13" x14ac:dyDescent="0.3">
      <c r="A3072" s="18">
        <v>101</v>
      </c>
      <c r="B3072" s="20">
        <v>101</v>
      </c>
      <c r="C3072" s="24">
        <v>1481.498</v>
      </c>
      <c r="D3072" s="24">
        <v>1481.347</v>
      </c>
      <c r="E3072" s="24">
        <v>1481.6489999999999</v>
      </c>
      <c r="F3072" s="4"/>
      <c r="G3072" s="4"/>
      <c r="H3072" s="27" t="s">
        <v>4650</v>
      </c>
      <c r="I3072" s="4"/>
      <c r="J3072" s="6">
        <v>0</v>
      </c>
      <c r="K3072" s="30" t="s">
        <v>3207</v>
      </c>
      <c r="L3072" s="4"/>
      <c r="M3072" s="3"/>
    </row>
    <row r="3073" spans="1:13" x14ac:dyDescent="0.3">
      <c r="A3073" s="17">
        <v>101</v>
      </c>
      <c r="B3073" s="19">
        <v>101</v>
      </c>
      <c r="C3073" s="23">
        <v>1482.5129999999999</v>
      </c>
      <c r="D3073" s="23">
        <v>1481.6489999999999</v>
      </c>
      <c r="E3073" s="23">
        <v>1483.377</v>
      </c>
      <c r="F3073" s="4"/>
      <c r="G3073" s="4"/>
      <c r="H3073" s="28" t="s">
        <v>4651</v>
      </c>
      <c r="I3073" s="4"/>
      <c r="J3073" s="6">
        <v>0</v>
      </c>
      <c r="K3073" s="29" t="s">
        <v>3207</v>
      </c>
      <c r="L3073" s="4"/>
      <c r="M3073" s="3"/>
    </row>
    <row r="3074" spans="1:13" x14ac:dyDescent="0.3">
      <c r="A3074" s="18">
        <v>101</v>
      </c>
      <c r="B3074" s="20">
        <v>101</v>
      </c>
      <c r="C3074" s="24">
        <v>1483.4880000000001</v>
      </c>
      <c r="D3074" s="24">
        <v>1483.377</v>
      </c>
      <c r="E3074" s="24">
        <v>1483.598</v>
      </c>
      <c r="F3074" s="4"/>
      <c r="G3074" s="4"/>
      <c r="H3074" s="27" t="s">
        <v>4652</v>
      </c>
      <c r="I3074" s="4"/>
      <c r="J3074" s="6">
        <v>0</v>
      </c>
      <c r="K3074" s="30" t="s">
        <v>3207</v>
      </c>
      <c r="L3074" s="4"/>
      <c r="M3074" s="3"/>
    </row>
    <row r="3075" spans="1:13" x14ac:dyDescent="0.3">
      <c r="A3075" s="17">
        <v>101</v>
      </c>
      <c r="B3075" s="19">
        <v>101</v>
      </c>
      <c r="C3075" s="23">
        <v>1483.771</v>
      </c>
      <c r="D3075" s="23">
        <v>1483.598</v>
      </c>
      <c r="E3075" s="23">
        <v>1483.944</v>
      </c>
      <c r="F3075" s="4"/>
      <c r="G3075" s="4"/>
      <c r="H3075" s="28" t="s">
        <v>4653</v>
      </c>
      <c r="I3075" s="4"/>
      <c r="J3075" s="6">
        <v>0</v>
      </c>
      <c r="K3075" s="29" t="s">
        <v>3207</v>
      </c>
      <c r="L3075" s="4"/>
      <c r="M3075" s="3"/>
    </row>
    <row r="3076" spans="1:13" x14ac:dyDescent="0.3">
      <c r="A3076" s="18">
        <v>101</v>
      </c>
      <c r="B3076" s="20">
        <v>101</v>
      </c>
      <c r="C3076" s="24">
        <v>1483.9590000000001</v>
      </c>
      <c r="D3076" s="24">
        <v>1483.944</v>
      </c>
      <c r="E3076" s="24">
        <v>1483.973</v>
      </c>
      <c r="F3076" s="4"/>
      <c r="G3076" s="4"/>
      <c r="H3076" s="27" t="s">
        <v>4654</v>
      </c>
      <c r="I3076" s="4"/>
      <c r="J3076" s="6">
        <v>0</v>
      </c>
      <c r="K3076" s="30" t="s">
        <v>3207</v>
      </c>
      <c r="L3076" s="4"/>
      <c r="M3076" s="3"/>
    </row>
    <row r="3077" spans="1:13" x14ac:dyDescent="0.3">
      <c r="A3077" s="17">
        <v>101</v>
      </c>
      <c r="B3077" s="19">
        <v>101</v>
      </c>
      <c r="C3077" s="23">
        <v>1484.319</v>
      </c>
      <c r="D3077" s="23">
        <v>1483.973</v>
      </c>
      <c r="E3077" s="23">
        <v>1484.665</v>
      </c>
      <c r="F3077" s="4"/>
      <c r="G3077" s="4"/>
      <c r="H3077" s="28" t="s">
        <v>4655</v>
      </c>
      <c r="I3077" s="4"/>
      <c r="J3077" s="6">
        <v>0</v>
      </c>
      <c r="K3077" s="29" t="s">
        <v>3207</v>
      </c>
      <c r="L3077" s="4"/>
      <c r="M3077" s="3"/>
    </row>
    <row r="3078" spans="1:13" x14ac:dyDescent="0.3">
      <c r="A3078" s="18">
        <v>101</v>
      </c>
      <c r="B3078" s="20">
        <v>101</v>
      </c>
      <c r="C3078" s="24">
        <v>1484.827</v>
      </c>
      <c r="D3078" s="24">
        <v>1484.665</v>
      </c>
      <c r="E3078" s="24">
        <v>1484.989</v>
      </c>
      <c r="F3078" s="4"/>
      <c r="G3078" s="4"/>
      <c r="H3078" s="27" t="s">
        <v>4656</v>
      </c>
      <c r="I3078" s="4"/>
      <c r="J3078" s="6">
        <v>0</v>
      </c>
      <c r="K3078" s="30" t="s">
        <v>3207</v>
      </c>
      <c r="L3078" s="4"/>
      <c r="M3078" s="3"/>
    </row>
    <row r="3079" spans="1:13" x14ac:dyDescent="0.3">
      <c r="A3079" s="17">
        <v>101</v>
      </c>
      <c r="B3079" s="19">
        <v>101</v>
      </c>
      <c r="C3079" s="23">
        <v>1485.1790000000001</v>
      </c>
      <c r="D3079" s="23">
        <v>1484.989</v>
      </c>
      <c r="E3079" s="23">
        <v>1485.3679999999999</v>
      </c>
      <c r="F3079" s="4"/>
      <c r="G3079" s="4"/>
      <c r="H3079" s="28" t="s">
        <v>4657</v>
      </c>
      <c r="I3079" s="4"/>
      <c r="J3079" s="6">
        <v>0</v>
      </c>
      <c r="K3079" s="29" t="s">
        <v>3207</v>
      </c>
      <c r="L3079" s="4"/>
      <c r="M3079" s="3"/>
    </row>
    <row r="3080" spans="1:13" x14ac:dyDescent="0.3">
      <c r="A3080" s="18">
        <v>101</v>
      </c>
      <c r="B3080" s="20">
        <v>101</v>
      </c>
      <c r="C3080" s="24">
        <v>1485.441</v>
      </c>
      <c r="D3080" s="24">
        <v>1485.3679999999999</v>
      </c>
      <c r="E3080" s="24">
        <v>1485.5139999999999</v>
      </c>
      <c r="F3080" s="4"/>
      <c r="G3080" s="4"/>
      <c r="H3080" s="27" t="s">
        <v>4658</v>
      </c>
      <c r="I3080" s="4"/>
      <c r="J3080" s="6">
        <v>0</v>
      </c>
      <c r="K3080" s="30" t="s">
        <v>3207</v>
      </c>
      <c r="L3080" s="4"/>
      <c r="M3080" s="3"/>
    </row>
    <row r="3081" spans="1:13" x14ac:dyDescent="0.3">
      <c r="A3081" s="17">
        <v>101</v>
      </c>
      <c r="B3081" s="19">
        <v>101</v>
      </c>
      <c r="C3081" s="23">
        <v>1485.7670000000001</v>
      </c>
      <c r="D3081" s="23">
        <v>1485.5139999999999</v>
      </c>
      <c r="E3081" s="23">
        <v>1486.02</v>
      </c>
      <c r="F3081" s="4"/>
      <c r="G3081" s="4"/>
      <c r="H3081" s="28" t="s">
        <v>4659</v>
      </c>
      <c r="I3081" s="4"/>
      <c r="J3081" s="6">
        <v>0</v>
      </c>
      <c r="K3081" s="29" t="s">
        <v>3207</v>
      </c>
      <c r="L3081" s="4"/>
      <c r="M3081" s="3"/>
    </row>
    <row r="3082" spans="1:13" x14ac:dyDescent="0.3">
      <c r="A3082" s="18">
        <v>101</v>
      </c>
      <c r="B3082" s="20">
        <v>101</v>
      </c>
      <c r="C3082" s="24">
        <v>1486.1479999999999</v>
      </c>
      <c r="D3082" s="24">
        <v>1486.02</v>
      </c>
      <c r="E3082" s="24">
        <v>1486.2750000000001</v>
      </c>
      <c r="F3082" s="4"/>
      <c r="G3082" s="4"/>
      <c r="H3082" s="27" t="s">
        <v>4660</v>
      </c>
      <c r="I3082" s="4"/>
      <c r="J3082" s="6">
        <v>0</v>
      </c>
      <c r="K3082" s="30" t="s">
        <v>3207</v>
      </c>
      <c r="L3082" s="4"/>
      <c r="M3082" s="3"/>
    </row>
    <row r="3083" spans="1:13" x14ac:dyDescent="0.3">
      <c r="A3083" s="17">
        <v>101</v>
      </c>
      <c r="B3083" s="19">
        <v>101</v>
      </c>
      <c r="C3083" s="23">
        <v>1486.431</v>
      </c>
      <c r="D3083" s="23">
        <v>1486.2750000000001</v>
      </c>
      <c r="E3083" s="23">
        <v>1486.587</v>
      </c>
      <c r="F3083" s="4"/>
      <c r="G3083" s="4"/>
      <c r="H3083" s="28" t="s">
        <v>4661</v>
      </c>
      <c r="I3083" s="4"/>
      <c r="J3083" s="6">
        <v>0</v>
      </c>
      <c r="K3083" s="29" t="s">
        <v>3207</v>
      </c>
      <c r="L3083" s="4"/>
      <c r="M3083" s="3"/>
    </row>
    <row r="3084" spans="1:13" x14ac:dyDescent="0.3">
      <c r="A3084" s="18">
        <v>101</v>
      </c>
      <c r="B3084" s="20">
        <v>101</v>
      </c>
      <c r="C3084" s="24">
        <v>1486.643</v>
      </c>
      <c r="D3084" s="24">
        <v>1486.587</v>
      </c>
      <c r="E3084" s="24">
        <v>1486.6980000000001</v>
      </c>
      <c r="F3084" s="4"/>
      <c r="G3084" s="4"/>
      <c r="H3084" s="27" t="s">
        <v>4662</v>
      </c>
      <c r="I3084" s="4"/>
      <c r="J3084" s="6">
        <v>0</v>
      </c>
      <c r="K3084" s="30" t="s">
        <v>3207</v>
      </c>
      <c r="L3084" s="4"/>
      <c r="M3084" s="3"/>
    </row>
    <row r="3085" spans="1:13" x14ac:dyDescent="0.3">
      <c r="A3085" s="17">
        <v>101</v>
      </c>
      <c r="B3085" s="19">
        <v>101</v>
      </c>
      <c r="C3085" s="23">
        <v>1487.0119999999999</v>
      </c>
      <c r="D3085" s="23">
        <v>1486.6980000000001</v>
      </c>
      <c r="E3085" s="23">
        <v>1487.325</v>
      </c>
      <c r="F3085" s="4"/>
      <c r="G3085" s="4"/>
      <c r="H3085" s="28" t="s">
        <v>4663</v>
      </c>
      <c r="I3085" s="4"/>
      <c r="J3085" s="6">
        <v>0</v>
      </c>
      <c r="K3085" s="29" t="s">
        <v>3207</v>
      </c>
      <c r="L3085" s="4"/>
      <c r="M3085" s="3"/>
    </row>
    <row r="3086" spans="1:13" x14ac:dyDescent="0.3">
      <c r="A3086" s="18">
        <v>101</v>
      </c>
      <c r="B3086" s="20">
        <v>101</v>
      </c>
      <c r="C3086" s="24">
        <v>1487.3910000000001</v>
      </c>
      <c r="D3086" s="24">
        <v>1487.325</v>
      </c>
      <c r="E3086" s="24">
        <v>1487.4559999999999</v>
      </c>
      <c r="F3086" s="4"/>
      <c r="G3086" s="4"/>
      <c r="H3086" s="27" t="s">
        <v>4664</v>
      </c>
      <c r="I3086" s="4"/>
      <c r="J3086" s="6">
        <v>0</v>
      </c>
      <c r="K3086" s="30" t="s">
        <v>3207</v>
      </c>
      <c r="L3086" s="4"/>
      <c r="M3086" s="3"/>
    </row>
    <row r="3087" spans="1:13" x14ac:dyDescent="0.3">
      <c r="A3087" s="17">
        <v>101</v>
      </c>
      <c r="B3087" s="19">
        <v>101</v>
      </c>
      <c r="C3087" s="23">
        <v>1487.664</v>
      </c>
      <c r="D3087" s="23">
        <v>1487.4559999999999</v>
      </c>
      <c r="E3087" s="23">
        <v>1487.8710000000001</v>
      </c>
      <c r="F3087" s="4"/>
      <c r="G3087" s="4"/>
      <c r="H3087" s="28" t="s">
        <v>4665</v>
      </c>
      <c r="I3087" s="4"/>
      <c r="J3087" s="6">
        <v>0</v>
      </c>
      <c r="K3087" s="29" t="s">
        <v>3207</v>
      </c>
      <c r="L3087" s="4"/>
      <c r="M3087" s="3"/>
    </row>
    <row r="3088" spans="1:13" x14ac:dyDescent="0.3">
      <c r="A3088" s="18">
        <v>101</v>
      </c>
      <c r="B3088" s="20">
        <v>101</v>
      </c>
      <c r="C3088" s="24">
        <v>1487.923</v>
      </c>
      <c r="D3088" s="24">
        <v>1487.8710000000001</v>
      </c>
      <c r="E3088" s="24">
        <v>1487.9749999999999</v>
      </c>
      <c r="F3088" s="4"/>
      <c r="G3088" s="4"/>
      <c r="H3088" s="27" t="s">
        <v>4666</v>
      </c>
      <c r="I3088" s="4"/>
      <c r="J3088" s="6">
        <v>0</v>
      </c>
      <c r="K3088" s="30" t="s">
        <v>3207</v>
      </c>
      <c r="L3088" s="4"/>
      <c r="M3088" s="3"/>
    </row>
    <row r="3089" spans="1:13" x14ac:dyDescent="0.3">
      <c r="A3089" s="17">
        <v>101</v>
      </c>
      <c r="B3089" s="19">
        <v>101</v>
      </c>
      <c r="C3089" s="23">
        <v>1488.155</v>
      </c>
      <c r="D3089" s="23">
        <v>1487.9749999999999</v>
      </c>
      <c r="E3089" s="23">
        <v>1488.3340000000001</v>
      </c>
      <c r="F3089" s="4"/>
      <c r="G3089" s="4"/>
      <c r="H3089" s="28" t="s">
        <v>4667</v>
      </c>
      <c r="I3089" s="4"/>
      <c r="J3089" s="6">
        <v>0</v>
      </c>
      <c r="K3089" s="29" t="s">
        <v>3207</v>
      </c>
      <c r="L3089" s="4"/>
      <c r="M3089" s="3"/>
    </row>
    <row r="3090" spans="1:13" x14ac:dyDescent="0.3">
      <c r="A3090" s="18">
        <v>101</v>
      </c>
      <c r="B3090" s="20">
        <v>101</v>
      </c>
      <c r="C3090" s="24">
        <v>1488.374</v>
      </c>
      <c r="D3090" s="24">
        <v>1488.3340000000001</v>
      </c>
      <c r="E3090" s="24">
        <v>1488.414</v>
      </c>
      <c r="F3090" s="4"/>
      <c r="G3090" s="4"/>
      <c r="H3090" s="27" t="s">
        <v>4668</v>
      </c>
      <c r="I3090" s="4"/>
      <c r="J3090" s="6">
        <v>0</v>
      </c>
      <c r="K3090" s="30" t="s">
        <v>3207</v>
      </c>
      <c r="L3090" s="4"/>
      <c r="M3090" s="3"/>
    </row>
    <row r="3091" spans="1:13" x14ac:dyDescent="0.3">
      <c r="A3091" s="17">
        <v>101</v>
      </c>
      <c r="B3091" s="19">
        <v>101</v>
      </c>
      <c r="C3091" s="23">
        <v>1488.7249999999999</v>
      </c>
      <c r="D3091" s="23">
        <v>1488.414</v>
      </c>
      <c r="E3091" s="23">
        <v>1489.0360000000001</v>
      </c>
      <c r="F3091" s="4"/>
      <c r="G3091" s="4"/>
      <c r="H3091" s="28" t="s">
        <v>4669</v>
      </c>
      <c r="I3091" s="4"/>
      <c r="J3091" s="6">
        <v>0</v>
      </c>
      <c r="K3091" s="29" t="s">
        <v>3207</v>
      </c>
      <c r="L3091" s="4"/>
      <c r="M3091" s="3"/>
    </row>
    <row r="3092" spans="1:13" x14ac:dyDescent="0.3">
      <c r="A3092" s="18">
        <v>101</v>
      </c>
      <c r="B3092" s="20">
        <v>101</v>
      </c>
      <c r="C3092" s="24">
        <v>1489.07</v>
      </c>
      <c r="D3092" s="24">
        <v>1489.0360000000001</v>
      </c>
      <c r="E3092" s="24">
        <v>1489.1030000000001</v>
      </c>
      <c r="F3092" s="4"/>
      <c r="G3092" s="4"/>
      <c r="H3092" s="27" t="s">
        <v>4670</v>
      </c>
      <c r="I3092" s="4"/>
      <c r="J3092" s="6">
        <v>0</v>
      </c>
      <c r="K3092" s="30" t="s">
        <v>3207</v>
      </c>
      <c r="L3092" s="4"/>
      <c r="M3092" s="3"/>
    </row>
    <row r="3093" spans="1:13" x14ac:dyDescent="0.3">
      <c r="A3093" s="17">
        <v>101</v>
      </c>
      <c r="B3093" s="19">
        <v>101</v>
      </c>
      <c r="C3093" s="23">
        <v>1489.4190000000001</v>
      </c>
      <c r="D3093" s="23">
        <v>1489.1030000000001</v>
      </c>
      <c r="E3093" s="23">
        <v>1489.7349999999999</v>
      </c>
      <c r="F3093" s="4"/>
      <c r="G3093" s="4"/>
      <c r="H3093" s="28" t="s">
        <v>4671</v>
      </c>
      <c r="I3093" s="4"/>
      <c r="J3093" s="6">
        <v>0</v>
      </c>
      <c r="K3093" s="29" t="s">
        <v>3207</v>
      </c>
      <c r="L3093" s="4"/>
      <c r="M3093" s="3"/>
    </row>
    <row r="3094" spans="1:13" x14ac:dyDescent="0.3">
      <c r="A3094" s="18">
        <v>101</v>
      </c>
      <c r="B3094" s="20">
        <v>101</v>
      </c>
      <c r="C3094" s="24">
        <v>1489.8979999999999</v>
      </c>
      <c r="D3094" s="24">
        <v>1489.7349999999999</v>
      </c>
      <c r="E3094" s="24">
        <v>1490.06</v>
      </c>
      <c r="F3094" s="4"/>
      <c r="G3094" s="4"/>
      <c r="H3094" s="27" t="s">
        <v>4672</v>
      </c>
      <c r="I3094" s="4"/>
      <c r="J3094" s="6">
        <v>0</v>
      </c>
      <c r="K3094" s="30" t="s">
        <v>3207</v>
      </c>
      <c r="L3094" s="4"/>
      <c r="M3094" s="3"/>
    </row>
    <row r="3095" spans="1:13" x14ac:dyDescent="0.3">
      <c r="A3095" s="17">
        <v>101</v>
      </c>
      <c r="B3095" s="19">
        <v>101</v>
      </c>
      <c r="C3095" s="23">
        <v>1490.3019999999999</v>
      </c>
      <c r="D3095" s="23">
        <v>1490.06</v>
      </c>
      <c r="E3095" s="23">
        <v>1490.5429999999999</v>
      </c>
      <c r="F3095" s="4"/>
      <c r="G3095" s="4"/>
      <c r="H3095" s="28" t="s">
        <v>4673</v>
      </c>
      <c r="I3095" s="4"/>
      <c r="J3095" s="6">
        <v>0</v>
      </c>
      <c r="K3095" s="29" t="s">
        <v>3207</v>
      </c>
      <c r="L3095" s="4"/>
      <c r="M3095" s="3"/>
    </row>
    <row r="3096" spans="1:13" x14ac:dyDescent="0.3">
      <c r="A3096" s="18">
        <v>101</v>
      </c>
      <c r="B3096" s="20">
        <v>101</v>
      </c>
      <c r="C3096" s="24">
        <v>1490.7239999999999</v>
      </c>
      <c r="D3096" s="24">
        <v>1490.5429999999999</v>
      </c>
      <c r="E3096" s="24">
        <v>1490.904</v>
      </c>
      <c r="F3096" s="4"/>
      <c r="G3096" s="4"/>
      <c r="H3096" s="27" t="s">
        <v>4674</v>
      </c>
      <c r="I3096" s="4"/>
      <c r="J3096" s="6">
        <v>0</v>
      </c>
      <c r="K3096" s="30" t="s">
        <v>3207</v>
      </c>
      <c r="L3096" s="4"/>
      <c r="M3096" s="3"/>
    </row>
    <row r="3097" spans="1:13" x14ac:dyDescent="0.3">
      <c r="A3097" s="17">
        <v>101</v>
      </c>
      <c r="B3097" s="19">
        <v>101</v>
      </c>
      <c r="C3097" s="23">
        <v>1491.1420000000001</v>
      </c>
      <c r="D3097" s="23">
        <v>1490.904</v>
      </c>
      <c r="E3097" s="23">
        <v>1491.38</v>
      </c>
      <c r="F3097" s="4"/>
      <c r="G3097" s="4"/>
      <c r="H3097" s="28" t="s">
        <v>4675</v>
      </c>
      <c r="I3097" s="4"/>
      <c r="J3097" s="6">
        <v>0</v>
      </c>
      <c r="K3097" s="29" t="s">
        <v>3207</v>
      </c>
      <c r="L3097" s="4"/>
      <c r="M3097" s="3"/>
    </row>
    <row r="3098" spans="1:13" x14ac:dyDescent="0.3">
      <c r="A3098" s="18">
        <v>101</v>
      </c>
      <c r="B3098" s="20">
        <v>101</v>
      </c>
      <c r="C3098" s="24">
        <v>1491.3920000000001</v>
      </c>
      <c r="D3098" s="24">
        <v>1491.38</v>
      </c>
      <c r="E3098" s="24">
        <v>1491.404</v>
      </c>
      <c r="F3098" s="4"/>
      <c r="G3098" s="4"/>
      <c r="H3098" s="27" t="s">
        <v>4676</v>
      </c>
      <c r="I3098" s="4"/>
      <c r="J3098" s="6">
        <v>0</v>
      </c>
      <c r="K3098" s="30" t="s">
        <v>3207</v>
      </c>
      <c r="L3098" s="4"/>
      <c r="M3098" s="3"/>
    </row>
    <row r="3099" spans="1:13" x14ac:dyDescent="0.3">
      <c r="A3099" s="17">
        <v>101</v>
      </c>
      <c r="B3099" s="19">
        <v>101</v>
      </c>
      <c r="C3099" s="23">
        <v>1491.529</v>
      </c>
      <c r="D3099" s="23">
        <v>1491.404</v>
      </c>
      <c r="E3099" s="23">
        <v>1491.654</v>
      </c>
      <c r="F3099" s="4"/>
      <c r="G3099" s="4"/>
      <c r="H3099" s="28" t="s">
        <v>4677</v>
      </c>
      <c r="I3099" s="4"/>
      <c r="J3099" s="6">
        <v>0</v>
      </c>
      <c r="K3099" s="29" t="s">
        <v>3207</v>
      </c>
      <c r="L3099" s="4"/>
      <c r="M3099" s="3"/>
    </row>
    <row r="3100" spans="1:13" x14ac:dyDescent="0.3">
      <c r="A3100" s="18">
        <v>101</v>
      </c>
      <c r="B3100" s="20">
        <v>101</v>
      </c>
      <c r="C3100" s="24">
        <v>1491.7919999999999</v>
      </c>
      <c r="D3100" s="24">
        <v>1491.654</v>
      </c>
      <c r="E3100" s="24">
        <v>1491.9290000000001</v>
      </c>
      <c r="F3100" s="4"/>
      <c r="G3100" s="4"/>
      <c r="H3100" s="27" t="s">
        <v>4678</v>
      </c>
      <c r="I3100" s="4"/>
      <c r="J3100" s="6">
        <v>0</v>
      </c>
      <c r="K3100" s="30" t="s">
        <v>3207</v>
      </c>
      <c r="L3100" s="4"/>
      <c r="M3100" s="3"/>
    </row>
    <row r="3101" spans="1:13" x14ac:dyDescent="0.3">
      <c r="A3101" s="17">
        <v>101</v>
      </c>
      <c r="B3101" s="19">
        <v>101</v>
      </c>
      <c r="C3101" s="23">
        <v>1492.105</v>
      </c>
      <c r="D3101" s="23">
        <v>1491.9290000000001</v>
      </c>
      <c r="E3101" s="23">
        <v>1492.28</v>
      </c>
      <c r="F3101" s="4"/>
      <c r="G3101" s="4"/>
      <c r="H3101" s="28" t="s">
        <v>4679</v>
      </c>
      <c r="I3101" s="4"/>
      <c r="J3101" s="6">
        <v>0</v>
      </c>
      <c r="K3101" s="29" t="s">
        <v>3207</v>
      </c>
      <c r="L3101" s="4"/>
      <c r="M3101" s="3"/>
    </row>
    <row r="3102" spans="1:13" x14ac:dyDescent="0.3">
      <c r="A3102" s="18">
        <v>101</v>
      </c>
      <c r="B3102" s="20">
        <v>101</v>
      </c>
      <c r="C3102" s="24">
        <v>1492.4010000000001</v>
      </c>
      <c r="D3102" s="24">
        <v>1492.28</v>
      </c>
      <c r="E3102" s="24">
        <v>1492.521</v>
      </c>
      <c r="F3102" s="4"/>
      <c r="G3102" s="4"/>
      <c r="H3102" s="27" t="s">
        <v>4680</v>
      </c>
      <c r="I3102" s="4"/>
      <c r="J3102" s="6">
        <v>0</v>
      </c>
      <c r="K3102" s="30" t="s">
        <v>3207</v>
      </c>
      <c r="L3102" s="4"/>
      <c r="M3102" s="3"/>
    </row>
    <row r="3103" spans="1:13" x14ac:dyDescent="0.3">
      <c r="A3103" s="17">
        <v>101</v>
      </c>
      <c r="B3103" s="19">
        <v>101</v>
      </c>
      <c r="C3103" s="23">
        <v>1492.9449999999999</v>
      </c>
      <c r="D3103" s="23">
        <v>1492.521</v>
      </c>
      <c r="E3103" s="23">
        <v>1493.3679999999999</v>
      </c>
      <c r="F3103" s="4"/>
      <c r="G3103" s="4"/>
      <c r="H3103" s="28" t="s">
        <v>4681</v>
      </c>
      <c r="I3103" s="4"/>
      <c r="J3103" s="6">
        <v>0</v>
      </c>
      <c r="K3103" s="29" t="s">
        <v>3207</v>
      </c>
      <c r="L3103" s="4"/>
      <c r="M3103" s="3"/>
    </row>
    <row r="3104" spans="1:13" x14ac:dyDescent="0.3">
      <c r="A3104" s="18">
        <v>101</v>
      </c>
      <c r="B3104" s="20">
        <v>101</v>
      </c>
      <c r="C3104" s="24">
        <v>1493.38</v>
      </c>
      <c r="D3104" s="24">
        <v>1493.3679999999999</v>
      </c>
      <c r="E3104" s="24">
        <v>1493.3910000000001</v>
      </c>
      <c r="F3104" s="4"/>
      <c r="G3104" s="4"/>
      <c r="H3104" s="27" t="s">
        <v>4682</v>
      </c>
      <c r="I3104" s="4"/>
      <c r="J3104" s="6">
        <v>0</v>
      </c>
      <c r="K3104" s="30" t="s">
        <v>3207</v>
      </c>
      <c r="L3104" s="4"/>
      <c r="M3104" s="3"/>
    </row>
    <row r="3105" spans="1:13" x14ac:dyDescent="0.3">
      <c r="A3105" s="17">
        <v>101</v>
      </c>
      <c r="B3105" s="19">
        <v>101</v>
      </c>
      <c r="C3105" s="23">
        <v>1493.771</v>
      </c>
      <c r="D3105" s="23">
        <v>1493.3910000000001</v>
      </c>
      <c r="E3105" s="23">
        <v>1494.15</v>
      </c>
      <c r="F3105" s="4"/>
      <c r="G3105" s="4"/>
      <c r="H3105" s="28" t="s">
        <v>4683</v>
      </c>
      <c r="I3105" s="4"/>
      <c r="J3105" s="6">
        <v>0</v>
      </c>
      <c r="K3105" s="29" t="s">
        <v>3207</v>
      </c>
      <c r="L3105" s="4"/>
      <c r="M3105" s="3"/>
    </row>
    <row r="3106" spans="1:13" x14ac:dyDescent="0.3">
      <c r="A3106" s="18">
        <v>101</v>
      </c>
      <c r="B3106" s="20">
        <v>101</v>
      </c>
      <c r="C3106" s="24">
        <v>1494.165</v>
      </c>
      <c r="D3106" s="24">
        <v>1494.15</v>
      </c>
      <c r="E3106" s="24">
        <v>1494.1790000000001</v>
      </c>
      <c r="F3106" s="4"/>
      <c r="G3106" s="4"/>
      <c r="H3106" s="27" t="s">
        <v>4684</v>
      </c>
      <c r="I3106" s="4"/>
      <c r="J3106" s="6">
        <v>0</v>
      </c>
      <c r="K3106" s="30" t="s">
        <v>3207</v>
      </c>
      <c r="L3106" s="4"/>
      <c r="M3106" s="3"/>
    </row>
    <row r="3107" spans="1:13" x14ac:dyDescent="0.3">
      <c r="A3107" s="17">
        <v>101</v>
      </c>
      <c r="B3107" s="19">
        <v>101</v>
      </c>
      <c r="C3107" s="23">
        <v>1494.5519999999999</v>
      </c>
      <c r="D3107" s="23">
        <v>1494.1790000000001</v>
      </c>
      <c r="E3107" s="23">
        <v>1494.924</v>
      </c>
      <c r="F3107" s="4"/>
      <c r="G3107" s="4"/>
      <c r="H3107" s="28" t="s">
        <v>4685</v>
      </c>
      <c r="I3107" s="4"/>
      <c r="J3107" s="6">
        <v>0</v>
      </c>
      <c r="K3107" s="29" t="s">
        <v>3207</v>
      </c>
      <c r="L3107" s="4"/>
      <c r="M3107" s="3"/>
    </row>
    <row r="3108" spans="1:13" x14ac:dyDescent="0.3">
      <c r="A3108" s="18">
        <v>101</v>
      </c>
      <c r="B3108" s="20">
        <v>101</v>
      </c>
      <c r="C3108" s="24">
        <v>1495.066</v>
      </c>
      <c r="D3108" s="24">
        <v>1494.924</v>
      </c>
      <c r="E3108" s="24">
        <v>1495.2070000000001</v>
      </c>
      <c r="F3108" s="4"/>
      <c r="G3108" s="4"/>
      <c r="H3108" s="27" t="s">
        <v>4686</v>
      </c>
      <c r="I3108" s="4"/>
      <c r="J3108" s="6">
        <v>0</v>
      </c>
      <c r="K3108" s="30" t="s">
        <v>3207</v>
      </c>
      <c r="L3108" s="4"/>
      <c r="M3108" s="3"/>
    </row>
    <row r="3109" spans="1:13" x14ac:dyDescent="0.3">
      <c r="A3109" s="17">
        <v>101</v>
      </c>
      <c r="B3109" s="19">
        <v>101</v>
      </c>
      <c r="C3109" s="23">
        <v>1495.5239999999999</v>
      </c>
      <c r="D3109" s="23">
        <v>1495.2070000000001</v>
      </c>
      <c r="E3109" s="23">
        <v>1495.8409999999999</v>
      </c>
      <c r="F3109" s="4"/>
      <c r="G3109" s="4"/>
      <c r="H3109" s="28" t="s">
        <v>4687</v>
      </c>
      <c r="I3109" s="4"/>
      <c r="J3109" s="6">
        <v>0</v>
      </c>
      <c r="K3109" s="29" t="s">
        <v>3207</v>
      </c>
      <c r="L3109" s="4"/>
      <c r="M3109" s="3"/>
    </row>
    <row r="3110" spans="1:13" x14ac:dyDescent="0.3">
      <c r="A3110" s="18">
        <v>101</v>
      </c>
      <c r="B3110" s="20">
        <v>101</v>
      </c>
      <c r="C3110" s="24">
        <v>1495.8920000000001</v>
      </c>
      <c r="D3110" s="24">
        <v>1495.8409999999999</v>
      </c>
      <c r="E3110" s="24">
        <v>1495.942</v>
      </c>
      <c r="F3110" s="4"/>
      <c r="G3110" s="4"/>
      <c r="H3110" s="27" t="s">
        <v>4688</v>
      </c>
      <c r="I3110" s="4"/>
      <c r="J3110" s="6">
        <v>0</v>
      </c>
      <c r="K3110" s="30" t="s">
        <v>3207</v>
      </c>
      <c r="L3110" s="4"/>
      <c r="M3110" s="3"/>
    </row>
    <row r="3111" spans="1:13" x14ac:dyDescent="0.3">
      <c r="A3111" s="17">
        <v>101</v>
      </c>
      <c r="B3111" s="19">
        <v>101</v>
      </c>
      <c r="C3111" s="23">
        <v>1496.048</v>
      </c>
      <c r="D3111" s="23">
        <v>1495.942</v>
      </c>
      <c r="E3111" s="23">
        <v>1496.153</v>
      </c>
      <c r="F3111" s="4"/>
      <c r="G3111" s="4"/>
      <c r="H3111" s="28" t="s">
        <v>4689</v>
      </c>
      <c r="I3111" s="4"/>
      <c r="J3111" s="6">
        <v>0</v>
      </c>
      <c r="K3111" s="29" t="s">
        <v>3207</v>
      </c>
      <c r="L3111" s="4"/>
      <c r="M3111" s="3"/>
    </row>
    <row r="3112" spans="1:13" x14ac:dyDescent="0.3">
      <c r="A3112" s="18">
        <v>101</v>
      </c>
      <c r="B3112" s="20">
        <v>101</v>
      </c>
      <c r="C3112" s="24">
        <v>1496.182</v>
      </c>
      <c r="D3112" s="24">
        <v>1496.153</v>
      </c>
      <c r="E3112" s="24">
        <v>1496.211</v>
      </c>
      <c r="F3112" s="4"/>
      <c r="G3112" s="4"/>
      <c r="H3112" s="27" t="s">
        <v>4690</v>
      </c>
      <c r="I3112" s="4"/>
      <c r="J3112" s="6">
        <v>0</v>
      </c>
      <c r="K3112" s="30" t="s">
        <v>3207</v>
      </c>
      <c r="L3112" s="4"/>
      <c r="M3112" s="3"/>
    </row>
    <row r="3113" spans="1:13" x14ac:dyDescent="0.3">
      <c r="A3113" s="17">
        <v>101</v>
      </c>
      <c r="B3113" s="19">
        <v>101</v>
      </c>
      <c r="C3113" s="23">
        <v>1496.307</v>
      </c>
      <c r="D3113" s="23">
        <v>1496.211</v>
      </c>
      <c r="E3113" s="23">
        <v>1496.402</v>
      </c>
      <c r="F3113" s="4"/>
      <c r="G3113" s="4"/>
      <c r="H3113" s="28" t="s">
        <v>4691</v>
      </c>
      <c r="I3113" s="4"/>
      <c r="J3113" s="6">
        <v>0</v>
      </c>
      <c r="K3113" s="29" t="s">
        <v>3207</v>
      </c>
      <c r="L3113" s="4"/>
      <c r="M3113" s="3"/>
    </row>
    <row r="3114" spans="1:13" x14ac:dyDescent="0.3">
      <c r="A3114" s="18">
        <v>101</v>
      </c>
      <c r="B3114" s="20">
        <v>101</v>
      </c>
      <c r="C3114" s="24">
        <v>1496.4369999999999</v>
      </c>
      <c r="D3114" s="24">
        <v>1496.402</v>
      </c>
      <c r="E3114" s="24">
        <v>1496.472</v>
      </c>
      <c r="F3114" s="4"/>
      <c r="G3114" s="4"/>
      <c r="H3114" s="27" t="s">
        <v>4692</v>
      </c>
      <c r="I3114" s="4"/>
      <c r="J3114" s="6">
        <v>0</v>
      </c>
      <c r="K3114" s="30" t="s">
        <v>3207</v>
      </c>
      <c r="L3114" s="4"/>
      <c r="M3114" s="3"/>
    </row>
    <row r="3115" spans="1:13" x14ac:dyDescent="0.3">
      <c r="A3115" s="17">
        <v>101</v>
      </c>
      <c r="B3115" s="19">
        <v>101</v>
      </c>
      <c r="C3115" s="23">
        <v>1496.595</v>
      </c>
      <c r="D3115" s="23">
        <v>1496.472</v>
      </c>
      <c r="E3115" s="23">
        <v>1496.7170000000001</v>
      </c>
      <c r="F3115" s="4"/>
      <c r="G3115" s="4"/>
      <c r="H3115" s="28" t="s">
        <v>4693</v>
      </c>
      <c r="I3115" s="4"/>
      <c r="J3115" s="6">
        <v>0</v>
      </c>
      <c r="K3115" s="29" t="s">
        <v>3207</v>
      </c>
      <c r="L3115" s="4"/>
      <c r="M3115" s="3"/>
    </row>
    <row r="3116" spans="1:13" x14ac:dyDescent="0.3">
      <c r="A3116" s="18">
        <v>101</v>
      </c>
      <c r="B3116" s="20">
        <v>101</v>
      </c>
      <c r="C3116" s="24">
        <v>1496.8889999999999</v>
      </c>
      <c r="D3116" s="24">
        <v>1496.7170000000001</v>
      </c>
      <c r="E3116" s="24">
        <v>1497.0609999999999</v>
      </c>
      <c r="F3116" s="4"/>
      <c r="G3116" s="4"/>
      <c r="H3116" s="27" t="s">
        <v>4694</v>
      </c>
      <c r="I3116" s="4"/>
      <c r="J3116" s="6">
        <v>0</v>
      </c>
      <c r="K3116" s="30" t="s">
        <v>3207</v>
      </c>
      <c r="L3116" s="4"/>
      <c r="M3116" s="3"/>
    </row>
    <row r="3117" spans="1:13" x14ac:dyDescent="0.3">
      <c r="A3117" s="17">
        <v>101</v>
      </c>
      <c r="B3117" s="19">
        <v>101</v>
      </c>
      <c r="C3117" s="23">
        <v>1497.287</v>
      </c>
      <c r="D3117" s="23">
        <v>1497.0609999999999</v>
      </c>
      <c r="E3117" s="23">
        <v>1497.5129999999999</v>
      </c>
      <c r="F3117" s="4"/>
      <c r="G3117" s="4"/>
      <c r="H3117" s="28" t="s">
        <v>4695</v>
      </c>
      <c r="I3117" s="4"/>
      <c r="J3117" s="6">
        <v>0</v>
      </c>
      <c r="K3117" s="29" t="s">
        <v>3207</v>
      </c>
      <c r="L3117" s="4"/>
      <c r="M3117" s="3"/>
    </row>
    <row r="3118" spans="1:13" x14ac:dyDescent="0.3">
      <c r="A3118" s="18">
        <v>101</v>
      </c>
      <c r="B3118" s="20">
        <v>101</v>
      </c>
      <c r="C3118" s="24">
        <v>1497.5219999999999</v>
      </c>
      <c r="D3118" s="24">
        <v>1497.5129999999999</v>
      </c>
      <c r="E3118" s="24">
        <v>1497.53</v>
      </c>
      <c r="F3118" s="4"/>
      <c r="G3118" s="4"/>
      <c r="H3118" s="27" t="s">
        <v>4696</v>
      </c>
      <c r="I3118" s="4"/>
      <c r="J3118" s="6">
        <v>0</v>
      </c>
      <c r="K3118" s="30" t="s">
        <v>3207</v>
      </c>
      <c r="L3118" s="4"/>
      <c r="M3118" s="3"/>
    </row>
    <row r="3119" spans="1:13" x14ac:dyDescent="0.3">
      <c r="A3119" s="17">
        <v>101</v>
      </c>
      <c r="B3119" s="19">
        <v>101</v>
      </c>
      <c r="C3119" s="23">
        <v>1497.6949999999999</v>
      </c>
      <c r="D3119" s="23">
        <v>1497.53</v>
      </c>
      <c r="E3119" s="23">
        <v>1497.8589999999999</v>
      </c>
      <c r="F3119" s="4"/>
      <c r="G3119" s="4"/>
      <c r="H3119" s="28" t="s">
        <v>4697</v>
      </c>
      <c r="I3119" s="4"/>
      <c r="J3119" s="6">
        <v>0</v>
      </c>
      <c r="K3119" s="29" t="s">
        <v>3207</v>
      </c>
      <c r="L3119" s="4"/>
      <c r="M3119" s="3"/>
    </row>
    <row r="3120" spans="1:13" x14ac:dyDescent="0.3">
      <c r="A3120" s="18">
        <v>101</v>
      </c>
      <c r="B3120" s="20">
        <v>101</v>
      </c>
      <c r="C3120" s="24">
        <v>1497.9369999999999</v>
      </c>
      <c r="D3120" s="24">
        <v>1497.8589999999999</v>
      </c>
      <c r="E3120" s="24">
        <v>1498.0150000000001</v>
      </c>
      <c r="F3120" s="4"/>
      <c r="G3120" s="4"/>
      <c r="H3120" s="27" t="s">
        <v>4698</v>
      </c>
      <c r="I3120" s="4"/>
      <c r="J3120" s="6">
        <v>0</v>
      </c>
      <c r="K3120" s="30" t="s">
        <v>3207</v>
      </c>
      <c r="L3120" s="4"/>
      <c r="M3120" s="3"/>
    </row>
    <row r="3121" spans="1:13" x14ac:dyDescent="0.3">
      <c r="A3121" s="17">
        <v>101</v>
      </c>
      <c r="B3121" s="19">
        <v>101</v>
      </c>
      <c r="C3121" s="23">
        <v>1498.182</v>
      </c>
      <c r="D3121" s="23">
        <v>1498.0150000000001</v>
      </c>
      <c r="E3121" s="23">
        <v>1498.3489999999999</v>
      </c>
      <c r="F3121" s="4"/>
      <c r="G3121" s="4"/>
      <c r="H3121" s="28" t="s">
        <v>4699</v>
      </c>
      <c r="I3121" s="4"/>
      <c r="J3121" s="6">
        <v>0</v>
      </c>
      <c r="K3121" s="29" t="s">
        <v>3207</v>
      </c>
      <c r="L3121" s="4"/>
      <c r="M3121" s="3"/>
    </row>
    <row r="3122" spans="1:13" x14ac:dyDescent="0.3">
      <c r="A3122" s="18">
        <v>101</v>
      </c>
      <c r="B3122" s="20">
        <v>101</v>
      </c>
      <c r="C3122" s="24">
        <v>1498.4179999999999</v>
      </c>
      <c r="D3122" s="24">
        <v>1498.3489999999999</v>
      </c>
      <c r="E3122" s="24">
        <v>1498.4870000000001</v>
      </c>
      <c r="F3122" s="4"/>
      <c r="G3122" s="4"/>
      <c r="H3122" s="27" t="s">
        <v>4700</v>
      </c>
      <c r="I3122" s="4"/>
      <c r="J3122" s="6">
        <v>0</v>
      </c>
      <c r="K3122" s="30" t="s">
        <v>3207</v>
      </c>
      <c r="L3122" s="4"/>
      <c r="M3122" s="3"/>
    </row>
    <row r="3123" spans="1:13" x14ac:dyDescent="0.3">
      <c r="A3123" s="17">
        <v>101</v>
      </c>
      <c r="B3123" s="19">
        <v>101</v>
      </c>
      <c r="C3123" s="23">
        <v>1498.9190000000001</v>
      </c>
      <c r="D3123" s="23">
        <v>1498.4870000000001</v>
      </c>
      <c r="E3123" s="23">
        <v>1499.3510000000001</v>
      </c>
      <c r="F3123" s="4"/>
      <c r="G3123" s="4"/>
      <c r="H3123" s="28" t="s">
        <v>4701</v>
      </c>
      <c r="I3123" s="4"/>
      <c r="J3123" s="6">
        <v>0</v>
      </c>
      <c r="K3123" s="29" t="s">
        <v>3207</v>
      </c>
      <c r="L3123" s="4"/>
      <c r="M3123" s="3"/>
    </row>
    <row r="3124" spans="1:13" x14ac:dyDescent="0.3">
      <c r="A3124" s="18">
        <v>101</v>
      </c>
      <c r="B3124" s="20">
        <v>101</v>
      </c>
      <c r="C3124" s="24">
        <v>1499.4079999999999</v>
      </c>
      <c r="D3124" s="24">
        <v>1499.3510000000001</v>
      </c>
      <c r="E3124" s="24">
        <v>1499.4639999999999</v>
      </c>
      <c r="F3124" s="4"/>
      <c r="G3124" s="4"/>
      <c r="H3124" s="27" t="s">
        <v>4702</v>
      </c>
      <c r="I3124" s="4"/>
      <c r="J3124" s="6">
        <v>0</v>
      </c>
      <c r="K3124" s="30" t="s">
        <v>3207</v>
      </c>
      <c r="L3124" s="4"/>
      <c r="M3124" s="3"/>
    </row>
    <row r="3125" spans="1:13" x14ac:dyDescent="0.3">
      <c r="A3125" s="17">
        <v>101</v>
      </c>
      <c r="B3125" s="19">
        <v>101</v>
      </c>
      <c r="C3125" s="23">
        <v>1499.6790000000001</v>
      </c>
      <c r="D3125" s="23">
        <v>1499.4639999999999</v>
      </c>
      <c r="E3125" s="23">
        <v>1499.894</v>
      </c>
      <c r="F3125" s="4"/>
      <c r="G3125" s="4"/>
      <c r="H3125" s="28" t="s">
        <v>4703</v>
      </c>
      <c r="I3125" s="4"/>
      <c r="J3125" s="6">
        <v>0</v>
      </c>
      <c r="K3125" s="29" t="s">
        <v>3207</v>
      </c>
      <c r="L3125" s="4"/>
      <c r="M3125" s="3"/>
    </row>
    <row r="3126" spans="1:13" x14ac:dyDescent="0.3">
      <c r="A3126" s="18">
        <v>101</v>
      </c>
      <c r="B3126" s="20">
        <v>101</v>
      </c>
      <c r="C3126" s="24">
        <v>1499.902</v>
      </c>
      <c r="D3126" s="24">
        <v>1499.894</v>
      </c>
      <c r="E3126" s="24">
        <v>1499.91</v>
      </c>
      <c r="F3126" s="4"/>
      <c r="G3126" s="4"/>
      <c r="H3126" s="27" t="s">
        <v>4704</v>
      </c>
      <c r="I3126" s="4"/>
      <c r="J3126" s="6">
        <v>0</v>
      </c>
      <c r="K3126" s="30" t="s">
        <v>3207</v>
      </c>
      <c r="L3126" s="4"/>
      <c r="M3126" s="3"/>
    </row>
    <row r="3127" spans="1:13" x14ac:dyDescent="0.3">
      <c r="A3127" s="17">
        <v>101</v>
      </c>
      <c r="B3127" s="19">
        <v>101</v>
      </c>
      <c r="C3127" s="23">
        <v>1500.1690000000001</v>
      </c>
      <c r="D3127" s="23">
        <v>1499.91</v>
      </c>
      <c r="E3127" s="23">
        <v>1500.4269999999999</v>
      </c>
      <c r="F3127" s="4"/>
      <c r="G3127" s="4"/>
      <c r="H3127" s="28" t="s">
        <v>4705</v>
      </c>
      <c r="I3127" s="4"/>
      <c r="J3127" s="6">
        <v>0</v>
      </c>
      <c r="K3127" s="29" t="s">
        <v>3207</v>
      </c>
      <c r="L3127" s="4"/>
      <c r="M3127" s="3"/>
    </row>
    <row r="3128" spans="1:13" x14ac:dyDescent="0.3">
      <c r="A3128" s="18">
        <v>101</v>
      </c>
      <c r="B3128" s="20">
        <v>101</v>
      </c>
      <c r="C3128" s="24">
        <v>1500.569</v>
      </c>
      <c r="D3128" s="24">
        <v>1500.4269999999999</v>
      </c>
      <c r="E3128" s="24">
        <v>1500.71</v>
      </c>
      <c r="F3128" s="4"/>
      <c r="G3128" s="4"/>
      <c r="H3128" s="27" t="s">
        <v>4706</v>
      </c>
      <c r="I3128" s="4"/>
      <c r="J3128" s="6">
        <v>0</v>
      </c>
      <c r="K3128" s="30" t="s">
        <v>3207</v>
      </c>
      <c r="L3128" s="4"/>
      <c r="M3128" s="3"/>
    </row>
    <row r="3129" spans="1:13" x14ac:dyDescent="0.3">
      <c r="A3129" s="17">
        <v>101</v>
      </c>
      <c r="B3129" s="19">
        <v>101</v>
      </c>
      <c r="C3129" s="23">
        <v>1501.347</v>
      </c>
      <c r="D3129" s="23">
        <v>1500.71</v>
      </c>
      <c r="E3129" s="23">
        <v>1501.9829999999999</v>
      </c>
      <c r="F3129" s="4"/>
      <c r="G3129" s="4"/>
      <c r="H3129" s="28" t="s">
        <v>4707</v>
      </c>
      <c r="I3129" s="4"/>
      <c r="J3129" s="6">
        <v>0</v>
      </c>
      <c r="K3129" s="29" t="s">
        <v>3207</v>
      </c>
      <c r="L3129" s="4"/>
      <c r="M3129" s="3"/>
    </row>
    <row r="3130" spans="1:13" x14ac:dyDescent="0.3">
      <c r="A3130" s="18">
        <v>101</v>
      </c>
      <c r="B3130" s="20">
        <v>101</v>
      </c>
      <c r="C3130" s="24">
        <v>1502.0340000000001</v>
      </c>
      <c r="D3130" s="24">
        <v>1501.9829999999999</v>
      </c>
      <c r="E3130" s="24">
        <v>1502.085</v>
      </c>
      <c r="F3130" s="4"/>
      <c r="G3130" s="4"/>
      <c r="H3130" s="27" t="s">
        <v>4708</v>
      </c>
      <c r="I3130" s="4"/>
      <c r="J3130" s="6">
        <v>0</v>
      </c>
      <c r="K3130" s="30" t="s">
        <v>3207</v>
      </c>
      <c r="L3130" s="4"/>
      <c r="M3130" s="3"/>
    </row>
    <row r="3131" spans="1:13" x14ac:dyDescent="0.3">
      <c r="A3131" s="17">
        <v>101</v>
      </c>
      <c r="B3131" s="19">
        <v>101</v>
      </c>
      <c r="C3131" s="23">
        <v>1502.3119999999999</v>
      </c>
      <c r="D3131" s="23">
        <v>1502.085</v>
      </c>
      <c r="E3131" s="23">
        <v>1502.538</v>
      </c>
      <c r="F3131" s="4"/>
      <c r="G3131" s="4"/>
      <c r="H3131" s="28" t="s">
        <v>4709</v>
      </c>
      <c r="I3131" s="4"/>
      <c r="J3131" s="6">
        <v>0</v>
      </c>
      <c r="K3131" s="29" t="s">
        <v>3207</v>
      </c>
      <c r="L3131" s="4"/>
      <c r="M3131" s="3"/>
    </row>
    <row r="3132" spans="1:13" x14ac:dyDescent="0.3">
      <c r="A3132" s="18">
        <v>101</v>
      </c>
      <c r="B3132" s="20">
        <v>101</v>
      </c>
      <c r="C3132" s="24">
        <v>1502.7159999999999</v>
      </c>
      <c r="D3132" s="24">
        <v>1502.538</v>
      </c>
      <c r="E3132" s="24">
        <v>1502.893</v>
      </c>
      <c r="F3132" s="4"/>
      <c r="G3132" s="4"/>
      <c r="H3132" s="27" t="s">
        <v>4710</v>
      </c>
      <c r="I3132" s="4"/>
      <c r="J3132" s="6">
        <v>0</v>
      </c>
      <c r="K3132" s="30" t="s">
        <v>3207</v>
      </c>
      <c r="L3132" s="4"/>
      <c r="M3132" s="3"/>
    </row>
    <row r="3133" spans="1:13" x14ac:dyDescent="0.3">
      <c r="A3133" s="17">
        <v>101</v>
      </c>
      <c r="B3133" s="19">
        <v>101</v>
      </c>
      <c r="C3133" s="23">
        <v>1503.1780000000001</v>
      </c>
      <c r="D3133" s="23">
        <v>1502.893</v>
      </c>
      <c r="E3133" s="23">
        <v>1503.463</v>
      </c>
      <c r="F3133" s="4"/>
      <c r="G3133" s="4"/>
      <c r="H3133" s="28" t="s">
        <v>4711</v>
      </c>
      <c r="I3133" s="4"/>
      <c r="J3133" s="6">
        <v>0</v>
      </c>
      <c r="K3133" s="29" t="s">
        <v>3207</v>
      </c>
      <c r="L3133" s="4"/>
      <c r="M3133" s="3"/>
    </row>
    <row r="3134" spans="1:13" x14ac:dyDescent="0.3">
      <c r="A3134" s="18">
        <v>101</v>
      </c>
      <c r="B3134" s="20">
        <v>101</v>
      </c>
      <c r="C3134" s="24">
        <v>1503.5440000000001</v>
      </c>
      <c r="D3134" s="24">
        <v>1503.463</v>
      </c>
      <c r="E3134" s="24">
        <v>1503.625</v>
      </c>
      <c r="F3134" s="4"/>
      <c r="G3134" s="4"/>
      <c r="H3134" s="27" t="s">
        <v>4712</v>
      </c>
      <c r="I3134" s="4"/>
      <c r="J3134" s="6">
        <v>0</v>
      </c>
      <c r="K3134" s="30" t="s">
        <v>3207</v>
      </c>
      <c r="L3134" s="4"/>
      <c r="M3134" s="3"/>
    </row>
    <row r="3135" spans="1:13" x14ac:dyDescent="0.3">
      <c r="A3135" s="17">
        <v>101</v>
      </c>
      <c r="B3135" s="19">
        <v>101</v>
      </c>
      <c r="C3135" s="23">
        <v>1503.992</v>
      </c>
      <c r="D3135" s="23">
        <v>1503.625</v>
      </c>
      <c r="E3135" s="23">
        <v>1504.3579999999999</v>
      </c>
      <c r="F3135" s="4"/>
      <c r="G3135" s="4"/>
      <c r="H3135" s="28" t="s">
        <v>4713</v>
      </c>
      <c r="I3135" s="4"/>
      <c r="J3135" s="6">
        <v>0</v>
      </c>
      <c r="K3135" s="29" t="s">
        <v>3207</v>
      </c>
      <c r="L3135" s="4"/>
      <c r="M3135" s="3"/>
    </row>
    <row r="3136" spans="1:13" x14ac:dyDescent="0.3">
      <c r="A3136" s="18">
        <v>101</v>
      </c>
      <c r="B3136" s="20">
        <v>101</v>
      </c>
      <c r="C3136" s="24">
        <v>1504.4870000000001</v>
      </c>
      <c r="D3136" s="24">
        <v>1504.3579999999999</v>
      </c>
      <c r="E3136" s="24">
        <v>1504.615</v>
      </c>
      <c r="F3136" s="4"/>
      <c r="G3136" s="4"/>
      <c r="H3136" s="27" t="s">
        <v>4714</v>
      </c>
      <c r="I3136" s="4"/>
      <c r="J3136" s="6">
        <v>0</v>
      </c>
      <c r="K3136" s="30" t="s">
        <v>3207</v>
      </c>
      <c r="L3136" s="4"/>
      <c r="M3136" s="3"/>
    </row>
    <row r="3137" spans="1:13" x14ac:dyDescent="0.3">
      <c r="A3137" s="17">
        <v>101</v>
      </c>
      <c r="B3137" s="19">
        <v>101</v>
      </c>
      <c r="C3137" s="23">
        <v>1504.74</v>
      </c>
      <c r="D3137" s="23">
        <v>1504.615</v>
      </c>
      <c r="E3137" s="23">
        <v>1504.864</v>
      </c>
      <c r="F3137" s="4"/>
      <c r="G3137" s="4"/>
      <c r="H3137" s="28" t="s">
        <v>4715</v>
      </c>
      <c r="I3137" s="4"/>
      <c r="J3137" s="6">
        <v>0</v>
      </c>
      <c r="K3137" s="29" t="s">
        <v>3207</v>
      </c>
      <c r="L3137" s="4"/>
      <c r="M3137" s="3"/>
    </row>
    <row r="3138" spans="1:13" x14ac:dyDescent="0.3">
      <c r="A3138" s="18">
        <v>101</v>
      </c>
      <c r="B3138" s="20">
        <v>101</v>
      </c>
      <c r="C3138" s="24">
        <v>1504.8779999999999</v>
      </c>
      <c r="D3138" s="24">
        <v>1504.864</v>
      </c>
      <c r="E3138" s="24">
        <v>1504.8920000000001</v>
      </c>
      <c r="F3138" s="4"/>
      <c r="G3138" s="4"/>
      <c r="H3138" s="27" t="s">
        <v>4716</v>
      </c>
      <c r="I3138" s="4"/>
      <c r="J3138" s="6">
        <v>0</v>
      </c>
      <c r="K3138" s="30" t="s">
        <v>3207</v>
      </c>
      <c r="L3138" s="4"/>
      <c r="M3138" s="3"/>
    </row>
    <row r="3139" spans="1:13" x14ac:dyDescent="0.3">
      <c r="A3139" s="17">
        <v>101</v>
      </c>
      <c r="B3139" s="19">
        <v>101</v>
      </c>
      <c r="C3139" s="23">
        <v>1505.0219999999999</v>
      </c>
      <c r="D3139" s="23">
        <v>1504.8920000000001</v>
      </c>
      <c r="E3139" s="23">
        <v>1505.152</v>
      </c>
      <c r="F3139" s="4"/>
      <c r="G3139" s="4"/>
      <c r="H3139" s="28" t="s">
        <v>4717</v>
      </c>
      <c r="I3139" s="4"/>
      <c r="J3139" s="6">
        <v>0</v>
      </c>
      <c r="K3139" s="29" t="s">
        <v>3207</v>
      </c>
      <c r="L3139" s="4"/>
      <c r="M3139" s="3"/>
    </row>
    <row r="3140" spans="1:13" x14ac:dyDescent="0.3">
      <c r="A3140" s="18">
        <v>101</v>
      </c>
      <c r="B3140" s="20">
        <v>101</v>
      </c>
      <c r="C3140" s="24">
        <v>1505.1949999999999</v>
      </c>
      <c r="D3140" s="24">
        <v>1505.152</v>
      </c>
      <c r="E3140" s="24">
        <v>1505.2370000000001</v>
      </c>
      <c r="F3140" s="4"/>
      <c r="G3140" s="4"/>
      <c r="H3140" s="27" t="s">
        <v>4718</v>
      </c>
      <c r="I3140" s="4"/>
      <c r="J3140" s="6">
        <v>0</v>
      </c>
      <c r="K3140" s="30" t="s">
        <v>3207</v>
      </c>
      <c r="L3140" s="4"/>
      <c r="M3140" s="3"/>
    </row>
    <row r="3141" spans="1:13" x14ac:dyDescent="0.3">
      <c r="A3141" s="17">
        <v>101</v>
      </c>
      <c r="B3141" s="19">
        <v>101</v>
      </c>
      <c r="C3141" s="23">
        <v>1505.375</v>
      </c>
      <c r="D3141" s="23">
        <v>1505.2370000000001</v>
      </c>
      <c r="E3141" s="23">
        <v>1505.5129999999999</v>
      </c>
      <c r="F3141" s="4"/>
      <c r="G3141" s="4"/>
      <c r="H3141" s="28" t="s">
        <v>4719</v>
      </c>
      <c r="I3141" s="4"/>
      <c r="J3141" s="6">
        <v>0</v>
      </c>
      <c r="K3141" s="29" t="s">
        <v>3207</v>
      </c>
      <c r="L3141" s="4"/>
      <c r="M3141" s="3"/>
    </row>
    <row r="3142" spans="1:13" x14ac:dyDescent="0.3">
      <c r="A3142" s="18">
        <v>101</v>
      </c>
      <c r="B3142" s="20">
        <v>101</v>
      </c>
      <c r="C3142" s="24">
        <v>1505.556</v>
      </c>
      <c r="D3142" s="24">
        <v>1505.5129999999999</v>
      </c>
      <c r="E3142" s="24">
        <v>1505.598</v>
      </c>
      <c r="F3142" s="4"/>
      <c r="G3142" s="4"/>
      <c r="H3142" s="27" t="s">
        <v>4720</v>
      </c>
      <c r="I3142" s="4"/>
      <c r="J3142" s="6">
        <v>0</v>
      </c>
      <c r="K3142" s="30" t="s">
        <v>3207</v>
      </c>
      <c r="L3142" s="4"/>
      <c r="M3142" s="3"/>
    </row>
    <row r="3143" spans="1:13" x14ac:dyDescent="0.3">
      <c r="A3143" s="17">
        <v>101</v>
      </c>
      <c r="B3143" s="19">
        <v>101</v>
      </c>
      <c r="C3143" s="23">
        <v>1505.7380000000001</v>
      </c>
      <c r="D3143" s="23">
        <v>1505.598</v>
      </c>
      <c r="E3143" s="23">
        <v>1505.877</v>
      </c>
      <c r="F3143" s="4"/>
      <c r="G3143" s="4"/>
      <c r="H3143" s="28" t="s">
        <v>4721</v>
      </c>
      <c r="I3143" s="4"/>
      <c r="J3143" s="6">
        <v>0</v>
      </c>
      <c r="K3143" s="29" t="s">
        <v>3207</v>
      </c>
      <c r="L3143" s="4"/>
      <c r="M3143" s="3"/>
    </row>
    <row r="3144" spans="1:13" x14ac:dyDescent="0.3">
      <c r="A3144" s="18">
        <v>101</v>
      </c>
      <c r="B3144" s="20">
        <v>101</v>
      </c>
      <c r="C3144" s="24">
        <v>1506.038</v>
      </c>
      <c r="D3144" s="24">
        <v>1505.877</v>
      </c>
      <c r="E3144" s="24">
        <v>1506.1990000000001</v>
      </c>
      <c r="F3144" s="4"/>
      <c r="G3144" s="4"/>
      <c r="H3144" s="27" t="s">
        <v>4722</v>
      </c>
      <c r="I3144" s="4"/>
      <c r="J3144" s="6">
        <v>0</v>
      </c>
      <c r="K3144" s="30" t="s">
        <v>3207</v>
      </c>
      <c r="L3144" s="4"/>
      <c r="M3144" s="3"/>
    </row>
    <row r="3145" spans="1:13" x14ac:dyDescent="0.3">
      <c r="A3145" s="17">
        <v>101</v>
      </c>
      <c r="B3145" s="19">
        <v>101</v>
      </c>
      <c r="C3145" s="23">
        <v>1506.4390000000001</v>
      </c>
      <c r="D3145" s="23">
        <v>1506.1990000000001</v>
      </c>
      <c r="E3145" s="23">
        <v>1506.6780000000001</v>
      </c>
      <c r="F3145" s="4"/>
      <c r="G3145" s="4"/>
      <c r="H3145" s="28" t="s">
        <v>4723</v>
      </c>
      <c r="I3145" s="4"/>
      <c r="J3145" s="6">
        <v>0</v>
      </c>
      <c r="K3145" s="29" t="s">
        <v>3207</v>
      </c>
      <c r="L3145" s="4"/>
      <c r="M3145" s="3"/>
    </row>
    <row r="3146" spans="1:13" x14ac:dyDescent="0.3">
      <c r="A3146" s="18">
        <v>101</v>
      </c>
      <c r="B3146" s="20">
        <v>101</v>
      </c>
      <c r="C3146" s="24">
        <v>1506.771</v>
      </c>
      <c r="D3146" s="24">
        <v>1506.6780000000001</v>
      </c>
      <c r="E3146" s="24">
        <v>1506.8630000000001</v>
      </c>
      <c r="F3146" s="4"/>
      <c r="G3146" s="4"/>
      <c r="H3146" s="27" t="s">
        <v>4724</v>
      </c>
      <c r="I3146" s="4"/>
      <c r="J3146" s="6">
        <v>0</v>
      </c>
      <c r="K3146" s="30" t="s">
        <v>3207</v>
      </c>
      <c r="L3146" s="4"/>
      <c r="M3146" s="3"/>
    </row>
    <row r="3147" spans="1:13" x14ac:dyDescent="0.3">
      <c r="A3147" s="17">
        <v>101</v>
      </c>
      <c r="B3147" s="19">
        <v>101</v>
      </c>
      <c r="C3147" s="23">
        <v>1507.162</v>
      </c>
      <c r="D3147" s="23">
        <v>1506.8630000000001</v>
      </c>
      <c r="E3147" s="23">
        <v>1507.46</v>
      </c>
      <c r="F3147" s="4"/>
      <c r="G3147" s="4"/>
      <c r="H3147" s="28" t="s">
        <v>4725</v>
      </c>
      <c r="I3147" s="4"/>
      <c r="J3147" s="6">
        <v>0</v>
      </c>
      <c r="K3147" s="29" t="s">
        <v>3207</v>
      </c>
      <c r="L3147" s="4"/>
      <c r="M3147" s="3"/>
    </row>
    <row r="3148" spans="1:13" x14ac:dyDescent="0.3">
      <c r="A3148" s="18">
        <v>101</v>
      </c>
      <c r="B3148" s="20">
        <v>101</v>
      </c>
      <c r="C3148" s="24">
        <v>1507.575</v>
      </c>
      <c r="D3148" s="24">
        <v>1507.46</v>
      </c>
      <c r="E3148" s="24">
        <v>1507.6890000000001</v>
      </c>
      <c r="F3148" s="4"/>
      <c r="G3148" s="4"/>
      <c r="H3148" s="27" t="s">
        <v>4726</v>
      </c>
      <c r="I3148" s="4"/>
      <c r="J3148" s="6">
        <v>0</v>
      </c>
      <c r="K3148" s="30" t="s">
        <v>3207</v>
      </c>
      <c r="L3148" s="4"/>
      <c r="M3148" s="3"/>
    </row>
    <row r="3149" spans="1:13" x14ac:dyDescent="0.3">
      <c r="A3149" s="17">
        <v>101</v>
      </c>
      <c r="B3149" s="19">
        <v>101</v>
      </c>
      <c r="C3149" s="23">
        <v>1507.787</v>
      </c>
      <c r="D3149" s="23">
        <v>1507.6890000000001</v>
      </c>
      <c r="E3149" s="23">
        <v>1507.885</v>
      </c>
      <c r="F3149" s="4"/>
      <c r="G3149" s="4"/>
      <c r="H3149" s="28" t="s">
        <v>4727</v>
      </c>
      <c r="I3149" s="4"/>
      <c r="J3149" s="6">
        <v>0</v>
      </c>
      <c r="K3149" s="29" t="s">
        <v>3207</v>
      </c>
      <c r="L3149" s="4"/>
      <c r="M3149" s="3"/>
    </row>
    <row r="3150" spans="1:13" x14ac:dyDescent="0.3">
      <c r="A3150" s="18">
        <v>101</v>
      </c>
      <c r="B3150" s="20">
        <v>101</v>
      </c>
      <c r="C3150" s="24">
        <v>1508.1079999999999</v>
      </c>
      <c r="D3150" s="24">
        <v>1507.885</v>
      </c>
      <c r="E3150" s="24">
        <v>1508.33</v>
      </c>
      <c r="F3150" s="4"/>
      <c r="G3150" s="4"/>
      <c r="H3150" s="27" t="s">
        <v>4728</v>
      </c>
      <c r="I3150" s="4"/>
      <c r="J3150" s="6">
        <v>0</v>
      </c>
      <c r="K3150" s="30" t="s">
        <v>3207</v>
      </c>
      <c r="L3150" s="4"/>
      <c r="M3150" s="3"/>
    </row>
    <row r="3151" spans="1:13" x14ac:dyDescent="0.3">
      <c r="A3151" s="17">
        <v>101</v>
      </c>
      <c r="B3151" s="19">
        <v>101</v>
      </c>
      <c r="C3151" s="23">
        <v>1508.4059999999999</v>
      </c>
      <c r="D3151" s="23">
        <v>1508.33</v>
      </c>
      <c r="E3151" s="23">
        <v>1508.481</v>
      </c>
      <c r="F3151" s="4"/>
      <c r="G3151" s="4"/>
      <c r="H3151" s="28" t="s">
        <v>4729</v>
      </c>
      <c r="I3151" s="4"/>
      <c r="J3151" s="6">
        <v>0</v>
      </c>
      <c r="K3151" s="29" t="s">
        <v>3207</v>
      </c>
      <c r="L3151" s="4"/>
      <c r="M3151" s="3"/>
    </row>
    <row r="3152" spans="1:13" x14ac:dyDescent="0.3">
      <c r="A3152" s="18">
        <v>101</v>
      </c>
      <c r="B3152" s="20">
        <v>101</v>
      </c>
      <c r="C3152" s="24">
        <v>1508.5440000000001</v>
      </c>
      <c r="D3152" s="24">
        <v>1508.481</v>
      </c>
      <c r="E3152" s="24">
        <v>1508.606</v>
      </c>
      <c r="F3152" s="4"/>
      <c r="G3152" s="4"/>
      <c r="H3152" s="27" t="s">
        <v>4730</v>
      </c>
      <c r="I3152" s="4"/>
      <c r="J3152" s="6">
        <v>0</v>
      </c>
      <c r="K3152" s="30" t="s">
        <v>3207</v>
      </c>
      <c r="L3152" s="4"/>
      <c r="M3152" s="3"/>
    </row>
    <row r="3153" spans="1:13" x14ac:dyDescent="0.3">
      <c r="A3153" s="17">
        <v>101</v>
      </c>
      <c r="B3153" s="19">
        <v>101</v>
      </c>
      <c r="C3153" s="23">
        <v>1508.777</v>
      </c>
      <c r="D3153" s="23">
        <v>1508.606</v>
      </c>
      <c r="E3153" s="23">
        <v>1508.9480000000001</v>
      </c>
      <c r="F3153" s="4"/>
      <c r="G3153" s="4"/>
      <c r="H3153" s="28" t="s">
        <v>4731</v>
      </c>
      <c r="I3153" s="4"/>
      <c r="J3153" s="6">
        <v>0</v>
      </c>
      <c r="K3153" s="29" t="s">
        <v>3207</v>
      </c>
      <c r="L3153" s="4"/>
      <c r="M3153" s="3"/>
    </row>
    <row r="3154" spans="1:13" x14ac:dyDescent="0.3">
      <c r="A3154" s="18">
        <v>101</v>
      </c>
      <c r="B3154" s="20">
        <v>101</v>
      </c>
      <c r="C3154" s="24">
        <v>1508.973</v>
      </c>
      <c r="D3154" s="24">
        <v>1508.9480000000001</v>
      </c>
      <c r="E3154" s="24">
        <v>1508.998</v>
      </c>
      <c r="F3154" s="4"/>
      <c r="G3154" s="4"/>
      <c r="H3154" s="27" t="s">
        <v>4732</v>
      </c>
      <c r="I3154" s="4"/>
      <c r="J3154" s="6">
        <v>0</v>
      </c>
      <c r="K3154" s="30" t="s">
        <v>3207</v>
      </c>
      <c r="L3154" s="4"/>
      <c r="M3154" s="3"/>
    </row>
    <row r="3155" spans="1:13" x14ac:dyDescent="0.3">
      <c r="A3155" s="17">
        <v>101</v>
      </c>
      <c r="B3155" s="19">
        <v>101</v>
      </c>
      <c r="C3155" s="23">
        <v>1509.5340000000001</v>
      </c>
      <c r="D3155" s="23">
        <v>1508.998</v>
      </c>
      <c r="E3155" s="23">
        <v>1510.069</v>
      </c>
      <c r="F3155" s="4"/>
      <c r="G3155" s="4"/>
      <c r="H3155" s="28" t="s">
        <v>4733</v>
      </c>
      <c r="I3155" s="4"/>
      <c r="J3155" s="6">
        <v>0</v>
      </c>
      <c r="K3155" s="29" t="s">
        <v>3207</v>
      </c>
      <c r="L3155" s="4"/>
      <c r="M3155" s="3"/>
    </row>
    <row r="3156" spans="1:13" x14ac:dyDescent="0.3">
      <c r="A3156" s="18">
        <v>101</v>
      </c>
      <c r="B3156" s="20">
        <v>101</v>
      </c>
      <c r="C3156" s="24">
        <v>1510.2280000000001</v>
      </c>
      <c r="D3156" s="24">
        <v>1510.069</v>
      </c>
      <c r="E3156" s="24">
        <v>1510.386</v>
      </c>
      <c r="F3156" s="4"/>
      <c r="G3156" s="4"/>
      <c r="H3156" s="27" t="s">
        <v>4734</v>
      </c>
      <c r="I3156" s="4"/>
      <c r="J3156" s="6">
        <v>0</v>
      </c>
      <c r="K3156" s="30" t="s">
        <v>3207</v>
      </c>
      <c r="L3156" s="4"/>
      <c r="M3156" s="3"/>
    </row>
    <row r="3157" spans="1:13" x14ac:dyDescent="0.3">
      <c r="A3157" s="17">
        <v>101</v>
      </c>
      <c r="B3157" s="19">
        <v>101</v>
      </c>
      <c r="C3157" s="23">
        <v>1510.521</v>
      </c>
      <c r="D3157" s="23">
        <v>1510.386</v>
      </c>
      <c r="E3157" s="23">
        <v>1510.6559999999999</v>
      </c>
      <c r="F3157" s="4"/>
      <c r="G3157" s="4"/>
      <c r="H3157" s="28" t="s">
        <v>4735</v>
      </c>
      <c r="I3157" s="4"/>
      <c r="J3157" s="6">
        <v>0</v>
      </c>
      <c r="K3157" s="29" t="s">
        <v>3207</v>
      </c>
      <c r="L3157" s="4"/>
      <c r="M3157" s="3"/>
    </row>
    <row r="3158" spans="1:13" x14ac:dyDescent="0.3">
      <c r="A3158" s="18">
        <v>101</v>
      </c>
      <c r="B3158" s="20">
        <v>101</v>
      </c>
      <c r="C3158" s="24">
        <v>1510.9359999999999</v>
      </c>
      <c r="D3158" s="24">
        <v>1510.6559999999999</v>
      </c>
      <c r="E3158" s="24">
        <v>1511.2159999999999</v>
      </c>
      <c r="F3158" s="4"/>
      <c r="G3158" s="4"/>
      <c r="H3158" s="27" t="s">
        <v>4736</v>
      </c>
      <c r="I3158" s="4"/>
      <c r="J3158" s="6">
        <v>0</v>
      </c>
      <c r="K3158" s="30" t="s">
        <v>3207</v>
      </c>
      <c r="L3158" s="4"/>
      <c r="M3158" s="3"/>
    </row>
    <row r="3159" spans="1:13" x14ac:dyDescent="0.3">
      <c r="A3159" s="17">
        <v>101</v>
      </c>
      <c r="B3159" s="19">
        <v>101</v>
      </c>
      <c r="C3159" s="23">
        <v>1511.4570000000001</v>
      </c>
      <c r="D3159" s="23">
        <v>1511.2159999999999</v>
      </c>
      <c r="E3159" s="23">
        <v>1511.6969999999999</v>
      </c>
      <c r="F3159" s="4"/>
      <c r="G3159" s="4"/>
      <c r="H3159" s="28" t="s">
        <v>4737</v>
      </c>
      <c r="I3159" s="4"/>
      <c r="J3159" s="6">
        <v>0</v>
      </c>
      <c r="K3159" s="29" t="s">
        <v>3207</v>
      </c>
      <c r="L3159" s="4"/>
      <c r="M3159" s="3"/>
    </row>
    <row r="3160" spans="1:13" x14ac:dyDescent="0.3">
      <c r="A3160" s="18">
        <v>101</v>
      </c>
      <c r="B3160" s="20">
        <v>101</v>
      </c>
      <c r="C3160" s="24">
        <v>1512.232</v>
      </c>
      <c r="D3160" s="24">
        <v>1511.6969999999999</v>
      </c>
      <c r="E3160" s="24">
        <v>1512.7660000000001</v>
      </c>
      <c r="F3160" s="4"/>
      <c r="G3160" s="4"/>
      <c r="H3160" s="27" t="s">
        <v>4738</v>
      </c>
      <c r="I3160" s="4"/>
      <c r="J3160" s="6">
        <v>0</v>
      </c>
      <c r="K3160" s="30" t="s">
        <v>3207</v>
      </c>
      <c r="L3160" s="4"/>
      <c r="M3160" s="3"/>
    </row>
    <row r="3161" spans="1:13" x14ac:dyDescent="0.3">
      <c r="A3161" s="17">
        <v>101</v>
      </c>
      <c r="B3161" s="19">
        <v>101</v>
      </c>
      <c r="C3161" s="23">
        <v>1512.963</v>
      </c>
      <c r="D3161" s="23">
        <v>1512.7660000000001</v>
      </c>
      <c r="E3161" s="23">
        <v>1513.1590000000001</v>
      </c>
      <c r="F3161" s="4"/>
      <c r="G3161" s="4"/>
      <c r="H3161" s="28" t="s">
        <v>4739</v>
      </c>
      <c r="I3161" s="4"/>
      <c r="J3161" s="6">
        <v>0</v>
      </c>
      <c r="K3161" s="29" t="s">
        <v>3207</v>
      </c>
      <c r="L3161" s="4"/>
      <c r="M3161" s="3"/>
    </row>
    <row r="3162" spans="1:13" x14ac:dyDescent="0.3">
      <c r="A3162" s="18">
        <v>101</v>
      </c>
      <c r="B3162" s="20">
        <v>101</v>
      </c>
      <c r="C3162" s="24">
        <v>1513.68</v>
      </c>
      <c r="D3162" s="24">
        <v>1513.1590000000001</v>
      </c>
      <c r="E3162" s="24">
        <v>1514.201</v>
      </c>
      <c r="F3162" s="4"/>
      <c r="G3162" s="4"/>
      <c r="H3162" s="27" t="s">
        <v>4740</v>
      </c>
      <c r="I3162" s="4"/>
      <c r="J3162" s="6">
        <v>0</v>
      </c>
      <c r="K3162" s="30" t="s">
        <v>3207</v>
      </c>
      <c r="L3162" s="4"/>
      <c r="M3162" s="3"/>
    </row>
    <row r="3163" spans="1:13" x14ac:dyDescent="0.3">
      <c r="A3163" s="17">
        <v>101</v>
      </c>
      <c r="B3163" s="19">
        <v>101</v>
      </c>
      <c r="C3163" s="23">
        <v>1514.3869999999999</v>
      </c>
      <c r="D3163" s="23">
        <v>1514.201</v>
      </c>
      <c r="E3163" s="23">
        <v>1514.5730000000001</v>
      </c>
      <c r="F3163" s="4"/>
      <c r="G3163" s="4"/>
      <c r="H3163" s="28" t="s">
        <v>4741</v>
      </c>
      <c r="I3163" s="4"/>
      <c r="J3163" s="6">
        <v>0</v>
      </c>
      <c r="K3163" s="29" t="s">
        <v>3207</v>
      </c>
      <c r="L3163" s="4"/>
      <c r="M3163" s="3"/>
    </row>
    <row r="3164" spans="1:13" x14ac:dyDescent="0.3">
      <c r="A3164" s="18">
        <v>101</v>
      </c>
      <c r="B3164" s="20">
        <v>101</v>
      </c>
      <c r="C3164" s="24">
        <v>1514.6389999999999</v>
      </c>
      <c r="D3164" s="24">
        <v>1514.5730000000001</v>
      </c>
      <c r="E3164" s="24">
        <v>1514.704</v>
      </c>
      <c r="F3164" s="4"/>
      <c r="G3164" s="4"/>
      <c r="H3164" s="27" t="s">
        <v>4742</v>
      </c>
      <c r="I3164" s="4"/>
      <c r="J3164" s="6">
        <v>0</v>
      </c>
      <c r="K3164" s="30" t="s">
        <v>3207</v>
      </c>
      <c r="L3164" s="4"/>
      <c r="M3164" s="3"/>
    </row>
    <row r="3165" spans="1:13" x14ac:dyDescent="0.3">
      <c r="A3165" s="17">
        <v>101</v>
      </c>
      <c r="B3165" s="19">
        <v>101</v>
      </c>
      <c r="C3165" s="23">
        <v>1514.876</v>
      </c>
      <c r="D3165" s="23">
        <v>1514.704</v>
      </c>
      <c r="E3165" s="23">
        <v>1515.047</v>
      </c>
      <c r="F3165" s="4"/>
      <c r="G3165" s="4"/>
      <c r="H3165" s="28" t="s">
        <v>4743</v>
      </c>
      <c r="I3165" s="4"/>
      <c r="J3165" s="6">
        <v>0</v>
      </c>
      <c r="K3165" s="29" t="s">
        <v>3207</v>
      </c>
      <c r="L3165" s="4"/>
      <c r="M3165" s="3"/>
    </row>
    <row r="3166" spans="1:13" x14ac:dyDescent="0.3">
      <c r="A3166" s="18">
        <v>101</v>
      </c>
      <c r="B3166" s="20">
        <v>101</v>
      </c>
      <c r="C3166" s="24">
        <v>1515.1690000000001</v>
      </c>
      <c r="D3166" s="24">
        <v>1515.047</v>
      </c>
      <c r="E3166" s="24">
        <v>1515.2909999999999</v>
      </c>
      <c r="F3166" s="4"/>
      <c r="G3166" s="4"/>
      <c r="H3166" s="27" t="s">
        <v>4744</v>
      </c>
      <c r="I3166" s="4"/>
      <c r="J3166" s="6">
        <v>0</v>
      </c>
      <c r="K3166" s="30" t="s">
        <v>3207</v>
      </c>
      <c r="L3166" s="4"/>
      <c r="M3166" s="3"/>
    </row>
    <row r="3167" spans="1:13" x14ac:dyDescent="0.3">
      <c r="A3167" s="17">
        <v>101</v>
      </c>
      <c r="B3167" s="19">
        <v>101</v>
      </c>
      <c r="C3167" s="23">
        <v>1515.4549999999999</v>
      </c>
      <c r="D3167" s="23">
        <v>1515.2909999999999</v>
      </c>
      <c r="E3167" s="23">
        <v>1515.6179999999999</v>
      </c>
      <c r="F3167" s="4"/>
      <c r="G3167" s="4"/>
      <c r="H3167" s="28" t="s">
        <v>4745</v>
      </c>
      <c r="I3167" s="4"/>
      <c r="J3167" s="6">
        <v>0</v>
      </c>
      <c r="K3167" s="29" t="s">
        <v>3207</v>
      </c>
      <c r="L3167" s="4"/>
      <c r="M3167" s="3"/>
    </row>
    <row r="3168" spans="1:13" x14ac:dyDescent="0.3">
      <c r="A3168" s="18">
        <v>101</v>
      </c>
      <c r="B3168" s="20">
        <v>101</v>
      </c>
      <c r="C3168" s="24">
        <v>1515.934</v>
      </c>
      <c r="D3168" s="24">
        <v>1515.6179999999999</v>
      </c>
      <c r="E3168" s="24">
        <v>1516.25</v>
      </c>
      <c r="F3168" s="4"/>
      <c r="G3168" s="4"/>
      <c r="H3168" s="27" t="s">
        <v>4746</v>
      </c>
      <c r="I3168" s="4"/>
      <c r="J3168" s="6">
        <v>0</v>
      </c>
      <c r="K3168" s="30" t="s">
        <v>3207</v>
      </c>
      <c r="L3168" s="4"/>
      <c r="M3168" s="3"/>
    </row>
    <row r="3169" spans="1:13" x14ac:dyDescent="0.3">
      <c r="A3169" s="17">
        <v>101</v>
      </c>
      <c r="B3169" s="19">
        <v>101</v>
      </c>
      <c r="C3169" s="23">
        <v>1516.3879999999999</v>
      </c>
      <c r="D3169" s="23">
        <v>1516.25</v>
      </c>
      <c r="E3169" s="23">
        <v>1516.5250000000001</v>
      </c>
      <c r="F3169" s="4"/>
      <c r="G3169" s="4"/>
      <c r="H3169" s="28" t="s">
        <v>4747</v>
      </c>
      <c r="I3169" s="4"/>
      <c r="J3169" s="6">
        <v>0</v>
      </c>
      <c r="K3169" s="29" t="s">
        <v>3207</v>
      </c>
      <c r="L3169" s="4"/>
      <c r="M3169" s="3"/>
    </row>
    <row r="3170" spans="1:13" x14ac:dyDescent="0.3">
      <c r="A3170" s="18">
        <v>101</v>
      </c>
      <c r="B3170" s="20">
        <v>101</v>
      </c>
      <c r="C3170" s="24">
        <v>1516.549</v>
      </c>
      <c r="D3170" s="24">
        <v>1516.5250000000001</v>
      </c>
      <c r="E3170" s="24">
        <v>1516.5719999999999</v>
      </c>
      <c r="F3170" s="4"/>
      <c r="G3170" s="4"/>
      <c r="H3170" s="27" t="s">
        <v>4748</v>
      </c>
      <c r="I3170" s="4"/>
      <c r="J3170" s="6">
        <v>0</v>
      </c>
      <c r="K3170" s="30" t="s">
        <v>3207</v>
      </c>
      <c r="L3170" s="4"/>
      <c r="M3170" s="3"/>
    </row>
    <row r="3171" spans="1:13" x14ac:dyDescent="0.3">
      <c r="A3171" s="17">
        <v>101</v>
      </c>
      <c r="B3171" s="19">
        <v>101</v>
      </c>
      <c r="C3171" s="23">
        <v>1516.7670000000001</v>
      </c>
      <c r="D3171" s="23">
        <v>1516.5719999999999</v>
      </c>
      <c r="E3171" s="23">
        <v>1516.961</v>
      </c>
      <c r="F3171" s="4"/>
      <c r="G3171" s="4"/>
      <c r="H3171" s="28" t="s">
        <v>4749</v>
      </c>
      <c r="I3171" s="4"/>
      <c r="J3171" s="6">
        <v>0</v>
      </c>
      <c r="K3171" s="29" t="s">
        <v>3207</v>
      </c>
      <c r="L3171" s="4"/>
      <c r="M3171" s="3"/>
    </row>
    <row r="3172" spans="1:13" x14ac:dyDescent="0.3">
      <c r="A3172" s="18">
        <v>101</v>
      </c>
      <c r="B3172" s="20">
        <v>101</v>
      </c>
      <c r="C3172" s="24">
        <v>1517.0730000000001</v>
      </c>
      <c r="D3172" s="24">
        <v>1516.961</v>
      </c>
      <c r="E3172" s="24">
        <v>1517.1849999999999</v>
      </c>
      <c r="F3172" s="4"/>
      <c r="G3172" s="4"/>
      <c r="H3172" s="27" t="s">
        <v>4750</v>
      </c>
      <c r="I3172" s="4"/>
      <c r="J3172" s="6">
        <v>0</v>
      </c>
      <c r="K3172" s="30" t="s">
        <v>3207</v>
      </c>
      <c r="L3172" s="4"/>
      <c r="M3172" s="3"/>
    </row>
    <row r="3173" spans="1:13" x14ac:dyDescent="0.3">
      <c r="A3173" s="17">
        <v>101</v>
      </c>
      <c r="B3173" s="19">
        <v>101</v>
      </c>
      <c r="C3173" s="23">
        <v>1517.3910000000001</v>
      </c>
      <c r="D3173" s="23">
        <v>1517.1849999999999</v>
      </c>
      <c r="E3173" s="23">
        <v>1517.596</v>
      </c>
      <c r="F3173" s="4"/>
      <c r="G3173" s="4"/>
      <c r="H3173" s="28" t="s">
        <v>4751</v>
      </c>
      <c r="I3173" s="4"/>
      <c r="J3173" s="6">
        <v>0</v>
      </c>
      <c r="K3173" s="29" t="s">
        <v>3207</v>
      </c>
      <c r="L3173" s="4"/>
      <c r="M3173" s="3"/>
    </row>
    <row r="3174" spans="1:13" x14ac:dyDescent="0.3">
      <c r="A3174" s="18">
        <v>101</v>
      </c>
      <c r="B3174" s="20">
        <v>101</v>
      </c>
      <c r="C3174" s="24">
        <v>1517.644</v>
      </c>
      <c r="D3174" s="24">
        <v>1517.596</v>
      </c>
      <c r="E3174" s="24">
        <v>1517.692</v>
      </c>
      <c r="F3174" s="4"/>
      <c r="G3174" s="4"/>
      <c r="H3174" s="27" t="s">
        <v>4752</v>
      </c>
      <c r="I3174" s="4"/>
      <c r="J3174" s="6">
        <v>0</v>
      </c>
      <c r="K3174" s="30" t="s">
        <v>3207</v>
      </c>
      <c r="L3174" s="4"/>
      <c r="M3174" s="3"/>
    </row>
    <row r="3175" spans="1:13" x14ac:dyDescent="0.3">
      <c r="A3175" s="17">
        <v>101</v>
      </c>
      <c r="B3175" s="19">
        <v>101</v>
      </c>
      <c r="C3175" s="23">
        <v>1517.8510000000001</v>
      </c>
      <c r="D3175" s="23">
        <v>1517.692</v>
      </c>
      <c r="E3175" s="23">
        <v>1518.009</v>
      </c>
      <c r="F3175" s="4"/>
      <c r="G3175" s="4"/>
      <c r="H3175" s="28" t="s">
        <v>4753</v>
      </c>
      <c r="I3175" s="4"/>
      <c r="J3175" s="6">
        <v>0</v>
      </c>
      <c r="K3175" s="29" t="s">
        <v>3207</v>
      </c>
      <c r="L3175" s="4"/>
      <c r="M3175" s="3"/>
    </row>
    <row r="3176" spans="1:13" x14ac:dyDescent="0.3">
      <c r="A3176" s="18">
        <v>101</v>
      </c>
      <c r="B3176" s="20">
        <v>101</v>
      </c>
      <c r="C3176" s="24">
        <v>1518.0409999999999</v>
      </c>
      <c r="D3176" s="24">
        <v>1518.009</v>
      </c>
      <c r="E3176" s="24">
        <v>1518.0719999999999</v>
      </c>
      <c r="F3176" s="4"/>
      <c r="G3176" s="4"/>
      <c r="H3176" s="27" t="s">
        <v>4754</v>
      </c>
      <c r="I3176" s="4"/>
      <c r="J3176" s="6">
        <v>0</v>
      </c>
      <c r="K3176" s="30" t="s">
        <v>3207</v>
      </c>
      <c r="L3176" s="4"/>
      <c r="M3176" s="3"/>
    </row>
    <row r="3177" spans="1:13" x14ac:dyDescent="0.3">
      <c r="A3177" s="17">
        <v>101</v>
      </c>
      <c r="B3177" s="19">
        <v>101</v>
      </c>
      <c r="C3177" s="23">
        <v>1518.1659999999999</v>
      </c>
      <c r="D3177" s="23">
        <v>1518.0719999999999</v>
      </c>
      <c r="E3177" s="23">
        <v>1518.259</v>
      </c>
      <c r="F3177" s="4"/>
      <c r="G3177" s="4"/>
      <c r="H3177" s="28" t="s">
        <v>4755</v>
      </c>
      <c r="I3177" s="4"/>
      <c r="J3177" s="6">
        <v>0</v>
      </c>
      <c r="K3177" s="29" t="s">
        <v>3207</v>
      </c>
      <c r="L3177" s="4"/>
      <c r="M3177" s="3"/>
    </row>
    <row r="3178" spans="1:13" x14ac:dyDescent="0.3">
      <c r="A3178" s="18">
        <v>101</v>
      </c>
      <c r="B3178" s="20">
        <v>101</v>
      </c>
      <c r="C3178" s="24">
        <v>1518.278</v>
      </c>
      <c r="D3178" s="24">
        <v>1518.259</v>
      </c>
      <c r="E3178" s="24">
        <v>1518.296</v>
      </c>
      <c r="F3178" s="4"/>
      <c r="G3178" s="4"/>
      <c r="H3178" s="27" t="s">
        <v>4756</v>
      </c>
      <c r="I3178" s="4"/>
      <c r="J3178" s="6">
        <v>0</v>
      </c>
      <c r="K3178" s="30" t="s">
        <v>3207</v>
      </c>
      <c r="L3178" s="4"/>
      <c r="M3178" s="3"/>
    </row>
    <row r="3179" spans="1:13" x14ac:dyDescent="0.3">
      <c r="A3179" s="17">
        <v>101</v>
      </c>
      <c r="B3179" s="19">
        <v>101</v>
      </c>
      <c r="C3179" s="23">
        <v>1518.4770000000001</v>
      </c>
      <c r="D3179" s="23">
        <v>1518.296</v>
      </c>
      <c r="E3179" s="23">
        <v>1518.6579999999999</v>
      </c>
      <c r="F3179" s="4"/>
      <c r="G3179" s="4"/>
      <c r="H3179" s="28" t="s">
        <v>4757</v>
      </c>
      <c r="I3179" s="4"/>
      <c r="J3179" s="6">
        <v>0</v>
      </c>
      <c r="K3179" s="29" t="s">
        <v>3207</v>
      </c>
      <c r="L3179" s="4"/>
      <c r="M3179" s="3"/>
    </row>
    <row r="3180" spans="1:13" x14ac:dyDescent="0.3">
      <c r="A3180" s="18">
        <v>101</v>
      </c>
      <c r="B3180" s="20">
        <v>101</v>
      </c>
      <c r="C3180" s="24">
        <v>1518.68</v>
      </c>
      <c r="D3180" s="24">
        <v>1518.6579999999999</v>
      </c>
      <c r="E3180" s="24">
        <v>1518.702</v>
      </c>
      <c r="F3180" s="4"/>
      <c r="G3180" s="4"/>
      <c r="H3180" s="27" t="s">
        <v>4758</v>
      </c>
      <c r="I3180" s="4"/>
      <c r="J3180" s="6">
        <v>0</v>
      </c>
      <c r="K3180" s="30" t="s">
        <v>3207</v>
      </c>
      <c r="L3180" s="4"/>
      <c r="M3180" s="3"/>
    </row>
    <row r="3181" spans="1:13" x14ac:dyDescent="0.3">
      <c r="A3181" s="17">
        <v>101</v>
      </c>
      <c r="B3181" s="19">
        <v>101</v>
      </c>
      <c r="C3181" s="23">
        <v>1519.0730000000001</v>
      </c>
      <c r="D3181" s="23">
        <v>1518.702</v>
      </c>
      <c r="E3181" s="23">
        <v>1519.443</v>
      </c>
      <c r="F3181" s="4"/>
      <c r="G3181" s="4"/>
      <c r="H3181" s="28" t="s">
        <v>4759</v>
      </c>
      <c r="I3181" s="4"/>
      <c r="J3181" s="6">
        <v>0</v>
      </c>
      <c r="K3181" s="29" t="s">
        <v>3207</v>
      </c>
      <c r="L3181" s="4"/>
      <c r="M3181" s="3"/>
    </row>
    <row r="3182" spans="1:13" x14ac:dyDescent="0.3">
      <c r="A3182" s="18">
        <v>101</v>
      </c>
      <c r="B3182" s="20">
        <v>101</v>
      </c>
      <c r="C3182" s="24">
        <v>1519.4929999999999</v>
      </c>
      <c r="D3182" s="24">
        <v>1519.443</v>
      </c>
      <c r="E3182" s="24">
        <v>1519.5419999999999</v>
      </c>
      <c r="F3182" s="4"/>
      <c r="G3182" s="4"/>
      <c r="H3182" s="27" t="s">
        <v>4760</v>
      </c>
      <c r="I3182" s="4"/>
      <c r="J3182" s="6">
        <v>0</v>
      </c>
      <c r="K3182" s="30" t="s">
        <v>3207</v>
      </c>
      <c r="L3182" s="4"/>
      <c r="M3182" s="3"/>
    </row>
    <row r="3183" spans="1:13" x14ac:dyDescent="0.3">
      <c r="A3183" s="17">
        <v>101</v>
      </c>
      <c r="B3183" s="19">
        <v>101</v>
      </c>
      <c r="C3183" s="23">
        <v>1519.8910000000001</v>
      </c>
      <c r="D3183" s="23">
        <v>1519.5419999999999</v>
      </c>
      <c r="E3183" s="23">
        <v>1520.239</v>
      </c>
      <c r="F3183" s="4"/>
      <c r="G3183" s="4"/>
      <c r="H3183" s="28" t="s">
        <v>4761</v>
      </c>
      <c r="I3183" s="4"/>
      <c r="J3183" s="6">
        <v>0</v>
      </c>
      <c r="K3183" s="29" t="s">
        <v>3207</v>
      </c>
      <c r="L3183" s="4"/>
      <c r="M3183" s="3"/>
    </row>
    <row r="3184" spans="1:13" x14ac:dyDescent="0.3">
      <c r="A3184" s="18">
        <v>101</v>
      </c>
      <c r="B3184" s="20">
        <v>101</v>
      </c>
      <c r="C3184" s="24">
        <v>1520.3230000000001</v>
      </c>
      <c r="D3184" s="24">
        <v>1520.239</v>
      </c>
      <c r="E3184" s="24">
        <v>1520.4069999999999</v>
      </c>
      <c r="F3184" s="4"/>
      <c r="G3184" s="4"/>
      <c r="H3184" s="27" t="s">
        <v>4762</v>
      </c>
      <c r="I3184" s="4"/>
      <c r="J3184" s="6">
        <v>0</v>
      </c>
      <c r="K3184" s="30" t="s">
        <v>3207</v>
      </c>
      <c r="L3184" s="4"/>
      <c r="M3184" s="3"/>
    </row>
    <row r="3185" spans="1:13" x14ac:dyDescent="0.3">
      <c r="A3185" s="17">
        <v>101</v>
      </c>
      <c r="B3185" s="19">
        <v>101</v>
      </c>
      <c r="C3185" s="23">
        <v>1520.633</v>
      </c>
      <c r="D3185" s="23">
        <v>1520.4069999999999</v>
      </c>
      <c r="E3185" s="23">
        <v>1520.8589999999999</v>
      </c>
      <c r="F3185" s="4"/>
      <c r="G3185" s="4"/>
      <c r="H3185" s="28" t="s">
        <v>4763</v>
      </c>
      <c r="I3185" s="4"/>
      <c r="J3185" s="6">
        <v>0</v>
      </c>
      <c r="K3185" s="29" t="s">
        <v>3207</v>
      </c>
      <c r="L3185" s="4"/>
      <c r="M3185" s="3"/>
    </row>
    <row r="3186" spans="1:13" x14ac:dyDescent="0.3">
      <c r="A3186" s="18">
        <v>101</v>
      </c>
      <c r="B3186" s="20">
        <v>101</v>
      </c>
      <c r="C3186" s="24">
        <v>1520.9839999999999</v>
      </c>
      <c r="D3186" s="24">
        <v>1520.8589999999999</v>
      </c>
      <c r="E3186" s="24">
        <v>1521.1079999999999</v>
      </c>
      <c r="F3186" s="4"/>
      <c r="G3186" s="4"/>
      <c r="H3186" s="27" t="s">
        <v>4764</v>
      </c>
      <c r="I3186" s="4"/>
      <c r="J3186" s="6">
        <v>0</v>
      </c>
      <c r="K3186" s="30" t="s">
        <v>3207</v>
      </c>
      <c r="L3186" s="4"/>
      <c r="M3186" s="3"/>
    </row>
    <row r="3187" spans="1:13" x14ac:dyDescent="0.3">
      <c r="A3187" s="17">
        <v>101</v>
      </c>
      <c r="B3187" s="19">
        <v>101</v>
      </c>
      <c r="C3187" s="23">
        <v>1521.299</v>
      </c>
      <c r="D3187" s="23">
        <v>1521.1079999999999</v>
      </c>
      <c r="E3187" s="23">
        <v>1521.49</v>
      </c>
      <c r="F3187" s="4"/>
      <c r="G3187" s="4"/>
      <c r="H3187" s="28" t="s">
        <v>4765</v>
      </c>
      <c r="I3187" s="4"/>
      <c r="J3187" s="6">
        <v>0</v>
      </c>
      <c r="K3187" s="29" t="s">
        <v>3207</v>
      </c>
      <c r="L3187" s="4"/>
      <c r="M3187" s="3"/>
    </row>
    <row r="3188" spans="1:13" x14ac:dyDescent="0.3">
      <c r="A3188" s="18">
        <v>101</v>
      </c>
      <c r="B3188" s="20">
        <v>101</v>
      </c>
      <c r="C3188" s="24">
        <v>1521.5350000000001</v>
      </c>
      <c r="D3188" s="24">
        <v>1521.49</v>
      </c>
      <c r="E3188" s="24">
        <v>1521.58</v>
      </c>
      <c r="F3188" s="4"/>
      <c r="G3188" s="4"/>
      <c r="H3188" s="27" t="s">
        <v>4766</v>
      </c>
      <c r="I3188" s="4"/>
      <c r="J3188" s="6">
        <v>0</v>
      </c>
      <c r="K3188" s="30" t="s">
        <v>3207</v>
      </c>
      <c r="L3188" s="4"/>
      <c r="M3188" s="3"/>
    </row>
    <row r="3189" spans="1:13" x14ac:dyDescent="0.3">
      <c r="A3189" s="17">
        <v>101</v>
      </c>
      <c r="B3189" s="19">
        <v>101</v>
      </c>
      <c r="C3189" s="23">
        <v>1521.778</v>
      </c>
      <c r="D3189" s="23">
        <v>1521.58</v>
      </c>
      <c r="E3189" s="23">
        <v>1521.9749999999999</v>
      </c>
      <c r="F3189" s="4"/>
      <c r="G3189" s="4"/>
      <c r="H3189" s="28" t="s">
        <v>4767</v>
      </c>
      <c r="I3189" s="4"/>
      <c r="J3189" s="6">
        <v>0</v>
      </c>
      <c r="K3189" s="29" t="s">
        <v>3207</v>
      </c>
      <c r="L3189" s="4"/>
      <c r="M3189" s="3"/>
    </row>
    <row r="3190" spans="1:13" x14ac:dyDescent="0.3">
      <c r="A3190" s="18">
        <v>101</v>
      </c>
      <c r="B3190" s="20">
        <v>101</v>
      </c>
      <c r="C3190" s="24">
        <v>1522.107</v>
      </c>
      <c r="D3190" s="24">
        <v>1521.9749999999999</v>
      </c>
      <c r="E3190" s="24">
        <v>1522.239</v>
      </c>
      <c r="F3190" s="4"/>
      <c r="G3190" s="4"/>
      <c r="H3190" s="27" t="s">
        <v>4768</v>
      </c>
      <c r="I3190" s="4"/>
      <c r="J3190" s="6">
        <v>0</v>
      </c>
      <c r="K3190" s="30" t="s">
        <v>3207</v>
      </c>
      <c r="L3190" s="4"/>
      <c r="M3190" s="3"/>
    </row>
    <row r="3191" spans="1:13" x14ac:dyDescent="0.3">
      <c r="A3191" s="17">
        <v>101</v>
      </c>
      <c r="B3191" s="19">
        <v>101</v>
      </c>
      <c r="C3191" s="23">
        <v>1522.4680000000001</v>
      </c>
      <c r="D3191" s="23">
        <v>1522.239</v>
      </c>
      <c r="E3191" s="23">
        <v>1522.6959999999999</v>
      </c>
      <c r="F3191" s="4"/>
      <c r="G3191" s="4"/>
      <c r="H3191" s="28" t="s">
        <v>4769</v>
      </c>
      <c r="I3191" s="4"/>
      <c r="J3191" s="6">
        <v>0</v>
      </c>
      <c r="K3191" s="29" t="s">
        <v>3207</v>
      </c>
      <c r="L3191" s="4"/>
      <c r="M3191" s="3"/>
    </row>
    <row r="3192" spans="1:13" x14ac:dyDescent="0.3">
      <c r="A3192" s="18">
        <v>101</v>
      </c>
      <c r="B3192" s="20">
        <v>101</v>
      </c>
      <c r="C3192" s="24">
        <v>1522.7180000000001</v>
      </c>
      <c r="D3192" s="24">
        <v>1522.6959999999999</v>
      </c>
      <c r="E3192" s="24">
        <v>1522.74</v>
      </c>
      <c r="F3192" s="4"/>
      <c r="G3192" s="4"/>
      <c r="H3192" s="27" t="s">
        <v>4770</v>
      </c>
      <c r="I3192" s="4"/>
      <c r="J3192" s="6">
        <v>0</v>
      </c>
      <c r="K3192" s="30" t="s">
        <v>3207</v>
      </c>
      <c r="L3192" s="4"/>
      <c r="M3192" s="3"/>
    </row>
    <row r="3193" spans="1:13" x14ac:dyDescent="0.3">
      <c r="A3193" s="17">
        <v>101</v>
      </c>
      <c r="B3193" s="19">
        <v>101</v>
      </c>
      <c r="C3193" s="23">
        <v>1522.9749999999999</v>
      </c>
      <c r="D3193" s="23">
        <v>1522.74</v>
      </c>
      <c r="E3193" s="23">
        <v>1523.2090000000001</v>
      </c>
      <c r="F3193" s="4"/>
      <c r="G3193" s="4"/>
      <c r="H3193" s="28" t="s">
        <v>4771</v>
      </c>
      <c r="I3193" s="4"/>
      <c r="J3193" s="6">
        <v>0</v>
      </c>
      <c r="K3193" s="29" t="s">
        <v>3207</v>
      </c>
      <c r="L3193" s="4"/>
      <c r="M3193" s="3"/>
    </row>
    <row r="3194" spans="1:13" x14ac:dyDescent="0.3">
      <c r="A3194" s="18">
        <v>101</v>
      </c>
      <c r="B3194" s="20">
        <v>101</v>
      </c>
      <c r="C3194" s="24">
        <v>1523.3119999999999</v>
      </c>
      <c r="D3194" s="24">
        <v>1523.2090000000001</v>
      </c>
      <c r="E3194" s="24">
        <v>1523.415</v>
      </c>
      <c r="F3194" s="4"/>
      <c r="G3194" s="4"/>
      <c r="H3194" s="27" t="s">
        <v>4772</v>
      </c>
      <c r="I3194" s="4"/>
      <c r="J3194" s="6">
        <v>0</v>
      </c>
      <c r="K3194" s="30" t="s">
        <v>3207</v>
      </c>
      <c r="L3194" s="4"/>
      <c r="M3194" s="3"/>
    </row>
    <row r="3195" spans="1:13" x14ac:dyDescent="0.3">
      <c r="A3195" s="17">
        <v>101</v>
      </c>
      <c r="B3195" s="19">
        <v>101</v>
      </c>
      <c r="C3195" s="23">
        <v>1523.6210000000001</v>
      </c>
      <c r="D3195" s="23">
        <v>1523.415</v>
      </c>
      <c r="E3195" s="23">
        <v>1523.826</v>
      </c>
      <c r="F3195" s="4"/>
      <c r="G3195" s="4"/>
      <c r="H3195" s="28" t="s">
        <v>4773</v>
      </c>
      <c r="I3195" s="4"/>
      <c r="J3195" s="6">
        <v>0</v>
      </c>
      <c r="K3195" s="29" t="s">
        <v>3207</v>
      </c>
      <c r="L3195" s="4"/>
      <c r="M3195" s="3"/>
    </row>
    <row r="3196" spans="1:13" x14ac:dyDescent="0.3">
      <c r="A3196" s="18">
        <v>101</v>
      </c>
      <c r="B3196" s="20">
        <v>101</v>
      </c>
      <c r="C3196" s="24">
        <v>1523.876</v>
      </c>
      <c r="D3196" s="24">
        <v>1523.826</v>
      </c>
      <c r="E3196" s="24">
        <v>1523.925</v>
      </c>
      <c r="F3196" s="4"/>
      <c r="G3196" s="4"/>
      <c r="H3196" s="27" t="s">
        <v>4774</v>
      </c>
      <c r="I3196" s="4"/>
      <c r="J3196" s="6">
        <v>0</v>
      </c>
      <c r="K3196" s="30" t="s">
        <v>3207</v>
      </c>
      <c r="L3196" s="4"/>
      <c r="M3196" s="3"/>
    </row>
    <row r="3197" spans="1:13" x14ac:dyDescent="0.3">
      <c r="A3197" s="17">
        <v>101</v>
      </c>
      <c r="B3197" s="19">
        <v>101</v>
      </c>
      <c r="C3197" s="23">
        <v>1524.163</v>
      </c>
      <c r="D3197" s="23">
        <v>1523.925</v>
      </c>
      <c r="E3197" s="23">
        <v>1524.4</v>
      </c>
      <c r="F3197" s="4"/>
      <c r="G3197" s="4"/>
      <c r="H3197" s="28" t="s">
        <v>4775</v>
      </c>
      <c r="I3197" s="4"/>
      <c r="J3197" s="6">
        <v>0</v>
      </c>
      <c r="K3197" s="29" t="s">
        <v>3207</v>
      </c>
      <c r="L3197" s="4"/>
      <c r="M3197" s="3"/>
    </row>
    <row r="3198" spans="1:13" x14ac:dyDescent="0.3">
      <c r="A3198" s="21">
        <v>101</v>
      </c>
      <c r="B3198" s="22">
        <v>101</v>
      </c>
      <c r="C3198" s="24">
        <v>1524.68</v>
      </c>
      <c r="D3198" s="24">
        <v>1524.4</v>
      </c>
      <c r="E3198" s="24">
        <v>1524.96</v>
      </c>
      <c r="F3198" s="4"/>
      <c r="G3198" s="4"/>
      <c r="H3198" s="27" t="s">
        <v>4776</v>
      </c>
      <c r="I3198" s="4"/>
      <c r="J3198" s="6">
        <v>0</v>
      </c>
      <c r="K3198" s="30" t="s">
        <v>3207</v>
      </c>
      <c r="L3198" s="4"/>
      <c r="M3198" s="3"/>
    </row>
    <row r="3199" spans="1:13" x14ac:dyDescent="0.3">
      <c r="A3199" s="3" t="s">
        <v>4777</v>
      </c>
      <c r="B3199" s="3" t="s">
        <v>4777</v>
      </c>
      <c r="C3199" s="4">
        <v>15.85</v>
      </c>
      <c r="D3199" s="4">
        <v>15.8</v>
      </c>
      <c r="E3199" s="4">
        <v>15.9</v>
      </c>
      <c r="F3199" s="4">
        <v>100</v>
      </c>
      <c r="G3199" s="4" t="s">
        <v>1501</v>
      </c>
      <c r="H3199" s="27"/>
      <c r="I3199" s="4" t="s">
        <v>4778</v>
      </c>
      <c r="J3199" s="6">
        <v>0</v>
      </c>
      <c r="K3199" s="10" t="s">
        <v>4779</v>
      </c>
      <c r="L3199" s="4"/>
      <c r="M3199" s="3"/>
    </row>
    <row r="3200" spans="1:13" x14ac:dyDescent="0.3">
      <c r="A3200" s="3">
        <v>15</v>
      </c>
      <c r="B3200" s="3">
        <v>15</v>
      </c>
      <c r="C3200" s="4">
        <v>101.05</v>
      </c>
      <c r="D3200" s="4">
        <v>101</v>
      </c>
      <c r="E3200" s="4">
        <v>101.1</v>
      </c>
      <c r="F3200" s="4">
        <v>100</v>
      </c>
      <c r="G3200" s="4" t="s">
        <v>1502</v>
      </c>
      <c r="H3200" s="27"/>
      <c r="I3200" s="4" t="s">
        <v>4778</v>
      </c>
      <c r="J3200" s="6">
        <v>0</v>
      </c>
      <c r="K3200" s="10" t="s">
        <v>927</v>
      </c>
      <c r="L3200" s="4"/>
      <c r="M3200" s="3"/>
    </row>
    <row r="3201" spans="1:13" x14ac:dyDescent="0.3">
      <c r="A3201" s="3">
        <v>18</v>
      </c>
      <c r="B3201" s="3">
        <v>18</v>
      </c>
      <c r="C3201" s="4">
        <v>70.8</v>
      </c>
      <c r="D3201" s="4">
        <v>70.7</v>
      </c>
      <c r="E3201" s="4">
        <v>70.900000000000006</v>
      </c>
      <c r="F3201" s="4">
        <v>200</v>
      </c>
      <c r="G3201" s="4" t="s">
        <v>1503</v>
      </c>
      <c r="H3201" s="27"/>
      <c r="I3201" s="4" t="s">
        <v>4778</v>
      </c>
      <c r="J3201" s="6">
        <v>0</v>
      </c>
      <c r="K3201" s="10" t="s">
        <v>4780</v>
      </c>
      <c r="L3201" s="4"/>
      <c r="M3201" s="3"/>
    </row>
  </sheetData>
  <pageMargins left="0.7" right="0.7" top="0.75" bottom="0.75" header="0.3" footer="0.3"/>
  <pageSetup paperSize="9" orientation="portrait" verticalDpi="0" r:id="rId1"/>
  <headerFooter>
    <oddHeader>&amp;L&amp;"Calibri"&amp;10&amp;K000000Interno&amp;1#</oddHeader>
    <oddFooter>&amp;L&amp;1#&amp;"Calibri"&amp;10&amp;K000000Interno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8"/>
  <sheetViews>
    <sheetView topLeftCell="F12" workbookViewId="0">
      <selection activeCell="I26" sqref="I26"/>
    </sheetView>
  </sheetViews>
  <sheetFormatPr defaultRowHeight="14.4" x14ac:dyDescent="0.3"/>
  <cols>
    <col min="1" max="1" width="6.6640625" bestFit="1" customWidth="1"/>
    <col min="2" max="2" width="14.88671875" bestFit="1" customWidth="1"/>
    <col min="3" max="4" width="8" bestFit="1" customWidth="1"/>
    <col min="5" max="5" width="12.21875" bestFit="1" customWidth="1"/>
    <col min="6" max="6" width="18.33203125" bestFit="1" customWidth="1"/>
    <col min="7" max="7" width="18.44140625" bestFit="1" customWidth="1"/>
    <col min="8" max="8" width="8.6640625" bestFit="1" customWidth="1"/>
    <col min="9" max="9" width="19.109375" bestFit="1" customWidth="1"/>
    <col min="10" max="10" width="13.21875" bestFit="1" customWidth="1"/>
    <col min="11" max="11" width="8.6640625" bestFit="1" customWidth="1"/>
  </cols>
  <sheetData>
    <row r="1" spans="1:11" x14ac:dyDescent="0.3">
      <c r="A1" t="s">
        <v>1504</v>
      </c>
      <c r="B1" t="s">
        <v>1506</v>
      </c>
      <c r="C1" t="s">
        <v>1507</v>
      </c>
      <c r="D1" t="s">
        <v>1508</v>
      </c>
      <c r="E1" t="s">
        <v>1509</v>
      </c>
      <c r="F1" t="s">
        <v>11</v>
      </c>
      <c r="G1" t="s">
        <v>10</v>
      </c>
      <c r="H1" t="s">
        <v>1510</v>
      </c>
      <c r="I1" t="s">
        <v>4781</v>
      </c>
      <c r="J1" t="s">
        <v>25</v>
      </c>
      <c r="K1" t="s">
        <v>1505</v>
      </c>
    </row>
    <row r="2" spans="1:11" x14ac:dyDescent="0.3">
      <c r="A2" t="s">
        <v>4782</v>
      </c>
      <c r="B2">
        <v>332.72899999999998</v>
      </c>
      <c r="C2">
        <v>331.90100000000001</v>
      </c>
      <c r="D2">
        <v>333.55700000000002</v>
      </c>
      <c r="E2">
        <v>1656.0000000000059</v>
      </c>
      <c r="F2" t="s">
        <v>890</v>
      </c>
      <c r="G2" t="s">
        <v>1102</v>
      </c>
      <c r="I2">
        <v>1</v>
      </c>
      <c r="J2" t="str">
        <f t="array" ref="J2">INDEX('Sub Trecho'!$F$2:$F$53,MATCH(1,IF('Sub Trecho'!$C$2:$C$53=A2,IF('Sub Trecho'!$H$2:$H$53&lt;=B2,IF('Sub Trecho'!$I$2:$I$53&gt;=B2,0)))))</f>
        <v>LAP-LMG</v>
      </c>
      <c r="K2" t="str">
        <f t="array" ref="K2">INDEX('Sub Trecho'!$D$2:$D$53,MATCH(1,IF('Sub Trecho'!$C$2:$C$53=A2,IF('Sub Trecho'!$H$2:$H$53&lt;=B2,IF('Sub Trecho'!$I$2:$I$53&gt;=B2,0)))))</f>
        <v>1</v>
      </c>
    </row>
    <row r="3" spans="1:11" x14ac:dyDescent="0.3">
      <c r="A3" t="s">
        <v>4782</v>
      </c>
      <c r="B3">
        <v>334.935</v>
      </c>
      <c r="C3">
        <v>334.62700000000001</v>
      </c>
      <c r="D3">
        <v>335.24200000000002</v>
      </c>
      <c r="E3">
        <v>615.00000000000909</v>
      </c>
      <c r="F3" t="s">
        <v>907</v>
      </c>
      <c r="G3" t="s">
        <v>1102</v>
      </c>
      <c r="I3">
        <v>2</v>
      </c>
      <c r="J3" t="str">
        <f t="array" ref="J3">INDEX('Sub Trecho'!$F$2:$F$53,MATCH(1,IF('Sub Trecho'!$C$2:$C$53=A3,IF('Sub Trecho'!$H$2:$H$53&lt;=B3,IF('Sub Trecho'!$I$2:$I$53&gt;=B3,0)))))</f>
        <v>LAP-LMG</v>
      </c>
      <c r="K3" t="str">
        <f t="array" ref="K3">INDEX('Sub Trecho'!$D$2:$D$53,MATCH(1,IF('Sub Trecho'!$C$2:$C$53=A3,IF('Sub Trecho'!$H$2:$H$53&lt;=B3,IF('Sub Trecho'!$I$2:$I$53&gt;=B3,0)))))</f>
        <v>1</v>
      </c>
    </row>
    <row r="4" spans="1:11" x14ac:dyDescent="0.3">
      <c r="A4" t="s">
        <v>4783</v>
      </c>
      <c r="B4">
        <v>343.77</v>
      </c>
      <c r="C4">
        <v>343.58800000000002</v>
      </c>
      <c r="D4">
        <v>343.95100000000002</v>
      </c>
      <c r="E4">
        <v>362.99999999999955</v>
      </c>
      <c r="F4" t="s">
        <v>843</v>
      </c>
      <c r="G4" t="s">
        <v>842</v>
      </c>
      <c r="I4">
        <v>3</v>
      </c>
      <c r="J4" t="str">
        <f t="array" ref="J4">INDEX('Sub Trecho'!$F$2:$F$53,MATCH(1,IF('Sub Trecho'!$C$2:$C$53=A4,IF('Sub Trecho'!$H$2:$H$53&lt;=B4,IF('Sub Trecho'!$I$2:$I$53&gt;=B4,0)))))</f>
        <v>LLZ-LUS</v>
      </c>
      <c r="K4" t="str">
        <f t="array" ref="K4">INDEX('Sub Trecho'!$D$2:$D$53,MATCH(1,IF('Sub Trecho'!$C$2:$C$53=A4,IF('Sub Trecho'!$H$2:$H$53&lt;=B4,IF('Sub Trecho'!$I$2:$I$53&gt;=B4,0)))))</f>
        <v>6</v>
      </c>
    </row>
    <row r="5" spans="1:11" x14ac:dyDescent="0.3">
      <c r="A5" t="s">
        <v>4784</v>
      </c>
      <c r="B5">
        <v>416.072</v>
      </c>
      <c r="C5">
        <v>415.92899999999997</v>
      </c>
      <c r="D5">
        <v>416.214</v>
      </c>
      <c r="E5">
        <v>285.00000000002501</v>
      </c>
      <c r="F5" t="s">
        <v>1257</v>
      </c>
      <c r="G5" t="s">
        <v>1256</v>
      </c>
      <c r="I5">
        <v>4</v>
      </c>
      <c r="J5" t="str">
        <f t="array" ref="J5">INDEX('Sub Trecho'!$F$2:$F$53,MATCH(1,IF('Sub Trecho'!$C$2:$C$53=A5,IF('Sub Trecho'!$H$2:$H$53&lt;=B5,IF('Sub Trecho'!$I$2:$I$53&gt;=B5,0)))))</f>
        <v>LIH-LFI</v>
      </c>
      <c r="K5" t="str">
        <f t="array" ref="K5">INDEX('Sub Trecho'!$D$2:$D$53,MATCH(1,IF('Sub Trecho'!$C$2:$C$53=A5,IF('Sub Trecho'!$H$2:$H$53&lt;=B5,IF('Sub Trecho'!$I$2:$I$53&gt;=B5,0)))))</f>
        <v>7</v>
      </c>
    </row>
    <row r="6" spans="1:11" x14ac:dyDescent="0.3">
      <c r="A6" t="s">
        <v>4784</v>
      </c>
      <c r="B6">
        <v>425.10300000000001</v>
      </c>
      <c r="C6">
        <v>425.04599999999999</v>
      </c>
      <c r="D6">
        <v>425.15899999999999</v>
      </c>
      <c r="E6">
        <v>112.99999999999956</v>
      </c>
      <c r="F6" t="s">
        <v>1241</v>
      </c>
      <c r="G6" t="s">
        <v>1240</v>
      </c>
      <c r="I6">
        <v>5</v>
      </c>
      <c r="J6" t="str">
        <f t="array" ref="J6">INDEX('Sub Trecho'!$F$2:$F$53,MATCH(1,IF('Sub Trecho'!$C$2:$C$53=A6,IF('Sub Trecho'!$H$2:$H$53&lt;=B6,IF('Sub Trecho'!$I$2:$I$53&gt;=B6,0)))))</f>
        <v>LFI-LOD</v>
      </c>
      <c r="K6" t="str">
        <f t="array" ref="K6">INDEX('Sub Trecho'!$D$2:$D$53,MATCH(1,IF('Sub Trecho'!$C$2:$C$53=A6,IF('Sub Trecho'!$H$2:$H$53&lt;=B6,IF('Sub Trecho'!$I$2:$I$53&gt;=B6,0)))))</f>
        <v>7</v>
      </c>
    </row>
    <row r="7" spans="1:11" x14ac:dyDescent="0.3">
      <c r="A7" t="s">
        <v>4784</v>
      </c>
      <c r="B7">
        <v>425.64499999999998</v>
      </c>
      <c r="C7">
        <v>425.57900000000001</v>
      </c>
      <c r="D7">
        <v>425.71100000000001</v>
      </c>
      <c r="E7">
        <v>132.000000000005</v>
      </c>
      <c r="F7" t="s">
        <v>1223</v>
      </c>
      <c r="G7" t="s">
        <v>1222</v>
      </c>
      <c r="I7">
        <v>6</v>
      </c>
      <c r="J7" t="str">
        <f t="array" ref="J7">INDEX('Sub Trecho'!$F$2:$F$53,MATCH(1,IF('Sub Trecho'!$C$2:$C$53=A7,IF('Sub Trecho'!$H$2:$H$53&lt;=B7,IF('Sub Trecho'!$I$2:$I$53&gt;=B7,0)))))</f>
        <v>LFI-LOD</v>
      </c>
      <c r="K7" t="str">
        <f t="array" ref="K7">INDEX('Sub Trecho'!$D$2:$D$53,MATCH(1,IF('Sub Trecho'!$C$2:$C$53=A7,IF('Sub Trecho'!$H$2:$H$53&lt;=B7,IF('Sub Trecho'!$I$2:$I$53&gt;=B7,0)))))</f>
        <v>7</v>
      </c>
    </row>
    <row r="8" spans="1:11" x14ac:dyDescent="0.3">
      <c r="A8" t="s">
        <v>4784</v>
      </c>
      <c r="B8">
        <v>426.35899999999998</v>
      </c>
      <c r="C8">
        <v>426.21499999999997</v>
      </c>
      <c r="D8">
        <v>426.50299999999999</v>
      </c>
      <c r="E8">
        <v>288.00000000001091</v>
      </c>
      <c r="F8" t="s">
        <v>943</v>
      </c>
      <c r="G8" t="s">
        <v>942</v>
      </c>
      <c r="I8">
        <v>7</v>
      </c>
      <c r="J8" t="str">
        <f t="array" ref="J8">INDEX('Sub Trecho'!$F$2:$F$53,MATCH(1,IF('Sub Trecho'!$C$2:$C$53=A8,IF('Sub Trecho'!$H$2:$H$53&lt;=B8,IF('Sub Trecho'!$I$2:$I$53&gt;=B8,0)))))</f>
        <v>LFI-LOD</v>
      </c>
      <c r="K8" t="str">
        <f t="array" ref="K8">INDEX('Sub Trecho'!$D$2:$D$53,MATCH(1,IF('Sub Trecho'!$C$2:$C$53=A8,IF('Sub Trecho'!$H$2:$H$53&lt;=B8,IF('Sub Trecho'!$I$2:$I$53&gt;=B8,0)))))</f>
        <v>7</v>
      </c>
    </row>
    <row r="9" spans="1:11" x14ac:dyDescent="0.3">
      <c r="A9" t="s">
        <v>4784</v>
      </c>
      <c r="B9">
        <v>427.57499999999999</v>
      </c>
      <c r="C9">
        <v>427.274</v>
      </c>
      <c r="D9">
        <v>427.87599999999998</v>
      </c>
      <c r="E9">
        <v>601.99999999997544</v>
      </c>
      <c r="F9" t="s">
        <v>886</v>
      </c>
      <c r="G9" t="s">
        <v>1183</v>
      </c>
      <c r="I9">
        <v>8</v>
      </c>
      <c r="J9" t="str">
        <f t="array" ref="J9">INDEX('Sub Trecho'!$F$2:$F$53,MATCH(1,IF('Sub Trecho'!$C$2:$C$53=A9,IF('Sub Trecho'!$H$2:$H$53&lt;=B9,IF('Sub Trecho'!$I$2:$I$53&gt;=B9,0)))))</f>
        <v>LFI-LOD</v>
      </c>
      <c r="K9" t="str">
        <f t="array" ref="K9">INDEX('Sub Trecho'!$D$2:$D$53,MATCH(1,IF('Sub Trecho'!$C$2:$C$53=A9,IF('Sub Trecho'!$H$2:$H$53&lt;=B9,IF('Sub Trecho'!$I$2:$I$53&gt;=B9,0)))))</f>
        <v>7</v>
      </c>
    </row>
    <row r="10" spans="1:11" x14ac:dyDescent="0.3">
      <c r="A10" t="s">
        <v>4784</v>
      </c>
      <c r="B10">
        <v>439.41699999999997</v>
      </c>
      <c r="C10">
        <v>439.31599999999997</v>
      </c>
      <c r="D10">
        <v>439.51799999999997</v>
      </c>
      <c r="E10">
        <v>201.99999999999815</v>
      </c>
      <c r="F10" t="s">
        <v>1000</v>
      </c>
      <c r="G10" t="s">
        <v>999</v>
      </c>
      <c r="I10">
        <v>9</v>
      </c>
      <c r="J10" t="str">
        <f t="array" ref="J10">INDEX('Sub Trecho'!$F$2:$F$53,MATCH(1,IF('Sub Trecho'!$C$2:$C$53=A10,IF('Sub Trecho'!$H$2:$H$53&lt;=B10,IF('Sub Trecho'!$I$2:$I$53&gt;=B10,0)))))</f>
        <v>LFI-LOD</v>
      </c>
      <c r="K10" t="str">
        <f t="array" ref="K10">INDEX('Sub Trecho'!$D$2:$D$53,MATCH(1,IF('Sub Trecho'!$C$2:$C$53=A10,IF('Sub Trecho'!$H$2:$H$53&lt;=B10,IF('Sub Trecho'!$I$2:$I$53&gt;=B10,0)))))</f>
        <v>7</v>
      </c>
    </row>
    <row r="11" spans="1:11" x14ac:dyDescent="0.3">
      <c r="A11" t="s">
        <v>4784</v>
      </c>
      <c r="B11">
        <v>480.04</v>
      </c>
      <c r="C11">
        <v>479.90600000000001</v>
      </c>
      <c r="D11">
        <v>480.173</v>
      </c>
      <c r="E11">
        <v>266.99999999999591</v>
      </c>
      <c r="F11" t="s">
        <v>875</v>
      </c>
      <c r="G11" t="s">
        <v>4785</v>
      </c>
      <c r="I11">
        <v>10</v>
      </c>
      <c r="J11" t="str">
        <f t="array" ref="J11">INDEX('Sub Trecho'!$F$2:$F$53,MATCH(1,IF('Sub Trecho'!$C$2:$C$53=A11,IF('Sub Trecho'!$H$2:$H$53&lt;=B11,IF('Sub Trecho'!$I$2:$I$53&gt;=B11,0)))))</f>
        <v>LFI-LOD</v>
      </c>
      <c r="K11" t="str">
        <f t="array" ref="K11">INDEX('Sub Trecho'!$D$2:$D$53,MATCH(1,IF('Sub Trecho'!$C$2:$C$53=A11,IF('Sub Trecho'!$H$2:$H$53&lt;=B11,IF('Sub Trecho'!$I$2:$I$53&gt;=B11,0)))))</f>
        <v>7</v>
      </c>
    </row>
    <row r="12" spans="1:11" x14ac:dyDescent="0.3">
      <c r="A12" t="s">
        <v>4784</v>
      </c>
      <c r="B12">
        <v>480.584</v>
      </c>
      <c r="C12">
        <v>480.44099999999997</v>
      </c>
      <c r="D12">
        <v>480.726</v>
      </c>
      <c r="E12">
        <v>285.00000000002501</v>
      </c>
      <c r="F12" t="s">
        <v>1435</v>
      </c>
      <c r="G12" t="s">
        <v>1524</v>
      </c>
      <c r="I12">
        <v>11</v>
      </c>
      <c r="J12" t="str">
        <f t="array" ref="J12">INDEX('Sub Trecho'!$F$2:$F$53,MATCH(1,IF('Sub Trecho'!$C$2:$C$53=A12,IF('Sub Trecho'!$H$2:$H$53&lt;=B12,IF('Sub Trecho'!$I$2:$I$53&gt;=B12,0)))))</f>
        <v>LFI-LOD</v>
      </c>
      <c r="K12" t="str">
        <f t="array" ref="K12">INDEX('Sub Trecho'!$D$2:$D$53,MATCH(1,IF('Sub Trecho'!$C$2:$C$53=A12,IF('Sub Trecho'!$H$2:$H$53&lt;=B12,IF('Sub Trecho'!$I$2:$I$53&gt;=B12,0)))))</f>
        <v>7</v>
      </c>
    </row>
    <row r="13" spans="1:11" x14ac:dyDescent="0.3">
      <c r="A13" t="s">
        <v>4784</v>
      </c>
      <c r="B13">
        <v>484.54599999999999</v>
      </c>
      <c r="C13">
        <v>484.32100000000003</v>
      </c>
      <c r="D13">
        <v>484.77100000000002</v>
      </c>
      <c r="E13">
        <v>449.99999999998863</v>
      </c>
      <c r="F13" t="s">
        <v>666</v>
      </c>
      <c r="G13" t="s">
        <v>665</v>
      </c>
      <c r="I13">
        <v>12</v>
      </c>
      <c r="J13" t="str">
        <f t="array" ref="J13">INDEX('Sub Trecho'!$F$2:$F$53,MATCH(1,IF('Sub Trecho'!$C$2:$C$53=A13,IF('Sub Trecho'!$H$2:$H$53&lt;=B13,IF('Sub Trecho'!$I$2:$I$53&gt;=B13,0)))))</f>
        <v>LFI-LOD</v>
      </c>
      <c r="K13" t="str">
        <f t="array" ref="K13">INDEX('Sub Trecho'!$D$2:$D$53,MATCH(1,IF('Sub Trecho'!$C$2:$C$53=A13,IF('Sub Trecho'!$H$2:$H$53&lt;=B13,IF('Sub Trecho'!$I$2:$I$53&gt;=B13,0)))))</f>
        <v>7</v>
      </c>
    </row>
    <row r="14" spans="1:11" x14ac:dyDescent="0.3">
      <c r="A14" t="s">
        <v>4784</v>
      </c>
      <c r="B14">
        <v>495.60700000000003</v>
      </c>
      <c r="C14">
        <v>495.43900000000002</v>
      </c>
      <c r="D14">
        <v>495.77499999999998</v>
      </c>
      <c r="E14">
        <v>335.99999999995589</v>
      </c>
      <c r="F14" t="s">
        <v>1380</v>
      </c>
      <c r="G14" t="s">
        <v>1379</v>
      </c>
      <c r="I14">
        <v>13</v>
      </c>
      <c r="J14" t="str">
        <f t="array" ref="J14">INDEX('Sub Trecho'!$F$2:$F$53,MATCH(1,IF('Sub Trecho'!$C$2:$C$53=A14,IF('Sub Trecho'!$H$2:$H$53&lt;=B14,IF('Sub Trecho'!$I$2:$I$53&gt;=B14,0)))))</f>
        <v>LFI-LOD</v>
      </c>
      <c r="K14" t="str">
        <f t="array" ref="K14">INDEX('Sub Trecho'!$D$2:$D$53,MATCH(1,IF('Sub Trecho'!$C$2:$C$53=A14,IF('Sub Trecho'!$H$2:$H$53&lt;=B14,IF('Sub Trecho'!$I$2:$I$53&gt;=B14,0)))))</f>
        <v>7</v>
      </c>
    </row>
    <row r="15" spans="1:11" x14ac:dyDescent="0.3">
      <c r="A15" t="s">
        <v>4784</v>
      </c>
      <c r="B15">
        <v>499.59100000000001</v>
      </c>
      <c r="C15">
        <v>499.47899999999998</v>
      </c>
      <c r="D15">
        <v>499.702</v>
      </c>
      <c r="E15">
        <v>223.00000000001319</v>
      </c>
      <c r="F15" t="s">
        <v>1297</v>
      </c>
      <c r="G15" t="s">
        <v>1296</v>
      </c>
      <c r="I15">
        <v>14</v>
      </c>
      <c r="J15" t="str">
        <f t="array" ref="J15">INDEX('Sub Trecho'!$F$2:$F$53,MATCH(1,IF('Sub Trecho'!$C$2:$C$53=A15,IF('Sub Trecho'!$H$2:$H$53&lt;=B15,IF('Sub Trecho'!$I$2:$I$53&gt;=B15,0)))))</f>
        <v>LFI-LOD</v>
      </c>
      <c r="K15" t="str">
        <f t="array" ref="K15">INDEX('Sub Trecho'!$D$2:$D$53,MATCH(1,IF('Sub Trecho'!$C$2:$C$53=A15,IF('Sub Trecho'!$H$2:$H$53&lt;=B15,IF('Sub Trecho'!$I$2:$I$53&gt;=B15,0)))))</f>
        <v>7</v>
      </c>
    </row>
    <row r="16" spans="1:11" x14ac:dyDescent="0.3">
      <c r="A16" t="s">
        <v>4784</v>
      </c>
      <c r="B16">
        <v>500.41699999999997</v>
      </c>
      <c r="C16">
        <v>500.21499999999997</v>
      </c>
      <c r="D16">
        <v>500.61799999999999</v>
      </c>
      <c r="E16">
        <v>403.00000000002001</v>
      </c>
      <c r="F16" t="s">
        <v>660</v>
      </c>
      <c r="G16" t="s">
        <v>964</v>
      </c>
      <c r="I16">
        <v>15</v>
      </c>
      <c r="J16" t="str">
        <f t="array" ref="J16">INDEX('Sub Trecho'!$F$2:$F$53,MATCH(1,IF('Sub Trecho'!$C$2:$C$53=A16,IF('Sub Trecho'!$H$2:$H$53&lt;=B16,IF('Sub Trecho'!$I$2:$I$53&gt;=B16,0)))))</f>
        <v>LOD-LAP</v>
      </c>
      <c r="K16" t="str">
        <f t="array" ref="K16">INDEX('Sub Trecho'!$D$2:$D$53,MATCH(1,IF('Sub Trecho'!$C$2:$C$53=A16,IF('Sub Trecho'!$H$2:$H$53&lt;=B16,IF('Sub Trecho'!$I$2:$I$53&gt;=B16,0)))))</f>
        <v>7</v>
      </c>
    </row>
    <row r="17" spans="1:11" x14ac:dyDescent="0.3">
      <c r="A17" t="s">
        <v>4784</v>
      </c>
      <c r="B17">
        <v>501.13400000000001</v>
      </c>
      <c r="C17">
        <v>500.959</v>
      </c>
      <c r="D17">
        <v>501.30900000000003</v>
      </c>
      <c r="E17">
        <v>350.00000000002274</v>
      </c>
      <c r="F17" t="s">
        <v>1321</v>
      </c>
      <c r="G17" t="s">
        <v>1320</v>
      </c>
      <c r="I17">
        <v>16</v>
      </c>
      <c r="J17" t="str">
        <f t="array" ref="J17">INDEX('Sub Trecho'!$F$2:$F$53,MATCH(1,IF('Sub Trecho'!$C$2:$C$53=A17,IF('Sub Trecho'!$H$2:$H$53&lt;=B17,IF('Sub Trecho'!$I$2:$I$53&gt;=B17,0)))))</f>
        <v>LOD-LAP</v>
      </c>
      <c r="K17" t="str">
        <f t="array" ref="K17">INDEX('Sub Trecho'!$D$2:$D$53,MATCH(1,IF('Sub Trecho'!$C$2:$C$53=A17,IF('Sub Trecho'!$H$2:$H$53&lt;=B17,IF('Sub Trecho'!$I$2:$I$53&gt;=B17,0)))))</f>
        <v>7</v>
      </c>
    </row>
    <row r="18" spans="1:11" x14ac:dyDescent="0.3">
      <c r="A18" t="s">
        <v>4784</v>
      </c>
      <c r="B18">
        <v>503.32100000000003</v>
      </c>
      <c r="C18">
        <v>502.85300000000001</v>
      </c>
      <c r="D18">
        <v>503.78800000000001</v>
      </c>
      <c r="E18">
        <v>935.00000000000227</v>
      </c>
      <c r="F18" t="s">
        <v>879</v>
      </c>
      <c r="G18" t="s">
        <v>1366</v>
      </c>
      <c r="I18">
        <v>17</v>
      </c>
      <c r="J18" t="str">
        <f t="array" ref="J18">INDEX('Sub Trecho'!$F$2:$F$53,MATCH(1,IF('Sub Trecho'!$C$2:$C$53=A18,IF('Sub Trecho'!$H$2:$H$53&lt;=B18,IF('Sub Trecho'!$I$2:$I$53&gt;=B18,0)))))</f>
        <v>LOD-LAP</v>
      </c>
      <c r="K18" t="str">
        <f t="array" ref="K18">INDEX('Sub Trecho'!$D$2:$D$53,MATCH(1,IF('Sub Trecho'!$C$2:$C$53=A18,IF('Sub Trecho'!$H$2:$H$53&lt;=B18,IF('Sub Trecho'!$I$2:$I$53&gt;=B18,0)))))</f>
        <v>7</v>
      </c>
    </row>
    <row r="19" spans="1:11" x14ac:dyDescent="0.3">
      <c r="A19" t="s">
        <v>4784</v>
      </c>
      <c r="B19">
        <v>504.24599999999998</v>
      </c>
      <c r="C19">
        <v>503.84199999999998</v>
      </c>
      <c r="D19">
        <v>504.649</v>
      </c>
      <c r="E19">
        <v>807.00000000001637</v>
      </c>
      <c r="F19" t="s">
        <v>1353</v>
      </c>
      <c r="G19" t="s">
        <v>878</v>
      </c>
      <c r="I19">
        <v>18</v>
      </c>
      <c r="J19" t="str">
        <f t="array" ref="J19">INDEX('Sub Trecho'!$F$2:$F$53,MATCH(1,IF('Sub Trecho'!$C$2:$C$53=A19,IF('Sub Trecho'!$H$2:$H$53&lt;=B19,IF('Sub Trecho'!$I$2:$I$53&gt;=B19,0)))))</f>
        <v>LOD-LAP</v>
      </c>
      <c r="K19" t="str">
        <f t="array" ref="K19">INDEX('Sub Trecho'!$D$2:$D$53,MATCH(1,IF('Sub Trecho'!$C$2:$C$53=A19,IF('Sub Trecho'!$H$2:$H$53&lt;=B19,IF('Sub Trecho'!$I$2:$I$53&gt;=B19,0)))))</f>
        <v>7</v>
      </c>
    </row>
    <row r="20" spans="1:11" x14ac:dyDescent="0.3">
      <c r="A20" t="s">
        <v>4784</v>
      </c>
      <c r="B20">
        <v>505.75799999999998</v>
      </c>
      <c r="C20">
        <v>505.33800000000002</v>
      </c>
      <c r="D20">
        <v>506.17700000000002</v>
      </c>
      <c r="E20">
        <v>838.99999999999875</v>
      </c>
      <c r="F20" t="s">
        <v>962</v>
      </c>
      <c r="G20" t="s">
        <v>961</v>
      </c>
      <c r="I20">
        <v>19</v>
      </c>
      <c r="J20" t="str">
        <f t="array" ref="J20">INDEX('Sub Trecho'!$F$2:$F$53,MATCH(1,IF('Sub Trecho'!$C$2:$C$53=A20,IF('Sub Trecho'!$H$2:$H$53&lt;=B20,IF('Sub Trecho'!$I$2:$I$53&gt;=B20,0)))))</f>
        <v>LOD-LAP</v>
      </c>
      <c r="K20" t="str">
        <f t="array" ref="K20">INDEX('Sub Trecho'!$D$2:$D$53,MATCH(1,IF('Sub Trecho'!$C$2:$C$53=A20,IF('Sub Trecho'!$H$2:$H$53&lt;=B20,IF('Sub Trecho'!$I$2:$I$53&gt;=B20,0)))))</f>
        <v>7</v>
      </c>
    </row>
    <row r="21" spans="1:11" x14ac:dyDescent="0.3">
      <c r="A21" t="s">
        <v>4784</v>
      </c>
      <c r="B21">
        <v>530.05399999999997</v>
      </c>
      <c r="C21">
        <v>529.56399999999996</v>
      </c>
      <c r="D21">
        <v>530.54399999999998</v>
      </c>
      <c r="E21">
        <v>980.00000000001819</v>
      </c>
      <c r="F21" t="s">
        <v>911</v>
      </c>
      <c r="G21" t="s">
        <v>4786</v>
      </c>
      <c r="I21">
        <v>20</v>
      </c>
      <c r="J21" t="str">
        <f t="array" ref="J21">INDEX('Sub Trecho'!$F$2:$F$53,MATCH(1,IF('Sub Trecho'!$C$2:$C$53=A21,IF('Sub Trecho'!$H$2:$H$53&lt;=B21,IF('Sub Trecho'!$I$2:$I$53&gt;=B21,0)))))</f>
        <v>LOD-LAP</v>
      </c>
      <c r="K21" t="str">
        <f t="array" ref="K21">INDEX('Sub Trecho'!$D$2:$D$53,MATCH(1,IF('Sub Trecho'!$C$2:$C$53=A21,IF('Sub Trecho'!$H$2:$H$53&lt;=B21,IF('Sub Trecho'!$I$2:$I$53&gt;=B21,0)))))</f>
        <v>7</v>
      </c>
    </row>
    <row r="22" spans="1:11" x14ac:dyDescent="0.3">
      <c r="A22" t="s">
        <v>4787</v>
      </c>
      <c r="B22">
        <v>190.40899999999999</v>
      </c>
      <c r="C22">
        <v>190.279</v>
      </c>
      <c r="D22">
        <v>190.53800000000001</v>
      </c>
      <c r="E22">
        <v>259.00000000001455</v>
      </c>
      <c r="F22" t="s">
        <v>946</v>
      </c>
      <c r="G22" t="s">
        <v>945</v>
      </c>
      <c r="I22">
        <v>21</v>
      </c>
      <c r="J22" t="str">
        <f t="array" ref="J22">INDEX('Sub Trecho'!$F$2:$F$53,MATCH(1,IF('Sub Trecho'!$C$2:$C$53=A22,IF('Sub Trecho'!$H$2:$H$53&lt;=B22,IF('Sub Trecho'!$I$2:$I$53&gt;=B22,0)))))</f>
        <v>LEB-LUS</v>
      </c>
      <c r="K22" t="str">
        <f t="array" ref="K22">INDEX('Sub Trecho'!$D$2:$D$53,MATCH(1,IF('Sub Trecho'!$C$2:$C$53=A22,IF('Sub Trecho'!$H$2:$H$53&lt;=B22,IF('Sub Trecho'!$I$2:$I$53&gt;=B22,0)))))</f>
        <v>9</v>
      </c>
    </row>
    <row r="23" spans="1:11" x14ac:dyDescent="0.3">
      <c r="A23" t="s">
        <v>4788</v>
      </c>
      <c r="B23">
        <v>52.57</v>
      </c>
      <c r="C23">
        <v>52.518999999999998</v>
      </c>
      <c r="D23">
        <v>52.621000000000002</v>
      </c>
      <c r="E23">
        <v>102.00000000000388</v>
      </c>
      <c r="F23" t="s">
        <v>1177</v>
      </c>
      <c r="G23" t="s">
        <v>1102</v>
      </c>
      <c r="I23">
        <v>22</v>
      </c>
      <c r="J23" t="str">
        <f t="array" ref="J23">INDEX('Sub Trecho'!$F$2:$F$53,MATCH(1,IF('Sub Trecho'!$C$2:$C$53=A23,IF('Sub Trecho'!$H$2:$H$53&lt;=B23,IF('Sub Trecho'!$I$2:$I$53&gt;=B23,0)))))</f>
        <v>LIC-LPG</v>
      </c>
      <c r="K23" t="str">
        <f t="array" ref="K23">INDEX('Sub Trecho'!$D$2:$D$53,MATCH(1,IF('Sub Trecho'!$C$2:$C$53=A23,IF('Sub Trecho'!$H$2:$H$53&lt;=B23,IF('Sub Trecho'!$I$2:$I$53&gt;=B23,0)))))</f>
        <v>10</v>
      </c>
    </row>
    <row r="24" spans="1:11" x14ac:dyDescent="0.3">
      <c r="A24" t="s">
        <v>4788</v>
      </c>
      <c r="B24">
        <v>53.624000000000002</v>
      </c>
      <c r="C24">
        <v>53.551000000000002</v>
      </c>
      <c r="D24">
        <v>53.697000000000003</v>
      </c>
      <c r="E24">
        <v>146.0000000000008</v>
      </c>
      <c r="F24" t="s">
        <v>1169</v>
      </c>
      <c r="G24" t="s">
        <v>1102</v>
      </c>
      <c r="I24">
        <v>23</v>
      </c>
      <c r="J24" t="str">
        <f t="array" ref="J24">INDEX('Sub Trecho'!$F$2:$F$53,MATCH(1,IF('Sub Trecho'!$C$2:$C$53=A24,IF('Sub Trecho'!$H$2:$H$53&lt;=B24,IF('Sub Trecho'!$I$2:$I$53&gt;=B24,0)))))</f>
        <v>LIC-LPG</v>
      </c>
      <c r="K24" t="str">
        <f t="array" ref="K24">INDEX('Sub Trecho'!$D$2:$D$53,MATCH(1,IF('Sub Trecho'!$C$2:$C$53=A24,IF('Sub Trecho'!$H$2:$H$53&lt;=B24,IF('Sub Trecho'!$I$2:$I$53&gt;=B24,0)))))</f>
        <v>10</v>
      </c>
    </row>
    <row r="25" spans="1:11" x14ac:dyDescent="0.3">
      <c r="A25" t="s">
        <v>4788</v>
      </c>
      <c r="B25">
        <v>58.155000000000001</v>
      </c>
      <c r="C25">
        <v>58.088000000000001</v>
      </c>
      <c r="D25">
        <v>58.220999999999997</v>
      </c>
      <c r="E25">
        <v>132.99999999999557</v>
      </c>
      <c r="F25" t="s">
        <v>685</v>
      </c>
      <c r="G25" t="s">
        <v>1102</v>
      </c>
      <c r="I25">
        <v>24</v>
      </c>
      <c r="J25" t="str">
        <f t="array" ref="J25">INDEX('Sub Trecho'!$F$2:$F$53,MATCH(1,IF('Sub Trecho'!$C$2:$C$53=A25,IF('Sub Trecho'!$H$2:$H$53&lt;=B25,IF('Sub Trecho'!$I$2:$I$53&gt;=B25,0)))))</f>
        <v>LIC-LPG</v>
      </c>
      <c r="K25" t="str">
        <f t="array" ref="K25">INDEX('Sub Trecho'!$D$2:$D$53,MATCH(1,IF('Sub Trecho'!$C$2:$C$53=A25,IF('Sub Trecho'!$H$2:$H$53&lt;=B25,IF('Sub Trecho'!$I$2:$I$53&gt;=B25,0)))))</f>
        <v>10</v>
      </c>
    </row>
    <row r="26" spans="1:11" x14ac:dyDescent="0.3">
      <c r="A26" t="s">
        <v>4788</v>
      </c>
      <c r="B26">
        <v>60.37</v>
      </c>
      <c r="C26">
        <v>60.347999999999999</v>
      </c>
      <c r="D26">
        <v>60.390999999999998</v>
      </c>
      <c r="E26">
        <v>42.999999999999261</v>
      </c>
      <c r="F26" t="s">
        <v>1436</v>
      </c>
      <c r="G26" t="s">
        <v>1102</v>
      </c>
      <c r="I26">
        <v>25</v>
      </c>
      <c r="J26" t="str">
        <f t="array" ref="J26">INDEX('Sub Trecho'!$F$2:$F$53,MATCH(1,IF('Sub Trecho'!$C$2:$C$53=A26,IF('Sub Trecho'!$H$2:$H$53&lt;=B26,IF('Sub Trecho'!$I$2:$I$53&gt;=B26,0)))))</f>
        <v>LIC-LPG</v>
      </c>
      <c r="K26" t="str">
        <f t="array" ref="K26">INDEX('Sub Trecho'!$D$2:$D$53,MATCH(1,IF('Sub Trecho'!$C$2:$C$53=A26,IF('Sub Trecho'!$H$2:$H$53&lt;=B26,IF('Sub Trecho'!$I$2:$I$53&gt;=B26,0)))))</f>
        <v>10</v>
      </c>
    </row>
    <row r="27" spans="1:11" x14ac:dyDescent="0.3">
      <c r="A27" t="s">
        <v>4788</v>
      </c>
      <c r="B27">
        <v>60.645000000000003</v>
      </c>
      <c r="C27">
        <v>60.558</v>
      </c>
      <c r="D27">
        <v>60.731000000000002</v>
      </c>
      <c r="E27">
        <v>173.00000000000182</v>
      </c>
      <c r="F27" t="s">
        <v>983</v>
      </c>
      <c r="G27" t="s">
        <v>1102</v>
      </c>
      <c r="I27">
        <v>26</v>
      </c>
      <c r="J27" t="str">
        <f t="array" ref="J27">INDEX('Sub Trecho'!$F$2:$F$53,MATCH(1,IF('Sub Trecho'!$C$2:$C$53=A27,IF('Sub Trecho'!$H$2:$H$53&lt;=B27,IF('Sub Trecho'!$I$2:$I$53&gt;=B27,0)))))</f>
        <v>LIC-LPG</v>
      </c>
      <c r="K27" t="str">
        <f t="array" ref="K27">INDEX('Sub Trecho'!$D$2:$D$53,MATCH(1,IF('Sub Trecho'!$C$2:$C$53=A27,IF('Sub Trecho'!$H$2:$H$53&lt;=B27,IF('Sub Trecho'!$I$2:$I$53&gt;=B27,0)))))</f>
        <v>10</v>
      </c>
    </row>
    <row r="28" spans="1:11" x14ac:dyDescent="0.3">
      <c r="A28" t="s">
        <v>4788</v>
      </c>
      <c r="B28">
        <v>62.698</v>
      </c>
      <c r="C28">
        <v>62.682000000000002</v>
      </c>
      <c r="D28">
        <v>62.713000000000001</v>
      </c>
      <c r="E28">
        <v>30.999999999998806</v>
      </c>
      <c r="F28" t="s">
        <v>979</v>
      </c>
      <c r="G28" t="s">
        <v>1102</v>
      </c>
      <c r="I28">
        <v>27</v>
      </c>
      <c r="J28" t="str">
        <f t="array" ref="J28">INDEX('Sub Trecho'!$F$2:$F$53,MATCH(1,IF('Sub Trecho'!$C$2:$C$53=A28,IF('Sub Trecho'!$H$2:$H$53&lt;=B28,IF('Sub Trecho'!$I$2:$I$53&gt;=B28,0)))))</f>
        <v>LIC-LPG</v>
      </c>
      <c r="K28" t="str">
        <f t="array" ref="K28">INDEX('Sub Trecho'!$D$2:$D$53,MATCH(1,IF('Sub Trecho'!$C$2:$C$53=A28,IF('Sub Trecho'!$H$2:$H$53&lt;=B28,IF('Sub Trecho'!$I$2:$I$53&gt;=B28,0)))))</f>
        <v>10</v>
      </c>
    </row>
    <row r="29" spans="1:11" x14ac:dyDescent="0.3">
      <c r="A29" t="s">
        <v>4788</v>
      </c>
      <c r="B29">
        <v>63.551000000000002</v>
      </c>
      <c r="C29">
        <v>63.390999999999998</v>
      </c>
      <c r="D29">
        <v>63.710999999999999</v>
      </c>
      <c r="E29">
        <v>320.00000000000028</v>
      </c>
      <c r="F29" t="s">
        <v>1163</v>
      </c>
      <c r="G29" t="s">
        <v>1102</v>
      </c>
      <c r="I29">
        <v>28</v>
      </c>
      <c r="J29" t="str">
        <f t="array" ref="J29">INDEX('Sub Trecho'!$F$2:$F$53,MATCH(1,IF('Sub Trecho'!$C$2:$C$53=A29,IF('Sub Trecho'!$H$2:$H$53&lt;=B29,IF('Sub Trecho'!$I$2:$I$53&gt;=B29,0)))))</f>
        <v>LIC-LPG</v>
      </c>
      <c r="K29" t="str">
        <f t="array" ref="K29">INDEX('Sub Trecho'!$D$2:$D$53,MATCH(1,IF('Sub Trecho'!$C$2:$C$53=A29,IF('Sub Trecho'!$H$2:$H$53&lt;=B29,IF('Sub Trecho'!$I$2:$I$53&gt;=B29,0)))))</f>
        <v>10</v>
      </c>
    </row>
    <row r="30" spans="1:11" x14ac:dyDescent="0.3">
      <c r="A30" t="s">
        <v>4788</v>
      </c>
      <c r="B30">
        <v>64.081000000000003</v>
      </c>
      <c r="C30">
        <v>64.051000000000002</v>
      </c>
      <c r="D30">
        <v>64.111000000000004</v>
      </c>
      <c r="E30">
        <v>60.000000000002274</v>
      </c>
      <c r="F30" t="s">
        <v>1159</v>
      </c>
      <c r="G30" t="s">
        <v>1102</v>
      </c>
      <c r="I30">
        <v>29</v>
      </c>
      <c r="J30" t="str">
        <f t="array" ref="J30">INDEX('Sub Trecho'!$F$2:$F$53,MATCH(1,IF('Sub Trecho'!$C$2:$C$53=A30,IF('Sub Trecho'!$H$2:$H$53&lt;=B30,IF('Sub Trecho'!$I$2:$I$53&gt;=B30,0)))))</f>
        <v>LIC-LPG</v>
      </c>
      <c r="K30" t="str">
        <f t="array" ref="K30">INDEX('Sub Trecho'!$D$2:$D$53,MATCH(1,IF('Sub Trecho'!$C$2:$C$53=A30,IF('Sub Trecho'!$H$2:$H$53&lt;=B30,IF('Sub Trecho'!$I$2:$I$53&gt;=B30,0)))))</f>
        <v>10</v>
      </c>
    </row>
    <row r="31" spans="1:11" x14ac:dyDescent="0.3">
      <c r="A31" t="s">
        <v>4788</v>
      </c>
      <c r="B31">
        <v>64.923000000000002</v>
      </c>
      <c r="C31">
        <v>64.856999999999999</v>
      </c>
      <c r="D31">
        <v>64.989000000000004</v>
      </c>
      <c r="E31">
        <v>132.000000000005</v>
      </c>
      <c r="F31" t="s">
        <v>1156</v>
      </c>
      <c r="G31" t="s">
        <v>1102</v>
      </c>
      <c r="I31">
        <v>30</v>
      </c>
      <c r="J31" t="str">
        <f t="array" ref="J31">INDEX('Sub Trecho'!$F$2:$F$53,MATCH(1,IF('Sub Trecho'!$C$2:$C$53=A31,IF('Sub Trecho'!$H$2:$H$53&lt;=B31,IF('Sub Trecho'!$I$2:$I$53&gt;=B31,0)))))</f>
        <v>LIC-LPG</v>
      </c>
      <c r="K31" t="str">
        <f t="array" ref="K31">INDEX('Sub Trecho'!$D$2:$D$53,MATCH(1,IF('Sub Trecho'!$C$2:$C$53=A31,IF('Sub Trecho'!$H$2:$H$53&lt;=B31,IF('Sub Trecho'!$I$2:$I$53&gt;=B31,0)))))</f>
        <v>10</v>
      </c>
    </row>
    <row r="32" spans="1:11" x14ac:dyDescent="0.3">
      <c r="A32" t="s">
        <v>4788</v>
      </c>
      <c r="B32">
        <v>65.16</v>
      </c>
      <c r="C32">
        <v>65.028999999999996</v>
      </c>
      <c r="D32">
        <v>65.290999999999997</v>
      </c>
      <c r="E32">
        <v>262.00000000000045</v>
      </c>
      <c r="F32" t="s">
        <v>974</v>
      </c>
      <c r="G32" t="s">
        <v>1102</v>
      </c>
      <c r="I32">
        <v>31</v>
      </c>
      <c r="J32" t="str">
        <f t="array" ref="J32">INDEX('Sub Trecho'!$F$2:$F$53,MATCH(1,IF('Sub Trecho'!$C$2:$C$53=A32,IF('Sub Trecho'!$H$2:$H$53&lt;=B32,IF('Sub Trecho'!$I$2:$I$53&gt;=B32,0)))))</f>
        <v>LIC-LPG</v>
      </c>
      <c r="K32" t="str">
        <f t="array" ref="K32">INDEX('Sub Trecho'!$D$2:$D$53,MATCH(1,IF('Sub Trecho'!$C$2:$C$53=A32,IF('Sub Trecho'!$H$2:$H$53&lt;=B32,IF('Sub Trecho'!$I$2:$I$53&gt;=B32,0)))))</f>
        <v>10</v>
      </c>
    </row>
    <row r="33" spans="1:11" x14ac:dyDescent="0.3">
      <c r="A33" t="s">
        <v>4788</v>
      </c>
      <c r="B33">
        <v>65.486000000000004</v>
      </c>
      <c r="C33">
        <v>65.441999999999993</v>
      </c>
      <c r="D33">
        <v>65.528999999999996</v>
      </c>
      <c r="E33">
        <v>87.000000000003297</v>
      </c>
      <c r="F33" t="s">
        <v>1153</v>
      </c>
      <c r="G33" t="s">
        <v>1102</v>
      </c>
      <c r="I33">
        <v>32</v>
      </c>
      <c r="J33" t="str">
        <f t="array" ref="J33">INDEX('Sub Trecho'!$F$2:$F$53,MATCH(1,IF('Sub Trecho'!$C$2:$C$53=A33,IF('Sub Trecho'!$H$2:$H$53&lt;=B33,IF('Sub Trecho'!$I$2:$I$53&gt;=B33,0)))))</f>
        <v>LIC-LPG</v>
      </c>
      <c r="K33" t="str">
        <f t="array" ref="K33">INDEX('Sub Trecho'!$D$2:$D$53,MATCH(1,IF('Sub Trecho'!$C$2:$C$53=A33,IF('Sub Trecho'!$H$2:$H$53&lt;=B33,IF('Sub Trecho'!$I$2:$I$53&gt;=B33,0)))))</f>
        <v>10</v>
      </c>
    </row>
    <row r="34" spans="1:11" x14ac:dyDescent="0.3">
      <c r="A34" t="s">
        <v>4788</v>
      </c>
      <c r="B34">
        <v>79.923000000000002</v>
      </c>
      <c r="C34">
        <v>79.680999999999997</v>
      </c>
      <c r="D34">
        <v>80.164000000000001</v>
      </c>
      <c r="E34">
        <v>483.00000000000409</v>
      </c>
      <c r="F34" t="s">
        <v>918</v>
      </c>
      <c r="G34" t="s">
        <v>1102</v>
      </c>
      <c r="I34">
        <v>33</v>
      </c>
      <c r="J34" t="str">
        <f t="array" ref="J34">INDEX('Sub Trecho'!$F$2:$F$53,MATCH(1,IF('Sub Trecho'!$C$2:$C$53=A34,IF('Sub Trecho'!$H$2:$H$53&lt;=B34,IF('Sub Trecho'!$I$2:$I$53&gt;=B34,0)))))</f>
        <v>LIC-LPG</v>
      </c>
      <c r="K34" t="str">
        <f t="array" ref="K34">INDEX('Sub Trecho'!$D$2:$D$53,MATCH(1,IF('Sub Trecho'!$C$2:$C$53=A34,IF('Sub Trecho'!$H$2:$H$53&lt;=B34,IF('Sub Trecho'!$I$2:$I$53&gt;=B34,0)))))</f>
        <v>10</v>
      </c>
    </row>
    <row r="35" spans="1:11" x14ac:dyDescent="0.3">
      <c r="A35" t="s">
        <v>4789</v>
      </c>
      <c r="B35">
        <v>23.321000000000002</v>
      </c>
      <c r="C35">
        <v>23.221</v>
      </c>
      <c r="D35">
        <v>23.420999999999999</v>
      </c>
      <c r="E35">
        <v>199.99999999999929</v>
      </c>
      <c r="F35" t="s">
        <v>680</v>
      </c>
      <c r="G35" t="s">
        <v>679</v>
      </c>
      <c r="I35">
        <v>34</v>
      </c>
      <c r="J35" t="str">
        <f t="array" ref="J35">INDEX('Sub Trecho'!$F$2:$F$53,MATCH(1,IF('Sub Trecho'!$C$2:$C$53=A35,IF('Sub Trecho'!$H$2:$H$53&lt;=B35,IF('Sub Trecho'!$I$2:$I$53&gt;=B35,0)))))</f>
        <v>LEB-LRI</v>
      </c>
      <c r="K35" t="str">
        <f t="array" ref="K35">INDEX('Sub Trecho'!$D$2:$D$53,MATCH(1,IF('Sub Trecho'!$C$2:$C$53=A35,IF('Sub Trecho'!$H$2:$H$53&lt;=B35,IF('Sub Trecho'!$I$2:$I$53&gt;=B35,0)))))</f>
        <v>13</v>
      </c>
    </row>
    <row r="36" spans="1:11" x14ac:dyDescent="0.3">
      <c r="A36" t="s">
        <v>4789</v>
      </c>
      <c r="B36">
        <v>51.643999999999998</v>
      </c>
      <c r="C36">
        <v>51.496000000000002</v>
      </c>
      <c r="D36">
        <v>51.790999999999997</v>
      </c>
      <c r="E36">
        <v>294.9999999999946</v>
      </c>
      <c r="F36" t="s">
        <v>673</v>
      </c>
      <c r="G36" t="s">
        <v>1408</v>
      </c>
      <c r="I36">
        <v>35</v>
      </c>
      <c r="J36" t="str">
        <f t="array" ref="J36">INDEX('Sub Trecho'!$F$2:$F$53,MATCH(1,IF('Sub Trecho'!$C$2:$C$53=A36,IF('Sub Trecho'!$H$2:$H$53&lt;=B36,IF('Sub Trecho'!$I$2:$I$53&gt;=B36,0)))))</f>
        <v>LEB-LRI</v>
      </c>
      <c r="K36" t="str">
        <f t="array" ref="K36">INDEX('Sub Trecho'!$D$2:$D$53,MATCH(1,IF('Sub Trecho'!$C$2:$C$53=A36,IF('Sub Trecho'!$H$2:$H$53&lt;=B36,IF('Sub Trecho'!$I$2:$I$53&gt;=B36,0)))))</f>
        <v>13</v>
      </c>
    </row>
    <row r="37" spans="1:11" x14ac:dyDescent="0.3">
      <c r="A37" t="s">
        <v>4790</v>
      </c>
      <c r="B37">
        <v>107.76900000000001</v>
      </c>
      <c r="C37">
        <v>107.685</v>
      </c>
      <c r="D37">
        <v>107.85299999999999</v>
      </c>
      <c r="E37">
        <v>167.99999999999216</v>
      </c>
      <c r="F37" t="s">
        <v>539</v>
      </c>
      <c r="G37" t="s">
        <v>538</v>
      </c>
      <c r="I37">
        <v>36</v>
      </c>
      <c r="J37" t="str">
        <f t="array" ref="J37">INDEX('Sub Trecho'!$F$2:$F$53,MATCH(1,IF('Sub Trecho'!$C$2:$C$53=A37,IF('Sub Trecho'!$H$2:$H$53&lt;=B37,IF('Sub Trecho'!$I$2:$I$53&gt;=B37,0)))))</f>
        <v>LSB-LJG</v>
      </c>
      <c r="K37" t="str">
        <f t="array" ref="K37">INDEX('Sub Trecho'!$D$2:$D$53,MATCH(1,IF('Sub Trecho'!$C$2:$C$53=A37,IF('Sub Trecho'!$H$2:$H$53&lt;=B37,IF('Sub Trecho'!$I$2:$I$53&gt;=B37,0)))))</f>
        <v>14</v>
      </c>
    </row>
    <row r="38" spans="1:11" x14ac:dyDescent="0.3">
      <c r="A38" t="s">
        <v>4790</v>
      </c>
      <c r="B38">
        <v>118.9</v>
      </c>
      <c r="C38">
        <v>118.881</v>
      </c>
      <c r="D38">
        <v>118.91800000000001</v>
      </c>
      <c r="E38">
        <v>37.000000000006139</v>
      </c>
      <c r="F38" t="s">
        <v>523</v>
      </c>
      <c r="G38" t="s">
        <v>522</v>
      </c>
      <c r="I38">
        <v>37</v>
      </c>
      <c r="J38" t="str">
        <f t="array" ref="J38">INDEX('Sub Trecho'!$F$2:$F$53,MATCH(1,IF('Sub Trecho'!$C$2:$C$53=A38,IF('Sub Trecho'!$H$2:$H$53&lt;=B38,IF('Sub Trecho'!$I$2:$I$53&gt;=B38,0)))))</f>
        <v>LSB-LJG</v>
      </c>
      <c r="K38" t="str">
        <f t="array" ref="K38">INDEX('Sub Trecho'!$D$2:$D$53,MATCH(1,IF('Sub Trecho'!$C$2:$C$53=A38,IF('Sub Trecho'!$H$2:$H$53&lt;=B38,IF('Sub Trecho'!$I$2:$I$53&gt;=B38,0)))))</f>
        <v>14</v>
      </c>
    </row>
    <row r="39" spans="1:11" x14ac:dyDescent="0.3">
      <c r="A39" t="s">
        <v>4790</v>
      </c>
      <c r="B39">
        <v>120.96</v>
      </c>
      <c r="C39">
        <v>120.925</v>
      </c>
      <c r="D39">
        <v>120.994</v>
      </c>
      <c r="E39">
        <v>69.000000000002615</v>
      </c>
      <c r="F39" t="s">
        <v>528</v>
      </c>
      <c r="G39" t="s">
        <v>527</v>
      </c>
      <c r="I39">
        <v>38</v>
      </c>
      <c r="J39" t="str">
        <f t="array" ref="J39">INDEX('Sub Trecho'!$F$2:$F$53,MATCH(1,IF('Sub Trecho'!$C$2:$C$53=A39,IF('Sub Trecho'!$H$2:$H$53&lt;=B39,IF('Sub Trecho'!$I$2:$I$53&gt;=B39,0)))))</f>
        <v>LSB-LJG</v>
      </c>
      <c r="K39" t="str">
        <f t="array" ref="K39">INDEX('Sub Trecho'!$D$2:$D$53,MATCH(1,IF('Sub Trecho'!$C$2:$C$53=A39,IF('Sub Trecho'!$H$2:$H$53&lt;=B39,IF('Sub Trecho'!$I$2:$I$53&gt;=B39,0)))))</f>
        <v>14</v>
      </c>
    </row>
    <row r="40" spans="1:11" x14ac:dyDescent="0.3">
      <c r="A40" t="s">
        <v>4790</v>
      </c>
      <c r="B40">
        <v>122.334</v>
      </c>
      <c r="C40">
        <v>122.27500000000001</v>
      </c>
      <c r="D40">
        <v>122.393</v>
      </c>
      <c r="E40">
        <v>117.999999999995</v>
      </c>
      <c r="F40" t="s">
        <v>532</v>
      </c>
      <c r="G40" t="s">
        <v>1289</v>
      </c>
      <c r="I40">
        <v>39</v>
      </c>
      <c r="J40" t="str">
        <f t="array" ref="J40">INDEX('Sub Trecho'!$F$2:$F$53,MATCH(1,IF('Sub Trecho'!$C$2:$C$53=A40,IF('Sub Trecho'!$H$2:$H$53&lt;=B40,IF('Sub Trecho'!$I$2:$I$53&gt;=B40,0)))))</f>
        <v>LSB-LJG</v>
      </c>
      <c r="K40" t="str">
        <f t="array" ref="K40">INDEX('Sub Trecho'!$D$2:$D$53,MATCH(1,IF('Sub Trecho'!$C$2:$C$53=A40,IF('Sub Trecho'!$H$2:$H$53&lt;=B40,IF('Sub Trecho'!$I$2:$I$53&gt;=B40,0)))))</f>
        <v>14</v>
      </c>
    </row>
    <row r="41" spans="1:11" x14ac:dyDescent="0.3">
      <c r="A41" t="s">
        <v>4790</v>
      </c>
      <c r="B41">
        <v>125.824</v>
      </c>
      <c r="C41">
        <v>125.79900000000001</v>
      </c>
      <c r="D41">
        <v>125.848</v>
      </c>
      <c r="E41">
        <v>48.999999999992383</v>
      </c>
      <c r="F41" t="s">
        <v>517</v>
      </c>
      <c r="G41" t="s">
        <v>516</v>
      </c>
      <c r="I41">
        <v>40</v>
      </c>
      <c r="J41" t="str">
        <f t="array" ref="J41">INDEX('Sub Trecho'!$F$2:$F$53,MATCH(1,IF('Sub Trecho'!$C$2:$C$53=A41,IF('Sub Trecho'!$H$2:$H$53&lt;=B41,IF('Sub Trecho'!$I$2:$I$53&gt;=B41,0)))))</f>
        <v>LSB-LJG</v>
      </c>
      <c r="K41" t="str">
        <f t="array" ref="K41">INDEX('Sub Trecho'!$D$2:$D$53,MATCH(1,IF('Sub Trecho'!$C$2:$C$53=A41,IF('Sub Trecho'!$H$2:$H$53&lt;=B41,IF('Sub Trecho'!$I$2:$I$53&gt;=B41,0)))))</f>
        <v>14</v>
      </c>
    </row>
    <row r="42" spans="1:11" x14ac:dyDescent="0.3">
      <c r="A42" t="s">
        <v>4791</v>
      </c>
      <c r="B42">
        <v>5.915</v>
      </c>
      <c r="C42">
        <v>5.8</v>
      </c>
      <c r="D42">
        <v>6.03</v>
      </c>
      <c r="E42">
        <v>230</v>
      </c>
      <c r="F42" t="s">
        <v>925</v>
      </c>
      <c r="I42">
        <v>41</v>
      </c>
      <c r="J42" t="str">
        <f t="array" ref="J42">INDEX('Sub Trecho'!$F$2:$F$53,MATCH(1,IF('Sub Trecho'!$C$2:$C$53=A42,IF('Sub Trecho'!$H$2:$H$53&lt;=B42,IF('Sub Trecho'!$I$2:$I$53&gt;=B42,0)))))</f>
        <v>LUN-LNG</v>
      </c>
      <c r="K42" t="str">
        <f t="array" ref="K42">INDEX('Sub Trecho'!$D$2:$D$53,MATCH(1,IF('Sub Trecho'!$C$2:$C$53=A42,IF('Sub Trecho'!$H$2:$H$53&lt;=B42,IF('Sub Trecho'!$I$2:$I$53&gt;=B42,0)))))</f>
        <v>15</v>
      </c>
    </row>
    <row r="43" spans="1:11" x14ac:dyDescent="0.3">
      <c r="A43" t="s">
        <v>4791</v>
      </c>
      <c r="B43">
        <v>8.2850000000000001</v>
      </c>
      <c r="C43">
        <v>8.15</v>
      </c>
      <c r="D43">
        <v>8.42</v>
      </c>
      <c r="E43">
        <v>270</v>
      </c>
      <c r="F43" t="s">
        <v>936</v>
      </c>
      <c r="I43">
        <v>42</v>
      </c>
      <c r="J43" t="str">
        <f t="array" ref="J43">INDEX('Sub Trecho'!$F$2:$F$53,MATCH(1,IF('Sub Trecho'!$C$2:$C$53=A43,IF('Sub Trecho'!$H$2:$H$53&lt;=B43,IF('Sub Trecho'!$I$2:$I$53&gt;=B43,0)))))</f>
        <v>LUN-LNG</v>
      </c>
      <c r="K43" t="str">
        <f t="array" ref="K43">INDEX('Sub Trecho'!$D$2:$D$53,MATCH(1,IF('Sub Trecho'!$C$2:$C$53=A43,IF('Sub Trecho'!$H$2:$H$53&lt;=B43,IF('Sub Trecho'!$I$2:$I$53&gt;=B43,0)))))</f>
        <v>15</v>
      </c>
    </row>
    <row r="44" spans="1:11" x14ac:dyDescent="0.3">
      <c r="A44" t="s">
        <v>4792</v>
      </c>
      <c r="B44">
        <v>38.438000000000002</v>
      </c>
      <c r="C44">
        <v>38.283999999999999</v>
      </c>
      <c r="D44">
        <v>38.591000000000001</v>
      </c>
      <c r="E44">
        <v>307.00000000000216</v>
      </c>
      <c r="F44" t="s">
        <v>1008</v>
      </c>
      <c r="G44" t="s">
        <v>1007</v>
      </c>
      <c r="I44">
        <v>43</v>
      </c>
      <c r="J44" t="str">
        <f t="array" ref="J44">INDEX('Sub Trecho'!$F$2:$F$53,MATCH(1,IF('Sub Trecho'!$C$2:$C$53=A44,IF('Sub Trecho'!$H$2:$H$53&lt;=B44,IF('Sub Trecho'!$I$2:$I$53&gt;=B44,0)))))</f>
        <v>LRI-LIA</v>
      </c>
      <c r="K44" t="str">
        <f t="array" ref="K44">INDEX('Sub Trecho'!$D$2:$D$53,MATCH(1,IF('Sub Trecho'!$C$2:$C$53=A44,IF('Sub Trecho'!$H$2:$H$53&lt;=B44,IF('Sub Trecho'!$I$2:$I$53&gt;=B44,0)))))</f>
        <v>16</v>
      </c>
    </row>
    <row r="45" spans="1:11" x14ac:dyDescent="0.3">
      <c r="A45" t="s">
        <v>4792</v>
      </c>
      <c r="B45">
        <v>113.76</v>
      </c>
      <c r="C45">
        <v>113.64100000000001</v>
      </c>
      <c r="D45">
        <v>113.879</v>
      </c>
      <c r="E45">
        <v>237.99999999999957</v>
      </c>
      <c r="F45" t="s">
        <v>1012</v>
      </c>
      <c r="G45" t="s">
        <v>1011</v>
      </c>
      <c r="I45">
        <v>44</v>
      </c>
      <c r="J45" t="str">
        <f t="array" ref="J45">INDEX('Sub Trecho'!$F$2:$F$53,MATCH(1,IF('Sub Trecho'!$C$2:$C$53=A45,IF('Sub Trecho'!$H$2:$H$53&lt;=B45,IF('Sub Trecho'!$I$2:$I$53&gt;=B45,0)))))</f>
        <v>LIA-LFJ</v>
      </c>
      <c r="K45" t="str">
        <f t="array" ref="K45">INDEX('Sub Trecho'!$D$2:$D$53,MATCH(1,IF('Sub Trecho'!$C$2:$C$53=A45,IF('Sub Trecho'!$H$2:$H$53&lt;=B45,IF('Sub Trecho'!$I$2:$I$53&gt;=B45,0)))))</f>
        <v>16</v>
      </c>
    </row>
    <row r="46" spans="1:11" x14ac:dyDescent="0.3">
      <c r="A46" t="s">
        <v>4792</v>
      </c>
      <c r="B46">
        <v>114.23099999999999</v>
      </c>
      <c r="C46">
        <v>114.134</v>
      </c>
      <c r="D46">
        <v>114.327</v>
      </c>
      <c r="E46">
        <v>192.99999999999784</v>
      </c>
      <c r="F46" t="s">
        <v>1068</v>
      </c>
      <c r="G46" t="s">
        <v>1067</v>
      </c>
      <c r="I46">
        <v>45</v>
      </c>
      <c r="J46" t="str">
        <f t="array" ref="J46">INDEX('Sub Trecho'!$F$2:$F$53,MATCH(1,IF('Sub Trecho'!$C$2:$C$53=A46,IF('Sub Trecho'!$H$2:$H$53&lt;=B46,IF('Sub Trecho'!$I$2:$I$53&gt;=B46,0)))))</f>
        <v>LIA-LFJ</v>
      </c>
      <c r="K46" t="str">
        <f t="array" ref="K46">INDEX('Sub Trecho'!$D$2:$D$53,MATCH(1,IF('Sub Trecho'!$C$2:$C$53=A46,IF('Sub Trecho'!$H$2:$H$53&lt;=B46,IF('Sub Trecho'!$I$2:$I$53&gt;=B46,0)))))</f>
        <v>16</v>
      </c>
    </row>
    <row r="47" spans="1:11" x14ac:dyDescent="0.3">
      <c r="A47" t="s">
        <v>4792</v>
      </c>
      <c r="B47">
        <v>115.289</v>
      </c>
      <c r="C47">
        <v>115.169</v>
      </c>
      <c r="D47">
        <v>115.408</v>
      </c>
      <c r="E47">
        <v>239.00000000000432</v>
      </c>
      <c r="F47" t="s">
        <v>1065</v>
      </c>
      <c r="G47" t="s">
        <v>4793</v>
      </c>
      <c r="I47">
        <v>46</v>
      </c>
      <c r="J47" t="str">
        <f t="array" ref="J47">INDEX('Sub Trecho'!$F$2:$F$53,MATCH(1,IF('Sub Trecho'!$C$2:$C$53=A47,IF('Sub Trecho'!$H$2:$H$53&lt;=B47,IF('Sub Trecho'!$I$2:$I$53&gt;=B47,0)))))</f>
        <v>LIA-LFJ</v>
      </c>
      <c r="K47" t="str">
        <f t="array" ref="K47">INDEX('Sub Trecho'!$D$2:$D$53,MATCH(1,IF('Sub Trecho'!$C$2:$C$53=A47,IF('Sub Trecho'!$H$2:$H$53&lt;=B47,IF('Sub Trecho'!$I$2:$I$53&gt;=B47,0)))))</f>
        <v>16</v>
      </c>
    </row>
    <row r="48" spans="1:11" x14ac:dyDescent="0.3">
      <c r="A48" t="s">
        <v>4792</v>
      </c>
      <c r="B48">
        <v>115.80500000000001</v>
      </c>
      <c r="C48">
        <v>115.703</v>
      </c>
      <c r="D48">
        <v>115.90600000000001</v>
      </c>
      <c r="E48">
        <v>203.00000000000296</v>
      </c>
      <c r="F48" t="s">
        <v>601</v>
      </c>
      <c r="G48" t="s">
        <v>4794</v>
      </c>
      <c r="I48">
        <v>47</v>
      </c>
      <c r="J48" t="str">
        <f t="array" ref="J48">INDEX('Sub Trecho'!$F$2:$F$53,MATCH(1,IF('Sub Trecho'!$C$2:$C$53=A48,IF('Sub Trecho'!$H$2:$H$53&lt;=B48,IF('Sub Trecho'!$I$2:$I$53&gt;=B48,0)))))</f>
        <v>LIA-LFJ</v>
      </c>
      <c r="K48" t="str">
        <f t="array" ref="K48">INDEX('Sub Trecho'!$D$2:$D$53,MATCH(1,IF('Sub Trecho'!$C$2:$C$53=A48,IF('Sub Trecho'!$H$2:$H$53&lt;=B48,IF('Sub Trecho'!$I$2:$I$53&gt;=B48,0)))))</f>
        <v>16</v>
      </c>
    </row>
    <row r="49" spans="1:11" x14ac:dyDescent="0.3">
      <c r="A49" t="s">
        <v>4792</v>
      </c>
      <c r="B49">
        <v>116.161</v>
      </c>
      <c r="C49">
        <v>116.02800000000001</v>
      </c>
      <c r="D49">
        <v>116.29300000000001</v>
      </c>
      <c r="E49">
        <v>265.00000000000057</v>
      </c>
      <c r="F49" t="s">
        <v>1015</v>
      </c>
      <c r="G49" t="s">
        <v>1014</v>
      </c>
      <c r="I49">
        <v>48</v>
      </c>
      <c r="J49" t="str">
        <f t="array" ref="J49">INDEX('Sub Trecho'!$F$2:$F$53,MATCH(1,IF('Sub Trecho'!$C$2:$C$53=A49,IF('Sub Trecho'!$H$2:$H$53&lt;=B49,IF('Sub Trecho'!$I$2:$I$53&gt;=B49,0)))))</f>
        <v>LIA-LFJ</v>
      </c>
      <c r="K49" t="str">
        <f t="array" ref="K49">INDEX('Sub Trecho'!$D$2:$D$53,MATCH(1,IF('Sub Trecho'!$C$2:$C$53=A49,IF('Sub Trecho'!$H$2:$H$53&lt;=B49,IF('Sub Trecho'!$I$2:$I$53&gt;=B49,0)))))</f>
        <v>16</v>
      </c>
    </row>
    <row r="50" spans="1:11" x14ac:dyDescent="0.3">
      <c r="A50" t="s">
        <v>4792</v>
      </c>
      <c r="B50">
        <v>116.398</v>
      </c>
      <c r="C50">
        <v>116.33799999999999</v>
      </c>
      <c r="D50">
        <v>116.458</v>
      </c>
      <c r="E50">
        <v>120.00000000000456</v>
      </c>
      <c r="F50" t="s">
        <v>1018</v>
      </c>
      <c r="G50" t="s">
        <v>1017</v>
      </c>
      <c r="I50">
        <v>49</v>
      </c>
      <c r="J50" t="str">
        <f t="array" ref="J50">INDEX('Sub Trecho'!$F$2:$F$53,MATCH(1,IF('Sub Trecho'!$C$2:$C$53=A50,IF('Sub Trecho'!$H$2:$H$53&lt;=B50,IF('Sub Trecho'!$I$2:$I$53&gt;=B50,0)))))</f>
        <v>LIA-LFJ</v>
      </c>
      <c r="K50" t="str">
        <f t="array" ref="K50">INDEX('Sub Trecho'!$D$2:$D$53,MATCH(1,IF('Sub Trecho'!$C$2:$C$53=A50,IF('Sub Trecho'!$H$2:$H$53&lt;=B50,IF('Sub Trecho'!$I$2:$I$53&gt;=B50,0)))))</f>
        <v>16</v>
      </c>
    </row>
    <row r="51" spans="1:11" x14ac:dyDescent="0.3">
      <c r="A51" t="s">
        <v>4792</v>
      </c>
      <c r="B51">
        <v>116.828</v>
      </c>
      <c r="C51">
        <v>116.63800000000001</v>
      </c>
      <c r="D51">
        <v>117.018</v>
      </c>
      <c r="E51">
        <v>379.99999999999545</v>
      </c>
      <c r="F51" t="s">
        <v>1055</v>
      </c>
      <c r="G51" t="s">
        <v>1054</v>
      </c>
      <c r="I51">
        <v>50</v>
      </c>
      <c r="J51" t="str">
        <f t="array" ref="J51">INDEX('Sub Trecho'!$F$2:$F$53,MATCH(1,IF('Sub Trecho'!$C$2:$C$53=A51,IF('Sub Trecho'!$H$2:$H$53&lt;=B51,IF('Sub Trecho'!$I$2:$I$53&gt;=B51,0)))))</f>
        <v>LIA-LFJ</v>
      </c>
      <c r="K51" t="str">
        <f t="array" ref="K51">INDEX('Sub Trecho'!$D$2:$D$53,MATCH(1,IF('Sub Trecho'!$C$2:$C$53=A51,IF('Sub Trecho'!$H$2:$H$53&lt;=B51,IF('Sub Trecho'!$I$2:$I$53&gt;=B51,0)))))</f>
        <v>16</v>
      </c>
    </row>
    <row r="52" spans="1:11" x14ac:dyDescent="0.3">
      <c r="A52" t="s">
        <v>4792</v>
      </c>
      <c r="B52">
        <v>118.15900000000001</v>
      </c>
      <c r="C52">
        <v>118.081</v>
      </c>
      <c r="D52">
        <v>118.236</v>
      </c>
      <c r="E52">
        <v>155.00000000000114</v>
      </c>
      <c r="F52" t="s">
        <v>1027</v>
      </c>
      <c r="G52" t="s">
        <v>4795</v>
      </c>
      <c r="I52">
        <v>51</v>
      </c>
      <c r="J52" t="str">
        <f t="array" ref="J52">INDEX('Sub Trecho'!$F$2:$F$53,MATCH(1,IF('Sub Trecho'!$C$2:$C$53=A52,IF('Sub Trecho'!$H$2:$H$53&lt;=B52,IF('Sub Trecho'!$I$2:$I$53&gt;=B52,0)))))</f>
        <v>LIA-LFJ</v>
      </c>
      <c r="K52" t="str">
        <f t="array" ref="K52">INDEX('Sub Trecho'!$D$2:$D$53,MATCH(1,IF('Sub Trecho'!$C$2:$C$53=A52,IF('Sub Trecho'!$H$2:$H$53&lt;=B52,IF('Sub Trecho'!$I$2:$I$53&gt;=B52,0)))))</f>
        <v>16</v>
      </c>
    </row>
    <row r="53" spans="1:11" x14ac:dyDescent="0.3">
      <c r="A53" t="s">
        <v>4792</v>
      </c>
      <c r="B53">
        <v>120.1</v>
      </c>
      <c r="C53">
        <v>120.017</v>
      </c>
      <c r="D53">
        <v>120.18300000000001</v>
      </c>
      <c r="E53">
        <v>166.00000000001103</v>
      </c>
      <c r="F53" t="s">
        <v>1033</v>
      </c>
      <c r="G53" t="s">
        <v>1032</v>
      </c>
      <c r="I53">
        <v>52</v>
      </c>
      <c r="J53" t="str">
        <f t="array" ref="J53">INDEX('Sub Trecho'!$F$2:$F$53,MATCH(1,IF('Sub Trecho'!$C$2:$C$53=A53,IF('Sub Trecho'!$H$2:$H$53&lt;=B53,IF('Sub Trecho'!$I$2:$I$53&gt;=B53,0)))))</f>
        <v>LIA-LFJ</v>
      </c>
      <c r="K53" t="str">
        <f t="array" ref="K53">INDEX('Sub Trecho'!$D$2:$D$53,MATCH(1,IF('Sub Trecho'!$C$2:$C$53=A53,IF('Sub Trecho'!$H$2:$H$53&lt;=B53,IF('Sub Trecho'!$I$2:$I$53&gt;=B53,0)))))</f>
        <v>16</v>
      </c>
    </row>
    <row r="54" spans="1:11" x14ac:dyDescent="0.3">
      <c r="A54" t="s">
        <v>4792</v>
      </c>
      <c r="B54">
        <v>121.59699999999999</v>
      </c>
      <c r="C54">
        <v>120.828</v>
      </c>
      <c r="D54">
        <v>122.36499999999999</v>
      </c>
      <c r="E54">
        <v>1536.9999999999918</v>
      </c>
      <c r="F54" t="s">
        <v>1023</v>
      </c>
      <c r="G54" t="s">
        <v>1022</v>
      </c>
      <c r="I54">
        <v>53</v>
      </c>
      <c r="J54" t="str">
        <f t="array" ref="J54">INDEX('Sub Trecho'!$F$2:$F$53,MATCH(1,IF('Sub Trecho'!$C$2:$C$53=A54,IF('Sub Trecho'!$H$2:$H$53&lt;=B54,IF('Sub Trecho'!$I$2:$I$53&gt;=B54,0)))))</f>
        <v>LIA-LFJ</v>
      </c>
      <c r="K54" t="str">
        <f t="array" ref="K54">INDEX('Sub Trecho'!$D$2:$D$53,MATCH(1,IF('Sub Trecho'!$C$2:$C$53=A54,IF('Sub Trecho'!$H$2:$H$53&lt;=B54,IF('Sub Trecho'!$I$2:$I$53&gt;=B54,0)))))</f>
        <v>16</v>
      </c>
    </row>
    <row r="55" spans="1:11" x14ac:dyDescent="0.3">
      <c r="A55" t="s">
        <v>4792</v>
      </c>
      <c r="B55">
        <v>124.47</v>
      </c>
      <c r="C55">
        <v>124.199</v>
      </c>
      <c r="D55">
        <v>124.741</v>
      </c>
      <c r="E55">
        <v>542.00000000000159</v>
      </c>
      <c r="F55" t="s">
        <v>1040</v>
      </c>
      <c r="G55" t="s">
        <v>4796</v>
      </c>
      <c r="I55">
        <v>54</v>
      </c>
      <c r="J55" t="str">
        <f t="array" ref="J55">INDEX('Sub Trecho'!$F$2:$F$53,MATCH(1,IF('Sub Trecho'!$C$2:$C$53=A55,IF('Sub Trecho'!$H$2:$H$53&lt;=B55,IF('Sub Trecho'!$I$2:$I$53&gt;=B55,0)))))</f>
        <v>LIA-LFJ</v>
      </c>
      <c r="K55" t="str">
        <f t="array" ref="K55">INDEX('Sub Trecho'!$D$2:$D$53,MATCH(1,IF('Sub Trecho'!$C$2:$C$53=A55,IF('Sub Trecho'!$H$2:$H$53&lt;=B55,IF('Sub Trecho'!$I$2:$I$53&gt;=B55,0)))))</f>
        <v>16</v>
      </c>
    </row>
    <row r="56" spans="1:11" x14ac:dyDescent="0.3">
      <c r="A56" t="s">
        <v>4792</v>
      </c>
      <c r="B56">
        <v>126.18</v>
      </c>
      <c r="C56">
        <v>125.676</v>
      </c>
      <c r="D56">
        <v>126.684</v>
      </c>
      <c r="E56">
        <v>1007.9999999999956</v>
      </c>
      <c r="F56" t="s">
        <v>606</v>
      </c>
      <c r="G56" t="s">
        <v>4797</v>
      </c>
      <c r="I56">
        <v>55</v>
      </c>
      <c r="J56" t="str">
        <f t="array" ref="J56">INDEX('Sub Trecho'!$F$2:$F$53,MATCH(1,IF('Sub Trecho'!$C$2:$C$53=A56,IF('Sub Trecho'!$H$2:$H$53&lt;=B56,IF('Sub Trecho'!$I$2:$I$53&gt;=B56,0)))))</f>
        <v>LIA-LFJ</v>
      </c>
      <c r="K56" t="str">
        <f t="array" ref="K56">INDEX('Sub Trecho'!$D$2:$D$53,MATCH(1,IF('Sub Trecho'!$C$2:$C$53=A56,IF('Sub Trecho'!$H$2:$H$53&lt;=B56,IF('Sub Trecho'!$I$2:$I$53&gt;=B56,0)))))</f>
        <v>16</v>
      </c>
    </row>
    <row r="57" spans="1:11" x14ac:dyDescent="0.3">
      <c r="A57" t="s">
        <v>4792</v>
      </c>
      <c r="B57">
        <v>133.9</v>
      </c>
      <c r="C57">
        <v>133.64500000000001</v>
      </c>
      <c r="D57">
        <v>134.155</v>
      </c>
      <c r="E57">
        <v>509.99999999999091</v>
      </c>
      <c r="F57" t="s">
        <v>612</v>
      </c>
      <c r="G57" t="s">
        <v>4798</v>
      </c>
      <c r="I57">
        <v>56</v>
      </c>
      <c r="J57" t="str">
        <f t="array" ref="J57">INDEX('Sub Trecho'!$F$2:$F$53,MATCH(1,IF('Sub Trecho'!$C$2:$C$53=A57,IF('Sub Trecho'!$H$2:$H$53&lt;=B57,IF('Sub Trecho'!$I$2:$I$53&gt;=B57,0)))))</f>
        <v>LIA-LFJ</v>
      </c>
      <c r="K57" t="str">
        <f t="array" ref="K57">INDEX('Sub Trecho'!$D$2:$D$53,MATCH(1,IF('Sub Trecho'!$C$2:$C$53=A57,IF('Sub Trecho'!$H$2:$H$53&lt;=B57,IF('Sub Trecho'!$I$2:$I$53&gt;=B57,0)))))</f>
        <v>16</v>
      </c>
    </row>
    <row r="58" spans="1:11" x14ac:dyDescent="0.3">
      <c r="A58" t="s">
        <v>4792</v>
      </c>
      <c r="B58">
        <v>136.779</v>
      </c>
      <c r="C58">
        <v>136.667</v>
      </c>
      <c r="D58">
        <v>136.89099999999999</v>
      </c>
      <c r="E58">
        <v>223.99999999998951</v>
      </c>
      <c r="F58" t="s">
        <v>1049</v>
      </c>
      <c r="G58" t="s">
        <v>1048</v>
      </c>
      <c r="I58">
        <v>57</v>
      </c>
      <c r="J58" t="str">
        <f t="array" ref="J58">INDEX('Sub Trecho'!$F$2:$F$53,MATCH(1,IF('Sub Trecho'!$C$2:$C$53=A58,IF('Sub Trecho'!$H$2:$H$53&lt;=B58,IF('Sub Trecho'!$I$2:$I$53&gt;=B58,0)))))</f>
        <v>LIA-LFJ</v>
      </c>
      <c r="K58" t="str">
        <f t="array" ref="K58">INDEX('Sub Trecho'!$D$2:$D$53,MATCH(1,IF('Sub Trecho'!$C$2:$C$53=A58,IF('Sub Trecho'!$H$2:$H$53&lt;=B58,IF('Sub Trecho'!$I$2:$I$53&gt;=B58,0)))))</f>
        <v>16</v>
      </c>
    </row>
    <row r="59" spans="1:11" x14ac:dyDescent="0.3">
      <c r="A59" t="s">
        <v>4792</v>
      </c>
      <c r="B59">
        <v>170.15899999999999</v>
      </c>
      <c r="C59">
        <v>169.96100000000001</v>
      </c>
      <c r="D59">
        <v>170.357</v>
      </c>
      <c r="E59">
        <v>395.99999999998658</v>
      </c>
      <c r="F59" t="s">
        <v>773</v>
      </c>
      <c r="G59" t="s">
        <v>772</v>
      </c>
      <c r="I59">
        <v>58</v>
      </c>
      <c r="J59" t="str">
        <f t="array" ref="J59">INDEX('Sub Trecho'!$F$2:$F$53,MATCH(1,IF('Sub Trecho'!$C$2:$C$53=A59,IF('Sub Trecho'!$H$2:$H$53&lt;=B59,IF('Sub Trecho'!$I$2:$I$53&gt;=B59,0)))))</f>
        <v>LIA-LFJ</v>
      </c>
      <c r="K59" t="str">
        <f t="array" ref="K59">INDEX('Sub Trecho'!$D$2:$D$53,MATCH(1,IF('Sub Trecho'!$C$2:$C$53=A59,IF('Sub Trecho'!$H$2:$H$53&lt;=B59,IF('Sub Trecho'!$I$2:$I$53&gt;=B59,0)))))</f>
        <v>16</v>
      </c>
    </row>
    <row r="60" spans="1:11" x14ac:dyDescent="0.3">
      <c r="A60" t="s">
        <v>4792</v>
      </c>
      <c r="B60">
        <v>191.56</v>
      </c>
      <c r="C60">
        <v>191.19900000000001</v>
      </c>
      <c r="D60">
        <v>191.92099999999999</v>
      </c>
      <c r="E60">
        <v>721.99999999997999</v>
      </c>
      <c r="F60" t="s">
        <v>111</v>
      </c>
      <c r="G60" t="s">
        <v>110</v>
      </c>
      <c r="I60">
        <v>59</v>
      </c>
      <c r="J60" t="str">
        <f t="array" ref="J60">INDEX('Sub Trecho'!$F$2:$F$53,MATCH(1,IF('Sub Trecho'!$C$2:$C$53=A60,IF('Sub Trecho'!$H$2:$H$53&lt;=B60,IF('Sub Trecho'!$I$2:$I$53&gt;=B60,0)))))</f>
        <v>LIA-LFJ</v>
      </c>
      <c r="K60" t="str">
        <f t="array" ref="K60">INDEX('Sub Trecho'!$D$2:$D$53,MATCH(1,IF('Sub Trecho'!$C$2:$C$53=A60,IF('Sub Trecho'!$H$2:$H$53&lt;=B60,IF('Sub Trecho'!$I$2:$I$53&gt;=B60,0)))))</f>
        <v>16</v>
      </c>
    </row>
    <row r="61" spans="1:11" x14ac:dyDescent="0.3">
      <c r="A61" t="s">
        <v>4792</v>
      </c>
      <c r="B61">
        <v>219.41900000000001</v>
      </c>
      <c r="C61">
        <v>219.185</v>
      </c>
      <c r="D61">
        <v>219.65299999999999</v>
      </c>
      <c r="E61">
        <v>467.99999999998926</v>
      </c>
      <c r="F61" t="s">
        <v>690</v>
      </c>
      <c r="G61" t="s">
        <v>689</v>
      </c>
      <c r="I61">
        <v>60</v>
      </c>
      <c r="J61" t="str">
        <f t="array" ref="J61">INDEX('Sub Trecho'!$F$2:$F$53,MATCH(1,IF('Sub Trecho'!$C$2:$C$53=A61,IF('Sub Trecho'!$H$2:$H$53&lt;=B61,IF('Sub Trecho'!$I$2:$I$53&gt;=B61,0)))))</f>
        <v>LFJ-LLS</v>
      </c>
      <c r="K61" t="str">
        <f t="array" ref="K61">INDEX('Sub Trecho'!$D$2:$D$53,MATCH(1,IF('Sub Trecho'!$C$2:$C$53=A61,IF('Sub Trecho'!$H$2:$H$53&lt;=B61,IF('Sub Trecho'!$I$2:$I$53&gt;=B61,0)))))</f>
        <v>16</v>
      </c>
    </row>
    <row r="62" spans="1:11" x14ac:dyDescent="0.3">
      <c r="A62" t="s">
        <v>4792</v>
      </c>
      <c r="B62">
        <v>229.71799999999999</v>
      </c>
      <c r="C62">
        <v>229.328</v>
      </c>
      <c r="D62">
        <v>230.108</v>
      </c>
      <c r="E62">
        <v>780.00000000000114</v>
      </c>
      <c r="F62" t="s">
        <v>705</v>
      </c>
      <c r="G62" t="s">
        <v>120</v>
      </c>
      <c r="I62">
        <v>61</v>
      </c>
      <c r="J62" t="str">
        <f t="array" ref="J62">INDEX('Sub Trecho'!$F$2:$F$53,MATCH(1,IF('Sub Trecho'!$C$2:$C$53=A62,IF('Sub Trecho'!$H$2:$H$53&lt;=B62,IF('Sub Trecho'!$I$2:$I$53&gt;=B62,0)))))</f>
        <v>LFJ-LLS</v>
      </c>
      <c r="K62" t="str">
        <f t="array" ref="K62">INDEX('Sub Trecho'!$D$2:$D$53,MATCH(1,IF('Sub Trecho'!$C$2:$C$53=A62,IF('Sub Trecho'!$H$2:$H$53&lt;=B62,IF('Sub Trecho'!$I$2:$I$53&gt;=B62,0)))))</f>
        <v>16</v>
      </c>
    </row>
    <row r="63" spans="1:11" x14ac:dyDescent="0.3">
      <c r="A63" t="s">
        <v>4792</v>
      </c>
      <c r="B63">
        <v>238.035</v>
      </c>
      <c r="C63">
        <v>237.64099999999999</v>
      </c>
      <c r="D63">
        <v>238.429</v>
      </c>
      <c r="E63">
        <v>788.00000000001091</v>
      </c>
      <c r="F63" t="s">
        <v>121</v>
      </c>
      <c r="G63" t="s">
        <v>125</v>
      </c>
      <c r="I63">
        <v>62</v>
      </c>
      <c r="J63" t="str">
        <f t="array" ref="J63">INDEX('Sub Trecho'!$F$2:$F$53,MATCH(1,IF('Sub Trecho'!$C$2:$C$53=A63,IF('Sub Trecho'!$H$2:$H$53&lt;=B63,IF('Sub Trecho'!$I$2:$I$53&gt;=B63,0)))))</f>
        <v>LFJ-LLS</v>
      </c>
      <c r="K63" t="str">
        <f t="array" ref="K63">INDEX('Sub Trecho'!$D$2:$D$53,MATCH(1,IF('Sub Trecho'!$C$2:$C$53=A63,IF('Sub Trecho'!$H$2:$H$53&lt;=B63,IF('Sub Trecho'!$I$2:$I$53&gt;=B63,0)))))</f>
        <v>16</v>
      </c>
    </row>
    <row r="64" spans="1:11" x14ac:dyDescent="0.3">
      <c r="A64" t="s">
        <v>4792</v>
      </c>
      <c r="B64">
        <v>246.85</v>
      </c>
      <c r="C64">
        <v>246.69800000000001</v>
      </c>
      <c r="D64">
        <v>247.001</v>
      </c>
      <c r="E64">
        <v>302.99999999999727</v>
      </c>
      <c r="F64" t="s">
        <v>1096</v>
      </c>
      <c r="G64" t="s">
        <v>1095</v>
      </c>
      <c r="I64">
        <v>63</v>
      </c>
      <c r="J64" t="str">
        <f t="array" ref="J64">INDEX('Sub Trecho'!$F$2:$F$53,MATCH(1,IF('Sub Trecho'!$C$2:$C$53=A64,IF('Sub Trecho'!$H$2:$H$53&lt;=B64,IF('Sub Trecho'!$I$2:$I$53&gt;=B64,0)))))</f>
        <v>LFJ-LLS</v>
      </c>
      <c r="K64" t="str">
        <f t="array" ref="K64">INDEX('Sub Trecho'!$D$2:$D$53,MATCH(1,IF('Sub Trecho'!$C$2:$C$53=A64,IF('Sub Trecho'!$H$2:$H$53&lt;=B64,IF('Sub Trecho'!$I$2:$I$53&gt;=B64,0)))))</f>
        <v>16</v>
      </c>
    </row>
    <row r="65" spans="1:11" x14ac:dyDescent="0.3">
      <c r="A65" t="s">
        <v>4799</v>
      </c>
      <c r="B65">
        <v>103.68600000000001</v>
      </c>
      <c r="C65">
        <v>103.09099999999999</v>
      </c>
      <c r="D65">
        <v>104.282</v>
      </c>
      <c r="E65">
        <v>1191.0000000000025</v>
      </c>
      <c r="F65" t="s">
        <v>355</v>
      </c>
      <c r="G65" t="s">
        <v>354</v>
      </c>
      <c r="I65">
        <v>64</v>
      </c>
      <c r="J65" t="str">
        <f t="array" ref="J65">INDEX('Sub Trecho'!$F$2:$F$53,MATCH(1,IF('Sub Trecho'!$C$2:$C$53=A65,IF('Sub Trecho'!$H$2:$H$53&lt;=B65,IF('Sub Trecho'!$I$2:$I$53&gt;=B65,0)))))</f>
        <v>NJO-NRO</v>
      </c>
      <c r="K65" t="str">
        <f t="array" ref="K65">INDEX('Sub Trecho'!$D$2:$D$53,MATCH(1,IF('Sub Trecho'!$C$2:$C$53=A65,IF('Sub Trecho'!$H$2:$H$53&lt;=B65,IF('Sub Trecho'!$I$2:$I$53&gt;=B65,0)))))</f>
        <v>17</v>
      </c>
    </row>
    <row r="66" spans="1:11" x14ac:dyDescent="0.3">
      <c r="A66" t="s">
        <v>4799</v>
      </c>
      <c r="B66">
        <v>106.657</v>
      </c>
      <c r="C66">
        <v>106.566</v>
      </c>
      <c r="D66">
        <v>106.747</v>
      </c>
      <c r="E66">
        <v>180.99999999999741</v>
      </c>
      <c r="F66" t="s">
        <v>340</v>
      </c>
      <c r="G66" t="s">
        <v>362</v>
      </c>
      <c r="I66">
        <v>65</v>
      </c>
      <c r="J66" t="str">
        <f t="array" ref="J66">INDEX('Sub Trecho'!$F$2:$F$53,MATCH(1,IF('Sub Trecho'!$C$2:$C$53=A66,IF('Sub Trecho'!$H$2:$H$53&lt;=B66,IF('Sub Trecho'!$I$2:$I$53&gt;=B66,0)))))</f>
        <v>NJO-NRO</v>
      </c>
      <c r="K66" t="str">
        <f t="array" ref="K66">INDEX('Sub Trecho'!$D$2:$D$53,MATCH(1,IF('Sub Trecho'!$C$2:$C$53=A66,IF('Sub Trecho'!$H$2:$H$53&lt;=B66,IF('Sub Trecho'!$I$2:$I$53&gt;=B66,0)))))</f>
        <v>17</v>
      </c>
    </row>
    <row r="67" spans="1:11" x14ac:dyDescent="0.3">
      <c r="A67" t="s">
        <v>4799</v>
      </c>
      <c r="B67">
        <v>108.35599999999999</v>
      </c>
      <c r="C67">
        <v>106.995</v>
      </c>
      <c r="D67">
        <v>109.71599999999999</v>
      </c>
      <c r="E67">
        <v>2720.9999999999895</v>
      </c>
      <c r="F67" t="s">
        <v>372</v>
      </c>
      <c r="G67" t="s">
        <v>339</v>
      </c>
      <c r="I67">
        <v>66</v>
      </c>
      <c r="J67" t="str">
        <f t="array" ref="J67">INDEX('Sub Trecho'!$F$2:$F$53,MATCH(1,IF('Sub Trecho'!$C$2:$C$53=A67,IF('Sub Trecho'!$H$2:$H$53&lt;=B67,IF('Sub Trecho'!$I$2:$I$53&gt;=B67,0)))))</f>
        <v>NJO-NRO</v>
      </c>
      <c r="K67" t="str">
        <f t="array" ref="K67">INDEX('Sub Trecho'!$D$2:$D$53,MATCH(1,IF('Sub Trecho'!$C$2:$C$53=A67,IF('Sub Trecho'!$H$2:$H$53&lt;=B67,IF('Sub Trecho'!$I$2:$I$53&gt;=B67,0)))))</f>
        <v>17</v>
      </c>
    </row>
    <row r="68" spans="1:11" x14ac:dyDescent="0.3">
      <c r="A68" t="s">
        <v>4799</v>
      </c>
      <c r="B68">
        <v>111.75700000000001</v>
      </c>
      <c r="C68">
        <v>111.48699999999999</v>
      </c>
      <c r="D68">
        <v>112.027</v>
      </c>
      <c r="E68">
        <v>540.00000000000625</v>
      </c>
      <c r="F68" t="s">
        <v>380</v>
      </c>
      <c r="G68" t="s">
        <v>379</v>
      </c>
      <c r="I68">
        <v>67</v>
      </c>
      <c r="J68" t="str">
        <f t="array" ref="J68">INDEX('Sub Trecho'!$F$2:$F$53,MATCH(1,IF('Sub Trecho'!$C$2:$C$53=A68,IF('Sub Trecho'!$H$2:$H$53&lt;=B68,IF('Sub Trecho'!$I$2:$I$53&gt;=B68,0)))))</f>
        <v>NJO-NRO</v>
      </c>
      <c r="K68" t="str">
        <f t="array" ref="K68">INDEX('Sub Trecho'!$D$2:$D$53,MATCH(1,IF('Sub Trecho'!$C$2:$C$53=A68,IF('Sub Trecho'!$H$2:$H$53&lt;=B68,IF('Sub Trecho'!$I$2:$I$53&gt;=B68,0)))))</f>
        <v>17</v>
      </c>
    </row>
    <row r="69" spans="1:11" x14ac:dyDescent="0.3">
      <c r="A69" t="s">
        <v>4799</v>
      </c>
      <c r="B69">
        <v>122.5</v>
      </c>
      <c r="C69">
        <v>121.538</v>
      </c>
      <c r="D69">
        <v>123.461</v>
      </c>
      <c r="E69">
        <v>1923.0000000000016</v>
      </c>
      <c r="F69" t="s">
        <v>386</v>
      </c>
      <c r="G69" t="s">
        <v>591</v>
      </c>
      <c r="I69">
        <v>68</v>
      </c>
      <c r="J69" t="str">
        <f t="array" ref="J69">INDEX('Sub Trecho'!$F$2:$F$53,MATCH(1,IF('Sub Trecho'!$C$2:$C$53=A69,IF('Sub Trecho'!$H$2:$H$53&lt;=B69,IF('Sub Trecho'!$I$2:$I$53&gt;=B69,0)))))</f>
        <v>NJO-NRO</v>
      </c>
      <c r="K69" t="str">
        <f t="array" ref="K69">INDEX('Sub Trecho'!$D$2:$D$53,MATCH(1,IF('Sub Trecho'!$C$2:$C$53=A69,IF('Sub Trecho'!$H$2:$H$53&lt;=B69,IF('Sub Trecho'!$I$2:$I$53&gt;=B69,0)))))</f>
        <v>17</v>
      </c>
    </row>
    <row r="70" spans="1:11" x14ac:dyDescent="0.3">
      <c r="A70" t="s">
        <v>4799</v>
      </c>
      <c r="B70">
        <v>126.789</v>
      </c>
      <c r="C70">
        <v>126.613</v>
      </c>
      <c r="D70">
        <v>126.964</v>
      </c>
      <c r="E70">
        <v>350.99999999999909</v>
      </c>
      <c r="F70" t="s">
        <v>493</v>
      </c>
      <c r="G70" t="s">
        <v>492</v>
      </c>
      <c r="I70">
        <v>69</v>
      </c>
      <c r="J70" t="str">
        <f t="array" ref="J70">INDEX('Sub Trecho'!$F$2:$F$53,MATCH(1,IF('Sub Trecho'!$C$2:$C$53=A70,IF('Sub Trecho'!$H$2:$H$53&lt;=B70,IF('Sub Trecho'!$I$2:$I$53&gt;=B70,0)))))</f>
        <v>NJO-NRO</v>
      </c>
      <c r="K70" t="str">
        <f t="array" ref="K70">INDEX('Sub Trecho'!$D$2:$D$53,MATCH(1,IF('Sub Trecho'!$C$2:$C$53=A70,IF('Sub Trecho'!$H$2:$H$53&lt;=B70,IF('Sub Trecho'!$I$2:$I$53&gt;=B70,0)))))</f>
        <v>17</v>
      </c>
    </row>
    <row r="71" spans="1:11" x14ac:dyDescent="0.3">
      <c r="A71" t="s">
        <v>4799</v>
      </c>
      <c r="B71">
        <v>128.887</v>
      </c>
      <c r="C71">
        <v>128.31899999999999</v>
      </c>
      <c r="D71">
        <v>129.45500000000001</v>
      </c>
      <c r="E71">
        <v>1136.0000000000241</v>
      </c>
      <c r="F71" t="s">
        <v>501</v>
      </c>
      <c r="G71" t="s">
        <v>500</v>
      </c>
      <c r="I71">
        <v>70</v>
      </c>
      <c r="J71" t="str">
        <f t="array" ref="J71">INDEX('Sub Trecho'!$F$2:$F$53,MATCH(1,IF('Sub Trecho'!$C$2:$C$53=A71,IF('Sub Trecho'!$H$2:$H$53&lt;=B71,IF('Sub Trecho'!$I$2:$I$53&gt;=B71,0)))))</f>
        <v>NJO-NRO</v>
      </c>
      <c r="K71" t="str">
        <f t="array" ref="K71">INDEX('Sub Trecho'!$D$2:$D$53,MATCH(1,IF('Sub Trecho'!$C$2:$C$53=A71,IF('Sub Trecho'!$H$2:$H$53&lt;=B71,IF('Sub Trecho'!$I$2:$I$53&gt;=B71,0)))))</f>
        <v>17</v>
      </c>
    </row>
    <row r="72" spans="1:11" x14ac:dyDescent="0.3">
      <c r="A72" t="s">
        <v>4799</v>
      </c>
      <c r="B72">
        <v>142.70699999999999</v>
      </c>
      <c r="C72">
        <v>141.70400000000001</v>
      </c>
      <c r="D72">
        <v>143.709</v>
      </c>
      <c r="E72">
        <v>2004.9999999999957</v>
      </c>
      <c r="F72" t="s">
        <v>400</v>
      </c>
      <c r="G72" t="s">
        <v>4800</v>
      </c>
      <c r="I72">
        <v>71</v>
      </c>
      <c r="J72" t="str">
        <f t="array" ref="J72">INDEX('Sub Trecho'!$F$2:$F$53,MATCH(1,IF('Sub Trecho'!$C$2:$C$53=A72,IF('Sub Trecho'!$H$2:$H$53&lt;=B72,IF('Sub Trecho'!$I$2:$I$53&gt;=B72,0)))))</f>
        <v>NJO-NRO</v>
      </c>
      <c r="K72" t="str">
        <f t="array" ref="K72">INDEX('Sub Trecho'!$D$2:$D$53,MATCH(1,IF('Sub Trecho'!$C$2:$C$53=A72,IF('Sub Trecho'!$H$2:$H$53&lt;=B72,IF('Sub Trecho'!$I$2:$I$53&gt;=B72,0)))))</f>
        <v>17</v>
      </c>
    </row>
    <row r="73" spans="1:11" x14ac:dyDescent="0.3">
      <c r="A73" t="s">
        <v>4799</v>
      </c>
      <c r="B73">
        <v>149.59200000000001</v>
      </c>
      <c r="C73">
        <v>149.261</v>
      </c>
      <c r="D73">
        <v>149.92400000000001</v>
      </c>
      <c r="E73">
        <v>663.00000000001091</v>
      </c>
      <c r="F73" t="s">
        <v>418</v>
      </c>
      <c r="G73" t="s">
        <v>4801</v>
      </c>
      <c r="I73">
        <v>72</v>
      </c>
      <c r="J73" t="str">
        <f t="array" ref="J73">INDEX('Sub Trecho'!$F$2:$F$53,MATCH(1,IF('Sub Trecho'!$C$2:$C$53=A73,IF('Sub Trecho'!$H$2:$H$53&lt;=B73,IF('Sub Trecho'!$I$2:$I$53&gt;=B73,0)))))</f>
        <v>NJO-NRO</v>
      </c>
      <c r="K73" t="str">
        <f t="array" ref="K73">INDEX('Sub Trecho'!$D$2:$D$53,MATCH(1,IF('Sub Trecho'!$C$2:$C$53=A73,IF('Sub Trecho'!$H$2:$H$53&lt;=B73,IF('Sub Trecho'!$I$2:$I$53&gt;=B73,0)))))</f>
        <v>17</v>
      </c>
    </row>
    <row r="74" spans="1:11" x14ac:dyDescent="0.3">
      <c r="A74" t="s">
        <v>4799</v>
      </c>
      <c r="B74">
        <v>155.53299999999999</v>
      </c>
      <c r="C74">
        <v>155.30799999999999</v>
      </c>
      <c r="D74">
        <v>155.75700000000001</v>
      </c>
      <c r="E74">
        <v>449.00000000001234</v>
      </c>
      <c r="F74" t="s">
        <v>1437</v>
      </c>
      <c r="G74" t="s">
        <v>4802</v>
      </c>
      <c r="I74">
        <v>73</v>
      </c>
      <c r="J74" t="str">
        <f t="array" ref="J74">INDEX('Sub Trecho'!$F$2:$F$53,MATCH(1,IF('Sub Trecho'!$C$2:$C$53=A74,IF('Sub Trecho'!$H$2:$H$53&lt;=B74,IF('Sub Trecho'!$I$2:$I$53&gt;=B74,0)))))</f>
        <v>NJO-NRO</v>
      </c>
      <c r="K74" t="str">
        <f t="array" ref="K74">INDEX('Sub Trecho'!$D$2:$D$53,MATCH(1,IF('Sub Trecho'!$C$2:$C$53=A74,IF('Sub Trecho'!$H$2:$H$53&lt;=B74,IF('Sub Trecho'!$I$2:$I$53&gt;=B74,0)))))</f>
        <v>17</v>
      </c>
    </row>
    <row r="75" spans="1:11" x14ac:dyDescent="0.3">
      <c r="A75" t="s">
        <v>4799</v>
      </c>
      <c r="B75">
        <v>156.30799999999999</v>
      </c>
      <c r="C75">
        <v>156.18700000000001</v>
      </c>
      <c r="D75">
        <v>156.429</v>
      </c>
      <c r="E75">
        <v>241.99999999999025</v>
      </c>
      <c r="F75" t="s">
        <v>554</v>
      </c>
      <c r="G75" t="s">
        <v>4803</v>
      </c>
      <c r="I75">
        <v>74</v>
      </c>
      <c r="J75" t="str">
        <f t="array" ref="J75">INDEX('Sub Trecho'!$F$2:$F$53,MATCH(1,IF('Sub Trecho'!$C$2:$C$53=A75,IF('Sub Trecho'!$H$2:$H$53&lt;=B75,IF('Sub Trecho'!$I$2:$I$53&gt;=B75,0)))))</f>
        <v>NJO-NRO</v>
      </c>
      <c r="K75" t="str">
        <f t="array" ref="K75">INDEX('Sub Trecho'!$D$2:$D$53,MATCH(1,IF('Sub Trecho'!$C$2:$C$53=A75,IF('Sub Trecho'!$H$2:$H$53&lt;=B75,IF('Sub Trecho'!$I$2:$I$53&gt;=B75,0)))))</f>
        <v>17</v>
      </c>
    </row>
    <row r="76" spans="1:11" x14ac:dyDescent="0.3">
      <c r="A76" t="s">
        <v>4799</v>
      </c>
      <c r="B76">
        <v>157.161</v>
      </c>
      <c r="C76">
        <v>156.45400000000001</v>
      </c>
      <c r="D76">
        <v>157.86799999999999</v>
      </c>
      <c r="E76">
        <v>1413.9999999999873</v>
      </c>
      <c r="F76" t="s">
        <v>424</v>
      </c>
      <c r="G76" t="s">
        <v>423</v>
      </c>
      <c r="I76">
        <v>75</v>
      </c>
      <c r="J76" t="str">
        <f t="array" ref="J76">INDEX('Sub Trecho'!$F$2:$F$53,MATCH(1,IF('Sub Trecho'!$C$2:$C$53=A76,IF('Sub Trecho'!$H$2:$H$53&lt;=B76,IF('Sub Trecho'!$I$2:$I$53&gt;=B76,0)))))</f>
        <v>NJO-NRO</v>
      </c>
      <c r="K76" t="str">
        <f t="array" ref="K76">INDEX('Sub Trecho'!$D$2:$D$53,MATCH(1,IF('Sub Trecho'!$C$2:$C$53=A76,IF('Sub Trecho'!$H$2:$H$53&lt;=B76,IF('Sub Trecho'!$I$2:$I$53&gt;=B76,0)))))</f>
        <v>17</v>
      </c>
    </row>
    <row r="77" spans="1:11" x14ac:dyDescent="0.3">
      <c r="A77" t="s">
        <v>4799</v>
      </c>
      <c r="B77">
        <v>169.83099999999999</v>
      </c>
      <c r="C77">
        <v>169.774</v>
      </c>
      <c r="D77">
        <v>169.88800000000001</v>
      </c>
      <c r="E77">
        <v>114.00000000000432</v>
      </c>
      <c r="F77" t="s">
        <v>430</v>
      </c>
      <c r="G77" t="s">
        <v>4804</v>
      </c>
      <c r="I77">
        <v>76</v>
      </c>
      <c r="J77" t="str">
        <f t="array" ref="J77">INDEX('Sub Trecho'!$F$2:$F$53,MATCH(1,IF('Sub Trecho'!$C$2:$C$53=A77,IF('Sub Trecho'!$H$2:$H$53&lt;=B77,IF('Sub Trecho'!$I$2:$I$53&gt;=B77,0)))))</f>
        <v>NJO-NRO</v>
      </c>
      <c r="K77" t="str">
        <f t="array" ref="K77">INDEX('Sub Trecho'!$D$2:$D$53,MATCH(1,IF('Sub Trecho'!$C$2:$C$53=A77,IF('Sub Trecho'!$H$2:$H$53&lt;=B77,IF('Sub Trecho'!$I$2:$I$53&gt;=B77,0)))))</f>
        <v>17</v>
      </c>
    </row>
    <row r="78" spans="1:11" x14ac:dyDescent="0.3">
      <c r="A78" t="s">
        <v>4799</v>
      </c>
      <c r="B78">
        <v>171.53899999999999</v>
      </c>
      <c r="C78">
        <v>171.26599999999999</v>
      </c>
      <c r="D78">
        <v>171.81100000000001</v>
      </c>
      <c r="E78">
        <v>545.00000000001592</v>
      </c>
      <c r="F78" t="s">
        <v>436</v>
      </c>
      <c r="G78" t="s">
        <v>435</v>
      </c>
      <c r="I78">
        <v>77</v>
      </c>
      <c r="J78" t="str">
        <f t="array" ref="J78">INDEX('Sub Trecho'!$F$2:$F$53,MATCH(1,IF('Sub Trecho'!$C$2:$C$53=A78,IF('Sub Trecho'!$H$2:$H$53&lt;=B78,IF('Sub Trecho'!$I$2:$I$53&gt;=B78,0)))))</f>
        <v>NJO-NRO</v>
      </c>
      <c r="K78" t="str">
        <f t="array" ref="K78">INDEX('Sub Trecho'!$D$2:$D$53,MATCH(1,IF('Sub Trecho'!$C$2:$C$53=A78,IF('Sub Trecho'!$H$2:$H$53&lt;=B78,IF('Sub Trecho'!$I$2:$I$53&gt;=B78,0)))))</f>
        <v>17</v>
      </c>
    </row>
    <row r="79" spans="1:11" x14ac:dyDescent="0.3">
      <c r="A79" t="s">
        <v>4799</v>
      </c>
      <c r="B79">
        <v>174.624</v>
      </c>
      <c r="C79">
        <v>174.52699999999999</v>
      </c>
      <c r="D79">
        <v>174.721</v>
      </c>
      <c r="E79">
        <v>194.00000000001685</v>
      </c>
      <c r="F79" t="s">
        <v>444</v>
      </c>
      <c r="G79" t="s">
        <v>443</v>
      </c>
      <c r="I79">
        <v>78</v>
      </c>
      <c r="J79" t="str">
        <f t="array" ref="J79">INDEX('Sub Trecho'!$F$2:$F$53,MATCH(1,IF('Sub Trecho'!$C$2:$C$53=A79,IF('Sub Trecho'!$H$2:$H$53&lt;=B79,IF('Sub Trecho'!$I$2:$I$53&gt;=B79,0)))))</f>
        <v>NJO-NRO</v>
      </c>
      <c r="K79" t="str">
        <f t="array" ref="K79">INDEX('Sub Trecho'!$D$2:$D$53,MATCH(1,IF('Sub Trecho'!$C$2:$C$53=A79,IF('Sub Trecho'!$H$2:$H$53&lt;=B79,IF('Sub Trecho'!$I$2:$I$53&gt;=B79,0)))))</f>
        <v>17</v>
      </c>
    </row>
    <row r="80" spans="1:11" x14ac:dyDescent="0.3">
      <c r="A80" t="s">
        <v>4799</v>
      </c>
      <c r="B80">
        <v>176.33699999999999</v>
      </c>
      <c r="C80">
        <v>175.98099999999999</v>
      </c>
      <c r="D80">
        <v>176.69200000000001</v>
      </c>
      <c r="E80">
        <v>711.00000000001273</v>
      </c>
      <c r="F80" t="s">
        <v>447</v>
      </c>
      <c r="G80" t="s">
        <v>446</v>
      </c>
      <c r="I80">
        <v>79</v>
      </c>
      <c r="J80" t="str">
        <f t="array" ref="J80">INDEX('Sub Trecho'!$F$2:$F$53,MATCH(1,IF('Sub Trecho'!$C$2:$C$53=A80,IF('Sub Trecho'!$H$2:$H$53&lt;=B80,IF('Sub Trecho'!$I$2:$I$53&gt;=B80,0)))))</f>
        <v>NJO-NRO</v>
      </c>
      <c r="K80" t="str">
        <f t="array" ref="K80">INDEX('Sub Trecho'!$D$2:$D$53,MATCH(1,IF('Sub Trecho'!$C$2:$C$53=A80,IF('Sub Trecho'!$H$2:$H$53&lt;=B80,IF('Sub Trecho'!$I$2:$I$53&gt;=B80,0)))))</f>
        <v>17</v>
      </c>
    </row>
    <row r="81" spans="1:11" x14ac:dyDescent="0.3">
      <c r="A81" t="s">
        <v>4799</v>
      </c>
      <c r="B81">
        <v>181.405</v>
      </c>
      <c r="C81">
        <v>181.35900000000001</v>
      </c>
      <c r="D81">
        <v>181.45099999999999</v>
      </c>
      <c r="E81">
        <v>91.999999999984539</v>
      </c>
      <c r="F81" t="s">
        <v>1438</v>
      </c>
      <c r="G81" t="s">
        <v>1603</v>
      </c>
      <c r="I81">
        <v>80</v>
      </c>
      <c r="J81" t="str">
        <f t="array" ref="J81">INDEX('Sub Trecho'!$F$2:$F$53,MATCH(1,IF('Sub Trecho'!$C$2:$C$53=A81,IF('Sub Trecho'!$H$2:$H$53&lt;=B81,IF('Sub Trecho'!$I$2:$I$53&gt;=B81,0)))))</f>
        <v>NJO-NRO</v>
      </c>
      <c r="K81" t="str">
        <f t="array" ref="K81">INDEX('Sub Trecho'!$D$2:$D$53,MATCH(1,IF('Sub Trecho'!$C$2:$C$53=A81,IF('Sub Trecho'!$H$2:$H$53&lt;=B81,IF('Sub Trecho'!$I$2:$I$53&gt;=B81,0)))))</f>
        <v>17</v>
      </c>
    </row>
    <row r="82" spans="1:11" x14ac:dyDescent="0.3">
      <c r="A82" t="s">
        <v>4799</v>
      </c>
      <c r="B82">
        <v>199.56299999999999</v>
      </c>
      <c r="C82">
        <v>199.09399999999999</v>
      </c>
      <c r="D82">
        <v>200.03100000000001</v>
      </c>
      <c r="E82">
        <v>937.00000000001182</v>
      </c>
      <c r="F82" t="s">
        <v>453</v>
      </c>
      <c r="G82" t="s">
        <v>452</v>
      </c>
      <c r="I82">
        <v>81</v>
      </c>
      <c r="J82" t="str">
        <f t="array" ref="J82">INDEX('Sub Trecho'!$F$2:$F$53,MATCH(1,IF('Sub Trecho'!$C$2:$C$53=A82,IF('Sub Trecho'!$H$2:$H$53&lt;=B82,IF('Sub Trecho'!$I$2:$I$53&gt;=B82,0)))))</f>
        <v>NJO-NRO</v>
      </c>
      <c r="K82" t="str">
        <f t="array" ref="K82">INDEX('Sub Trecho'!$D$2:$D$53,MATCH(1,IF('Sub Trecho'!$C$2:$C$53=A82,IF('Sub Trecho'!$H$2:$H$53&lt;=B82,IF('Sub Trecho'!$I$2:$I$53&gt;=B82,0)))))</f>
        <v>17</v>
      </c>
    </row>
    <row r="83" spans="1:11" x14ac:dyDescent="0.3">
      <c r="A83" t="s">
        <v>4799</v>
      </c>
      <c r="B83">
        <v>207.73099999999999</v>
      </c>
      <c r="C83">
        <v>207.56700000000001</v>
      </c>
      <c r="D83">
        <v>207.89400000000001</v>
      </c>
      <c r="E83">
        <v>326.99999999999818</v>
      </c>
      <c r="F83" t="s">
        <v>461</v>
      </c>
      <c r="G83" t="s">
        <v>460</v>
      </c>
      <c r="I83">
        <v>82</v>
      </c>
      <c r="J83" t="str">
        <f t="array" ref="J83">INDEX('Sub Trecho'!$F$2:$F$53,MATCH(1,IF('Sub Trecho'!$C$2:$C$53=A83,IF('Sub Trecho'!$H$2:$H$53&lt;=B83,IF('Sub Trecho'!$I$2:$I$53&gt;=B83,0)))))</f>
        <v>NJO-NRO</v>
      </c>
      <c r="K83" t="str">
        <f t="array" ref="K83">INDEX('Sub Trecho'!$D$2:$D$53,MATCH(1,IF('Sub Trecho'!$C$2:$C$53=A83,IF('Sub Trecho'!$H$2:$H$53&lt;=B83,IF('Sub Trecho'!$I$2:$I$53&gt;=B83,0)))))</f>
        <v>17</v>
      </c>
    </row>
    <row r="84" spans="1:11" x14ac:dyDescent="0.3">
      <c r="A84" t="s">
        <v>4799</v>
      </c>
      <c r="B84">
        <v>216.07400000000001</v>
      </c>
      <c r="C84">
        <v>215.84200000000001</v>
      </c>
      <c r="D84">
        <v>216.30600000000001</v>
      </c>
      <c r="E84">
        <v>463.99999999999864</v>
      </c>
      <c r="F84" t="s">
        <v>160</v>
      </c>
      <c r="G84" t="s">
        <v>159</v>
      </c>
      <c r="I84">
        <v>83</v>
      </c>
      <c r="J84" t="str">
        <f t="array" ref="J84">INDEX('Sub Trecho'!$F$2:$F$53,MATCH(1,IF('Sub Trecho'!$C$2:$C$53=A84,IF('Sub Trecho'!$H$2:$H$53&lt;=B84,IF('Sub Trecho'!$I$2:$I$53&gt;=B84,0)))))</f>
        <v>NRI-NJO</v>
      </c>
      <c r="K84" t="str">
        <f t="array" ref="K84">INDEX('Sub Trecho'!$D$2:$D$53,MATCH(1,IF('Sub Trecho'!$C$2:$C$53=A84,IF('Sub Trecho'!$H$2:$H$53&lt;=B84,IF('Sub Trecho'!$I$2:$I$53&gt;=B84,0)))))</f>
        <v>17</v>
      </c>
    </row>
    <row r="85" spans="1:11" x14ac:dyDescent="0.3">
      <c r="A85" t="s">
        <v>4799</v>
      </c>
      <c r="B85">
        <v>220.732</v>
      </c>
      <c r="C85">
        <v>220.62200000000001</v>
      </c>
      <c r="D85">
        <v>220.84200000000001</v>
      </c>
      <c r="E85">
        <v>219.99999999999889</v>
      </c>
      <c r="F85" t="s">
        <v>4805</v>
      </c>
      <c r="G85" t="s">
        <v>4806</v>
      </c>
      <c r="I85">
        <v>84</v>
      </c>
      <c r="J85" t="str">
        <f t="array" ref="J85">INDEX('Sub Trecho'!$F$2:$F$53,MATCH(1,IF('Sub Trecho'!$C$2:$C$53=A85,IF('Sub Trecho'!$H$2:$H$53&lt;=B85,IF('Sub Trecho'!$I$2:$I$53&gt;=B85,0)))))</f>
        <v>NRI-NJO</v>
      </c>
      <c r="K85" t="str">
        <f t="array" ref="K85">INDEX('Sub Trecho'!$D$2:$D$53,MATCH(1,IF('Sub Trecho'!$C$2:$C$53=A85,IF('Sub Trecho'!$H$2:$H$53&lt;=B85,IF('Sub Trecho'!$I$2:$I$53&gt;=B85,0)))))</f>
        <v>17</v>
      </c>
    </row>
    <row r="86" spans="1:11" x14ac:dyDescent="0.3">
      <c r="A86" t="s">
        <v>4799</v>
      </c>
      <c r="B86">
        <v>223.33099999999999</v>
      </c>
      <c r="C86">
        <v>223.161</v>
      </c>
      <c r="D86">
        <v>223.501</v>
      </c>
      <c r="E86">
        <v>340.00000000000341</v>
      </c>
      <c r="F86" t="s">
        <v>169</v>
      </c>
      <c r="G86" t="s">
        <v>4807</v>
      </c>
      <c r="I86">
        <v>85</v>
      </c>
      <c r="J86" t="str">
        <f t="array" ref="J86">INDEX('Sub Trecho'!$F$2:$F$53,MATCH(1,IF('Sub Trecho'!$C$2:$C$53=A86,IF('Sub Trecho'!$H$2:$H$53&lt;=B86,IF('Sub Trecho'!$I$2:$I$53&gt;=B86,0)))))</f>
        <v>NRI-NJO</v>
      </c>
      <c r="K86" t="str">
        <f t="array" ref="K86">INDEX('Sub Trecho'!$D$2:$D$53,MATCH(1,IF('Sub Trecho'!$C$2:$C$53=A86,IF('Sub Trecho'!$H$2:$H$53&lt;=B86,IF('Sub Trecho'!$I$2:$I$53&gt;=B86,0)))))</f>
        <v>17</v>
      </c>
    </row>
    <row r="87" spans="1:11" x14ac:dyDescent="0.3">
      <c r="A87" t="s">
        <v>4799</v>
      </c>
      <c r="B87">
        <v>224.857</v>
      </c>
      <c r="C87">
        <v>224.63499999999999</v>
      </c>
      <c r="D87">
        <v>225.07900000000001</v>
      </c>
      <c r="E87">
        <v>444.00000000001683</v>
      </c>
      <c r="F87" t="s">
        <v>187</v>
      </c>
      <c r="G87" t="s">
        <v>186</v>
      </c>
      <c r="I87">
        <v>86</v>
      </c>
      <c r="J87" t="str">
        <f t="array" ref="J87">INDEX('Sub Trecho'!$F$2:$F$53,MATCH(1,IF('Sub Trecho'!$C$2:$C$53=A87,IF('Sub Trecho'!$H$2:$H$53&lt;=B87,IF('Sub Trecho'!$I$2:$I$53&gt;=B87,0)))))</f>
        <v>NRI-NJO</v>
      </c>
      <c r="K87" t="str">
        <f t="array" ref="K87">INDEX('Sub Trecho'!$D$2:$D$53,MATCH(1,IF('Sub Trecho'!$C$2:$C$53=A87,IF('Sub Trecho'!$H$2:$H$53&lt;=B87,IF('Sub Trecho'!$I$2:$I$53&gt;=B87,0)))))</f>
        <v>17</v>
      </c>
    </row>
    <row r="88" spans="1:11" x14ac:dyDescent="0.3">
      <c r="A88" t="s">
        <v>4799</v>
      </c>
      <c r="B88">
        <v>229.381</v>
      </c>
      <c r="C88">
        <v>229.048</v>
      </c>
      <c r="D88">
        <v>229.71299999999999</v>
      </c>
      <c r="E88">
        <v>664.99999999999204</v>
      </c>
      <c r="F88" t="s">
        <v>195</v>
      </c>
      <c r="G88" t="s">
        <v>4808</v>
      </c>
      <c r="I88">
        <v>87</v>
      </c>
      <c r="J88" t="str">
        <f t="array" ref="J88">INDEX('Sub Trecho'!$F$2:$F$53,MATCH(1,IF('Sub Trecho'!$C$2:$C$53=A88,IF('Sub Trecho'!$H$2:$H$53&lt;=B88,IF('Sub Trecho'!$I$2:$I$53&gt;=B88,0)))))</f>
        <v>NRI-NJO</v>
      </c>
      <c r="K88" t="str">
        <f t="array" ref="K88">INDEX('Sub Trecho'!$D$2:$D$53,MATCH(1,IF('Sub Trecho'!$C$2:$C$53=A88,IF('Sub Trecho'!$H$2:$H$53&lt;=B88,IF('Sub Trecho'!$I$2:$I$53&gt;=B88,0)))))</f>
        <v>17</v>
      </c>
    </row>
    <row r="89" spans="1:11" x14ac:dyDescent="0.3">
      <c r="A89" t="s">
        <v>4799</v>
      </c>
      <c r="B89">
        <v>231.815</v>
      </c>
      <c r="C89">
        <v>231.27199999999999</v>
      </c>
      <c r="D89">
        <v>232.357</v>
      </c>
      <c r="E89">
        <v>1085.000000000008</v>
      </c>
      <c r="F89" t="s">
        <v>475</v>
      </c>
      <c r="G89" t="s">
        <v>474</v>
      </c>
      <c r="I89">
        <v>88</v>
      </c>
      <c r="J89" t="str">
        <f t="array" ref="J89">INDEX('Sub Trecho'!$F$2:$F$53,MATCH(1,IF('Sub Trecho'!$C$2:$C$53=A89,IF('Sub Trecho'!$H$2:$H$53&lt;=B89,IF('Sub Trecho'!$I$2:$I$53&gt;=B89,0)))))</f>
        <v>NRI-NJO</v>
      </c>
      <c r="K89" t="str">
        <f t="array" ref="K89">INDEX('Sub Trecho'!$D$2:$D$53,MATCH(1,IF('Sub Trecho'!$C$2:$C$53=A89,IF('Sub Trecho'!$H$2:$H$53&lt;=B89,IF('Sub Trecho'!$I$2:$I$53&gt;=B89,0)))))</f>
        <v>17</v>
      </c>
    </row>
    <row r="90" spans="1:11" x14ac:dyDescent="0.3">
      <c r="A90" t="s">
        <v>4799</v>
      </c>
      <c r="B90">
        <v>236.678</v>
      </c>
      <c r="C90">
        <v>236.37799999999999</v>
      </c>
      <c r="D90">
        <v>236.977</v>
      </c>
      <c r="E90">
        <v>599.00000000001796</v>
      </c>
      <c r="F90" t="s">
        <v>489</v>
      </c>
      <c r="G90" t="s">
        <v>488</v>
      </c>
      <c r="I90">
        <v>89</v>
      </c>
      <c r="J90" t="str">
        <f t="array" ref="J90">INDEX('Sub Trecho'!$F$2:$F$53,MATCH(1,IF('Sub Trecho'!$C$2:$C$53=A90,IF('Sub Trecho'!$H$2:$H$53&lt;=B90,IF('Sub Trecho'!$I$2:$I$53&gt;=B90,0)))))</f>
        <v>NRI-NJO</v>
      </c>
      <c r="K90" t="str">
        <f t="array" ref="K90">INDEX('Sub Trecho'!$D$2:$D$53,MATCH(1,IF('Sub Trecho'!$C$2:$C$53=A90,IF('Sub Trecho'!$H$2:$H$53&lt;=B90,IF('Sub Trecho'!$I$2:$I$53&gt;=B90,0)))))</f>
        <v>17</v>
      </c>
    </row>
    <row r="91" spans="1:11" x14ac:dyDescent="0.3">
      <c r="A91" t="s">
        <v>4799</v>
      </c>
      <c r="B91">
        <v>239.92</v>
      </c>
      <c r="C91">
        <v>239.911</v>
      </c>
      <c r="D91">
        <v>239.93100000000001</v>
      </c>
      <c r="E91">
        <v>20.000000000010232</v>
      </c>
      <c r="F91" t="s">
        <v>175</v>
      </c>
      <c r="G91" t="s">
        <v>174</v>
      </c>
      <c r="I91">
        <v>90</v>
      </c>
      <c r="J91" t="str">
        <f t="array" ref="J91">INDEX('Sub Trecho'!$F$2:$F$53,MATCH(1,IF('Sub Trecho'!$C$2:$C$53=A91,IF('Sub Trecho'!$H$2:$H$53&lt;=B91,IF('Sub Trecho'!$I$2:$I$53&gt;=B91,0)))))</f>
        <v>NRI-NJO</v>
      </c>
      <c r="K91" t="str">
        <f t="array" ref="K91">INDEX('Sub Trecho'!$D$2:$D$53,MATCH(1,IF('Sub Trecho'!$C$2:$C$53=A91,IF('Sub Trecho'!$H$2:$H$53&lt;=B91,IF('Sub Trecho'!$I$2:$I$53&gt;=B91,0)))))</f>
        <v>17</v>
      </c>
    </row>
    <row r="92" spans="1:11" x14ac:dyDescent="0.3">
      <c r="A92" t="s">
        <v>4799</v>
      </c>
      <c r="B92">
        <v>254.41900000000001</v>
      </c>
      <c r="C92">
        <v>254.20099999999999</v>
      </c>
      <c r="D92">
        <v>254.637</v>
      </c>
      <c r="E92">
        <v>436.00000000000705</v>
      </c>
      <c r="F92" t="s">
        <v>207</v>
      </c>
      <c r="G92" t="s">
        <v>206</v>
      </c>
      <c r="I92">
        <v>91</v>
      </c>
      <c r="J92" t="str">
        <f t="array" ref="J92">INDEX('Sub Trecho'!$F$2:$F$53,MATCH(1,IF('Sub Trecho'!$C$2:$C$53=A92,IF('Sub Trecho'!$H$2:$H$53&lt;=B92,IF('Sub Trecho'!$I$2:$I$53&gt;=B92,0)))))</f>
        <v>NRI-NJO</v>
      </c>
      <c r="K92" t="str">
        <f t="array" ref="K92">INDEX('Sub Trecho'!$D$2:$D$53,MATCH(1,IF('Sub Trecho'!$C$2:$C$53=A92,IF('Sub Trecho'!$H$2:$H$53&lt;=B92,IF('Sub Trecho'!$I$2:$I$53&gt;=B92,0)))))</f>
        <v>17</v>
      </c>
    </row>
    <row r="93" spans="1:11" x14ac:dyDescent="0.3">
      <c r="A93" t="s">
        <v>4799</v>
      </c>
      <c r="B93">
        <v>307.62900000000002</v>
      </c>
      <c r="C93">
        <v>307.50099999999998</v>
      </c>
      <c r="D93">
        <v>307.75700000000001</v>
      </c>
      <c r="E93">
        <v>256.00000000002865</v>
      </c>
      <c r="F93" t="s">
        <v>66</v>
      </c>
      <c r="G93" t="s">
        <v>4809</v>
      </c>
      <c r="I93">
        <v>92</v>
      </c>
      <c r="J93" t="str">
        <f t="array" ref="J93">INDEX('Sub Trecho'!$F$2:$F$53,MATCH(1,IF('Sub Trecho'!$C$2:$C$53=A93,IF('Sub Trecho'!$H$2:$H$53&lt;=B93,IF('Sub Trecho'!$I$2:$I$53&gt;=B93,0)))))</f>
        <v>LLS-NRI</v>
      </c>
      <c r="K93" t="str">
        <f t="array" ref="K93">INDEX('Sub Trecho'!$D$2:$D$53,MATCH(1,IF('Sub Trecho'!$C$2:$C$53=A93,IF('Sub Trecho'!$H$2:$H$53&lt;=B93,IF('Sub Trecho'!$I$2:$I$53&gt;=B93,0)))))</f>
        <v>17</v>
      </c>
    </row>
    <row r="94" spans="1:11" x14ac:dyDescent="0.3">
      <c r="A94" t="s">
        <v>4799</v>
      </c>
      <c r="B94">
        <v>308.24799999999999</v>
      </c>
      <c r="C94">
        <v>308.101</v>
      </c>
      <c r="D94">
        <v>308.39600000000002</v>
      </c>
      <c r="E94">
        <v>295.00000000001592</v>
      </c>
      <c r="F94" t="s">
        <v>129</v>
      </c>
      <c r="G94" t="s">
        <v>65</v>
      </c>
      <c r="I94">
        <v>93</v>
      </c>
      <c r="J94" t="str">
        <f t="array" ref="J94">INDEX('Sub Trecho'!$F$2:$F$53,MATCH(1,IF('Sub Trecho'!$C$2:$C$53=A94,IF('Sub Trecho'!$H$2:$H$53&lt;=B94,IF('Sub Trecho'!$I$2:$I$53&gt;=B94,0)))))</f>
        <v>LLS-NRI</v>
      </c>
      <c r="K94" t="str">
        <f t="array" ref="K94">INDEX('Sub Trecho'!$D$2:$D$53,MATCH(1,IF('Sub Trecho'!$C$2:$C$53=A94,IF('Sub Trecho'!$H$2:$H$53&lt;=B94,IF('Sub Trecho'!$I$2:$I$53&gt;=B94,0)))))</f>
        <v>17</v>
      </c>
    </row>
    <row r="95" spans="1:11" x14ac:dyDescent="0.3">
      <c r="A95" t="s">
        <v>4799</v>
      </c>
      <c r="B95">
        <v>309.23</v>
      </c>
      <c r="C95">
        <v>309.13099999999997</v>
      </c>
      <c r="D95">
        <v>309.32799999999997</v>
      </c>
      <c r="E95">
        <v>197.00000000000273</v>
      </c>
      <c r="F95" t="s">
        <v>85</v>
      </c>
      <c r="G95" t="s">
        <v>84</v>
      </c>
      <c r="I95">
        <v>94</v>
      </c>
      <c r="J95" t="str">
        <f t="array" ref="J95">INDEX('Sub Trecho'!$F$2:$F$53,MATCH(1,IF('Sub Trecho'!$C$2:$C$53=A95,IF('Sub Trecho'!$H$2:$H$53&lt;=B95,IF('Sub Trecho'!$I$2:$I$53&gt;=B95,0)))))</f>
        <v>LLS-NRI</v>
      </c>
      <c r="K95" t="str">
        <f t="array" ref="K95">INDEX('Sub Trecho'!$D$2:$D$53,MATCH(1,IF('Sub Trecho'!$C$2:$C$53=A95,IF('Sub Trecho'!$H$2:$H$53&lt;=B95,IF('Sub Trecho'!$I$2:$I$53&gt;=B95,0)))))</f>
        <v>17</v>
      </c>
    </row>
    <row r="96" spans="1:11" x14ac:dyDescent="0.3">
      <c r="A96" t="s">
        <v>4799</v>
      </c>
      <c r="B96">
        <v>310.733</v>
      </c>
      <c r="C96">
        <v>310.55500000000001</v>
      </c>
      <c r="D96">
        <v>310.911</v>
      </c>
      <c r="E96">
        <v>355.99999999999454</v>
      </c>
      <c r="F96" t="s">
        <v>98</v>
      </c>
      <c r="G96" t="s">
        <v>637</v>
      </c>
      <c r="I96">
        <v>95</v>
      </c>
      <c r="J96" t="str">
        <f t="array" ref="J96">INDEX('Sub Trecho'!$F$2:$F$53,MATCH(1,IF('Sub Trecho'!$C$2:$C$53=A96,IF('Sub Trecho'!$H$2:$H$53&lt;=B96,IF('Sub Trecho'!$I$2:$I$53&gt;=B96,0)))))</f>
        <v>LLS-NRI</v>
      </c>
      <c r="K96" t="str">
        <f t="array" ref="K96">INDEX('Sub Trecho'!$D$2:$D$53,MATCH(1,IF('Sub Trecho'!$C$2:$C$53=A96,IF('Sub Trecho'!$H$2:$H$53&lt;=B96,IF('Sub Trecho'!$I$2:$I$53&gt;=B96,0)))))</f>
        <v>17</v>
      </c>
    </row>
    <row r="97" spans="1:11" x14ac:dyDescent="0.3">
      <c r="A97" t="s">
        <v>4799</v>
      </c>
      <c r="B97">
        <v>311.762</v>
      </c>
      <c r="C97">
        <v>311.45699999999999</v>
      </c>
      <c r="D97">
        <v>312.06599999999997</v>
      </c>
      <c r="E97">
        <v>608.99999999998045</v>
      </c>
      <c r="F97" t="s">
        <v>226</v>
      </c>
      <c r="G97" t="s">
        <v>225</v>
      </c>
      <c r="I97">
        <v>96</v>
      </c>
      <c r="J97" t="str">
        <f t="array" ref="J97">INDEX('Sub Trecho'!$F$2:$F$53,MATCH(1,IF('Sub Trecho'!$C$2:$C$53=A97,IF('Sub Trecho'!$H$2:$H$53&lt;=B97,IF('Sub Trecho'!$I$2:$I$53&gt;=B97,0)))))</f>
        <v>LLS-NRI</v>
      </c>
      <c r="K97" t="str">
        <f t="array" ref="K97">INDEX('Sub Trecho'!$D$2:$D$53,MATCH(1,IF('Sub Trecho'!$C$2:$C$53=A97,IF('Sub Trecho'!$H$2:$H$53&lt;=B97,IF('Sub Trecho'!$I$2:$I$53&gt;=B97,0)))))</f>
        <v>17</v>
      </c>
    </row>
    <row r="98" spans="1:11" x14ac:dyDescent="0.3">
      <c r="A98" t="s">
        <v>4799</v>
      </c>
      <c r="B98">
        <v>313.834</v>
      </c>
      <c r="C98">
        <v>313.72399999999999</v>
      </c>
      <c r="D98">
        <v>313.94400000000002</v>
      </c>
      <c r="E98">
        <v>220.00000000002728</v>
      </c>
      <c r="F98" t="s">
        <v>31</v>
      </c>
      <c r="G98" t="s">
        <v>4810</v>
      </c>
      <c r="I98">
        <v>97</v>
      </c>
      <c r="J98" t="str">
        <f t="array" ref="J98">INDEX('Sub Trecho'!$F$2:$F$53,MATCH(1,IF('Sub Trecho'!$C$2:$C$53=A98,IF('Sub Trecho'!$H$2:$H$53&lt;=B98,IF('Sub Trecho'!$I$2:$I$53&gt;=B98,0)))))</f>
        <v>LLS-NRI</v>
      </c>
      <c r="K98" t="str">
        <f t="array" ref="K98">INDEX('Sub Trecho'!$D$2:$D$53,MATCH(1,IF('Sub Trecho'!$C$2:$C$53=A98,IF('Sub Trecho'!$H$2:$H$53&lt;=B98,IF('Sub Trecho'!$I$2:$I$53&gt;=B98,0)))))</f>
        <v>17</v>
      </c>
    </row>
    <row r="99" spans="1:11" x14ac:dyDescent="0.3">
      <c r="A99" t="s">
        <v>4799</v>
      </c>
      <c r="B99">
        <v>315.18299999999999</v>
      </c>
      <c r="C99">
        <v>314.56099999999998</v>
      </c>
      <c r="D99">
        <v>315.80399999999997</v>
      </c>
      <c r="E99">
        <v>1242.999999999995</v>
      </c>
      <c r="F99" t="s">
        <v>135</v>
      </c>
      <c r="G99" t="s">
        <v>134</v>
      </c>
      <c r="I99">
        <v>98</v>
      </c>
      <c r="J99" t="str">
        <f t="array" ref="J99">INDEX('Sub Trecho'!$F$2:$F$53,MATCH(1,IF('Sub Trecho'!$C$2:$C$53=A99,IF('Sub Trecho'!$H$2:$H$53&lt;=B99,IF('Sub Trecho'!$I$2:$I$53&gt;=B99,0)))))</f>
        <v>LLS-NRI</v>
      </c>
      <c r="K99" t="str">
        <f t="array" ref="K99">INDEX('Sub Trecho'!$D$2:$D$53,MATCH(1,IF('Sub Trecho'!$C$2:$C$53=A99,IF('Sub Trecho'!$H$2:$H$53&lt;=B99,IF('Sub Trecho'!$I$2:$I$53&gt;=B99,0)))))</f>
        <v>17</v>
      </c>
    </row>
    <row r="100" spans="1:11" x14ac:dyDescent="0.3">
      <c r="A100" t="s">
        <v>4799</v>
      </c>
      <c r="B100">
        <v>318.56299999999999</v>
      </c>
      <c r="C100">
        <v>318.15800000000002</v>
      </c>
      <c r="D100">
        <v>318.96699999999998</v>
      </c>
      <c r="E100">
        <v>808.99999999996908</v>
      </c>
      <c r="F100" t="s">
        <v>42</v>
      </c>
      <c r="G100" t="s">
        <v>849</v>
      </c>
      <c r="I100">
        <v>99</v>
      </c>
      <c r="J100" t="str">
        <f t="array" ref="J100">INDEX('Sub Trecho'!$F$2:$F$53,MATCH(1,IF('Sub Trecho'!$C$2:$C$53=A100,IF('Sub Trecho'!$H$2:$H$53&lt;=B100,IF('Sub Trecho'!$I$2:$I$53&gt;=B100,0)))))</f>
        <v>LLS-NRI</v>
      </c>
      <c r="K100" t="str">
        <f t="array" ref="K100">INDEX('Sub Trecho'!$D$2:$D$53,MATCH(1,IF('Sub Trecho'!$C$2:$C$53=A100,IF('Sub Trecho'!$H$2:$H$53&lt;=B100,IF('Sub Trecho'!$I$2:$I$53&gt;=B100,0)))))</f>
        <v>17</v>
      </c>
    </row>
    <row r="101" spans="1:11" x14ac:dyDescent="0.3">
      <c r="A101" t="s">
        <v>4799</v>
      </c>
      <c r="B101">
        <v>319.375</v>
      </c>
      <c r="C101">
        <v>319.15899999999999</v>
      </c>
      <c r="D101">
        <v>319.59100000000001</v>
      </c>
      <c r="E101">
        <v>432.00000000001643</v>
      </c>
      <c r="F101" t="s">
        <v>48</v>
      </c>
      <c r="G101" t="s">
        <v>4811</v>
      </c>
      <c r="I101">
        <v>100</v>
      </c>
      <c r="J101" t="str">
        <f t="array" ref="J101">INDEX('Sub Trecho'!$F$2:$F$53,MATCH(1,IF('Sub Trecho'!$C$2:$C$53=A101,IF('Sub Trecho'!$H$2:$H$53&lt;=B101,IF('Sub Trecho'!$I$2:$I$53&gt;=B101,0)))))</f>
        <v>LLS-NRI</v>
      </c>
      <c r="K101" t="str">
        <f t="array" ref="K101">INDEX('Sub Trecho'!$D$2:$D$53,MATCH(1,IF('Sub Trecho'!$C$2:$C$53=A101,IF('Sub Trecho'!$H$2:$H$53&lt;=B101,IF('Sub Trecho'!$I$2:$I$53&gt;=B101,0)))))</f>
        <v>17</v>
      </c>
    </row>
    <row r="102" spans="1:11" x14ac:dyDescent="0.3">
      <c r="A102" t="s">
        <v>4799</v>
      </c>
      <c r="B102">
        <v>321.12700000000001</v>
      </c>
      <c r="C102">
        <v>320.74400000000003</v>
      </c>
      <c r="D102">
        <v>321.51100000000002</v>
      </c>
      <c r="E102">
        <v>766.99999999999579</v>
      </c>
      <c r="F102" t="s">
        <v>755</v>
      </c>
      <c r="G102" t="s">
        <v>4812</v>
      </c>
      <c r="I102">
        <v>101</v>
      </c>
      <c r="J102" t="str">
        <f t="array" ref="J102">INDEX('Sub Trecho'!$F$2:$F$53,MATCH(1,IF('Sub Trecho'!$C$2:$C$53=A102,IF('Sub Trecho'!$H$2:$H$53&lt;=B102,IF('Sub Trecho'!$I$2:$I$53&gt;=B102,0)))))</f>
        <v>LLS-NRI</v>
      </c>
      <c r="K102" t="str">
        <f t="array" ref="K102">INDEX('Sub Trecho'!$D$2:$D$53,MATCH(1,IF('Sub Trecho'!$C$2:$C$53=A102,IF('Sub Trecho'!$H$2:$H$53&lt;=B102,IF('Sub Trecho'!$I$2:$I$53&gt;=B102,0)))))</f>
        <v>17</v>
      </c>
    </row>
    <row r="103" spans="1:11" x14ac:dyDescent="0.3">
      <c r="A103" t="s">
        <v>4799</v>
      </c>
      <c r="B103">
        <v>323.88799999999998</v>
      </c>
      <c r="C103">
        <v>323.66500000000002</v>
      </c>
      <c r="D103">
        <v>324.11099999999999</v>
      </c>
      <c r="E103">
        <v>445.99999999996953</v>
      </c>
      <c r="F103" t="s">
        <v>244</v>
      </c>
      <c r="G103" t="s">
        <v>243</v>
      </c>
      <c r="I103">
        <v>102</v>
      </c>
      <c r="J103" t="str">
        <f t="array" ref="J103">INDEX('Sub Trecho'!$F$2:$F$53,MATCH(1,IF('Sub Trecho'!$C$2:$C$53=A103,IF('Sub Trecho'!$H$2:$H$53&lt;=B103,IF('Sub Trecho'!$I$2:$I$53&gt;=B103,0)))))</f>
        <v>LLS-NRI</v>
      </c>
      <c r="K103" t="str">
        <f t="array" ref="K103">INDEX('Sub Trecho'!$D$2:$D$53,MATCH(1,IF('Sub Trecho'!$C$2:$C$53=A103,IF('Sub Trecho'!$H$2:$H$53&lt;=B103,IF('Sub Trecho'!$I$2:$I$53&gt;=B103,0)))))</f>
        <v>17</v>
      </c>
    </row>
    <row r="104" spans="1:11" x14ac:dyDescent="0.3">
      <c r="A104" t="s">
        <v>4799</v>
      </c>
      <c r="B104">
        <v>324.93799999999999</v>
      </c>
      <c r="C104">
        <v>324.74700000000001</v>
      </c>
      <c r="D104">
        <v>325.12900000000002</v>
      </c>
      <c r="E104">
        <v>382.000000000005</v>
      </c>
      <c r="F104" t="s">
        <v>251</v>
      </c>
      <c r="G104" t="s">
        <v>250</v>
      </c>
      <c r="I104">
        <v>103</v>
      </c>
      <c r="J104" t="str">
        <f t="array" ref="J104">INDEX('Sub Trecho'!$F$2:$F$53,MATCH(1,IF('Sub Trecho'!$C$2:$C$53=A104,IF('Sub Trecho'!$H$2:$H$53&lt;=B104,IF('Sub Trecho'!$I$2:$I$53&gt;=B104,0)))))</f>
        <v>LLS-NRI</v>
      </c>
      <c r="K104" t="str">
        <f t="array" ref="K104">INDEX('Sub Trecho'!$D$2:$D$53,MATCH(1,IF('Sub Trecho'!$C$2:$C$53=A104,IF('Sub Trecho'!$H$2:$H$53&lt;=B104,IF('Sub Trecho'!$I$2:$I$53&gt;=B104,0)))))</f>
        <v>17</v>
      </c>
    </row>
    <row r="105" spans="1:11" x14ac:dyDescent="0.3">
      <c r="A105" t="s">
        <v>4799</v>
      </c>
      <c r="B105">
        <v>326.24799999999999</v>
      </c>
      <c r="C105">
        <v>326.00099999999998</v>
      </c>
      <c r="D105">
        <v>326.495</v>
      </c>
      <c r="E105">
        <v>494.00000000002814</v>
      </c>
      <c r="F105" t="s">
        <v>258</v>
      </c>
      <c r="G105" t="s">
        <v>645</v>
      </c>
      <c r="I105">
        <v>104</v>
      </c>
      <c r="J105" t="str">
        <f t="array" ref="J105">INDEX('Sub Trecho'!$F$2:$F$53,MATCH(1,IF('Sub Trecho'!$C$2:$C$53=A105,IF('Sub Trecho'!$H$2:$H$53&lt;=B105,IF('Sub Trecho'!$I$2:$I$53&gt;=B105,0)))))</f>
        <v>LLS-NRI</v>
      </c>
      <c r="K105" t="str">
        <f t="array" ref="K105">INDEX('Sub Trecho'!$D$2:$D$53,MATCH(1,IF('Sub Trecho'!$C$2:$C$53=A105,IF('Sub Trecho'!$H$2:$H$53&lt;=B105,IF('Sub Trecho'!$I$2:$I$53&gt;=B105,0)))))</f>
        <v>17</v>
      </c>
    </row>
    <row r="106" spans="1:11" x14ac:dyDescent="0.3">
      <c r="A106" t="s">
        <v>4799</v>
      </c>
      <c r="B106">
        <v>327.42700000000002</v>
      </c>
      <c r="C106">
        <v>326.952</v>
      </c>
      <c r="D106">
        <v>327.90199999999999</v>
      </c>
      <c r="E106">
        <v>949.99999999998863</v>
      </c>
      <c r="F106" t="s">
        <v>265</v>
      </c>
      <c r="G106" t="s">
        <v>264</v>
      </c>
      <c r="I106">
        <v>105</v>
      </c>
      <c r="J106" t="str">
        <f t="array" ref="J106">INDEX('Sub Trecho'!$F$2:$F$53,MATCH(1,IF('Sub Trecho'!$C$2:$C$53=A106,IF('Sub Trecho'!$H$2:$H$53&lt;=B106,IF('Sub Trecho'!$I$2:$I$53&gt;=B106,0)))))</f>
        <v>LLS-NRI</v>
      </c>
      <c r="K106" t="str">
        <f t="array" ref="K106">INDEX('Sub Trecho'!$D$2:$D$53,MATCH(1,IF('Sub Trecho'!$C$2:$C$53=A106,IF('Sub Trecho'!$H$2:$H$53&lt;=B106,IF('Sub Trecho'!$I$2:$I$53&gt;=B106,0)))))</f>
        <v>17</v>
      </c>
    </row>
    <row r="107" spans="1:11" x14ac:dyDescent="0.3">
      <c r="A107" t="s">
        <v>4799</v>
      </c>
      <c r="B107">
        <v>328.73700000000002</v>
      </c>
      <c r="C107">
        <v>328.47800000000001</v>
      </c>
      <c r="D107">
        <v>328.995</v>
      </c>
      <c r="E107">
        <v>516.99999999999591</v>
      </c>
      <c r="F107" t="s">
        <v>273</v>
      </c>
      <c r="G107" t="s">
        <v>272</v>
      </c>
      <c r="I107">
        <v>106</v>
      </c>
      <c r="J107" t="str">
        <f t="array" ref="J107">INDEX('Sub Trecho'!$F$2:$F$53,MATCH(1,IF('Sub Trecho'!$C$2:$C$53=A107,IF('Sub Trecho'!$H$2:$H$53&lt;=B107,IF('Sub Trecho'!$I$2:$I$53&gt;=B107,0)))))</f>
        <v>LLS-NRI</v>
      </c>
      <c r="K107" t="str">
        <f t="array" ref="K107">INDEX('Sub Trecho'!$D$2:$D$53,MATCH(1,IF('Sub Trecho'!$C$2:$C$53=A107,IF('Sub Trecho'!$H$2:$H$53&lt;=B107,IF('Sub Trecho'!$I$2:$I$53&gt;=B107,0)))))</f>
        <v>17</v>
      </c>
    </row>
    <row r="108" spans="1:11" x14ac:dyDescent="0.3">
      <c r="A108" t="s">
        <v>4799</v>
      </c>
      <c r="B108">
        <v>329.84300000000002</v>
      </c>
      <c r="C108">
        <v>329.65699999999998</v>
      </c>
      <c r="D108">
        <v>330.029</v>
      </c>
      <c r="E108">
        <v>372.0000000000141</v>
      </c>
      <c r="F108" t="s">
        <v>280</v>
      </c>
      <c r="G108" t="s">
        <v>649</v>
      </c>
      <c r="I108">
        <v>107</v>
      </c>
      <c r="J108" t="str">
        <f t="array" ref="J108">INDEX('Sub Trecho'!$F$2:$F$53,MATCH(1,IF('Sub Trecho'!$C$2:$C$53=A108,IF('Sub Trecho'!$H$2:$H$53&lt;=B108,IF('Sub Trecho'!$I$2:$I$53&gt;=B108,0)))))</f>
        <v>LLS-NRI</v>
      </c>
      <c r="K108" t="str">
        <f t="array" ref="K108">INDEX('Sub Trecho'!$D$2:$D$53,MATCH(1,IF('Sub Trecho'!$C$2:$C$53=A108,IF('Sub Trecho'!$H$2:$H$53&lt;=B108,IF('Sub Trecho'!$I$2:$I$53&gt;=B108,0)))))</f>
        <v>17</v>
      </c>
    </row>
    <row r="109" spans="1:11" x14ac:dyDescent="0.3">
      <c r="A109" t="s">
        <v>4799</v>
      </c>
      <c r="B109">
        <v>331.22899999999998</v>
      </c>
      <c r="C109">
        <v>330.887</v>
      </c>
      <c r="D109">
        <v>331.57100000000003</v>
      </c>
      <c r="E109">
        <v>684.00000000002592</v>
      </c>
      <c r="F109" t="s">
        <v>284</v>
      </c>
      <c r="G109" t="s">
        <v>283</v>
      </c>
      <c r="I109">
        <v>108</v>
      </c>
      <c r="J109" t="str">
        <f t="array" ref="J109">INDEX('Sub Trecho'!$F$2:$F$53,MATCH(1,IF('Sub Trecho'!$C$2:$C$53=A109,IF('Sub Trecho'!$H$2:$H$53&lt;=B109,IF('Sub Trecho'!$I$2:$I$53&gt;=B109,0)))))</f>
        <v>LLS-NRI</v>
      </c>
      <c r="K109" t="str">
        <f t="array" ref="K109">INDEX('Sub Trecho'!$D$2:$D$53,MATCH(1,IF('Sub Trecho'!$C$2:$C$53=A109,IF('Sub Trecho'!$H$2:$H$53&lt;=B109,IF('Sub Trecho'!$I$2:$I$53&gt;=B109,0)))))</f>
        <v>17</v>
      </c>
    </row>
    <row r="110" spans="1:11" x14ac:dyDescent="0.3">
      <c r="A110" t="s">
        <v>4799</v>
      </c>
      <c r="B110">
        <v>332.24799999999999</v>
      </c>
      <c r="C110">
        <v>331.964</v>
      </c>
      <c r="D110">
        <v>332.53100000000001</v>
      </c>
      <c r="E110">
        <v>567.00000000000728</v>
      </c>
      <c r="F110" t="s">
        <v>292</v>
      </c>
      <c r="G110" t="s">
        <v>652</v>
      </c>
      <c r="I110">
        <v>109</v>
      </c>
      <c r="J110" t="str">
        <f t="array" ref="J110">INDEX('Sub Trecho'!$F$2:$F$53,MATCH(1,IF('Sub Trecho'!$C$2:$C$53=A110,IF('Sub Trecho'!$H$2:$H$53&lt;=B110,IF('Sub Trecho'!$I$2:$I$53&gt;=B110,0)))))</f>
        <v>LLS-NRI</v>
      </c>
      <c r="K110" t="str">
        <f t="array" ref="K110">INDEX('Sub Trecho'!$D$2:$D$53,MATCH(1,IF('Sub Trecho'!$C$2:$C$53=A110,IF('Sub Trecho'!$H$2:$H$53&lt;=B110,IF('Sub Trecho'!$I$2:$I$53&gt;=B110,0)))))</f>
        <v>17</v>
      </c>
    </row>
    <row r="111" spans="1:11" x14ac:dyDescent="0.3">
      <c r="A111" t="s">
        <v>4799</v>
      </c>
      <c r="B111">
        <v>332.80799999999999</v>
      </c>
      <c r="C111">
        <v>332.726</v>
      </c>
      <c r="D111">
        <v>332.89100000000002</v>
      </c>
      <c r="E111">
        <v>165.00000000002046</v>
      </c>
      <c r="F111" t="s">
        <v>299</v>
      </c>
      <c r="G111" t="s">
        <v>298</v>
      </c>
      <c r="I111">
        <v>110</v>
      </c>
      <c r="J111" t="str">
        <f t="array" ref="J111">INDEX('Sub Trecho'!$F$2:$F$53,MATCH(1,IF('Sub Trecho'!$C$2:$C$53=A111,IF('Sub Trecho'!$H$2:$H$53&lt;=B111,IF('Sub Trecho'!$I$2:$I$53&gt;=B111,0)))))</f>
        <v>LLS-NRI</v>
      </c>
      <c r="K111" t="str">
        <f t="array" ref="K111">INDEX('Sub Trecho'!$D$2:$D$53,MATCH(1,IF('Sub Trecho'!$C$2:$C$53=A111,IF('Sub Trecho'!$H$2:$H$53&lt;=B111,IF('Sub Trecho'!$I$2:$I$53&gt;=B111,0)))))</f>
        <v>17</v>
      </c>
    </row>
    <row r="112" spans="1:11" x14ac:dyDescent="0.3">
      <c r="A112" t="s">
        <v>4799</v>
      </c>
      <c r="B112">
        <v>333.14299999999997</v>
      </c>
      <c r="C112">
        <v>333.00099999999998</v>
      </c>
      <c r="D112">
        <v>333.28500000000003</v>
      </c>
      <c r="E112">
        <v>284.00000000004866</v>
      </c>
      <c r="F112" t="s">
        <v>306</v>
      </c>
      <c r="G112" t="s">
        <v>298</v>
      </c>
      <c r="I112">
        <v>111</v>
      </c>
      <c r="J112" t="str">
        <f t="array" ref="J112">INDEX('Sub Trecho'!$F$2:$F$53,MATCH(1,IF('Sub Trecho'!$C$2:$C$53=A112,IF('Sub Trecho'!$H$2:$H$53&lt;=B112,IF('Sub Trecho'!$I$2:$I$53&gt;=B112,0)))))</f>
        <v>LLS-NRI</v>
      </c>
      <c r="K112" t="str">
        <f t="array" ref="K112">INDEX('Sub Trecho'!$D$2:$D$53,MATCH(1,IF('Sub Trecho'!$C$2:$C$53=A112,IF('Sub Trecho'!$H$2:$H$53&lt;=B112,IF('Sub Trecho'!$I$2:$I$53&gt;=B112,0)))))</f>
        <v>17</v>
      </c>
    </row>
    <row r="113" spans="1:11" x14ac:dyDescent="0.3">
      <c r="A113" t="s">
        <v>4799</v>
      </c>
      <c r="B113">
        <v>333.92200000000003</v>
      </c>
      <c r="C113">
        <v>333.53399999999999</v>
      </c>
      <c r="D113">
        <v>334.31099999999998</v>
      </c>
      <c r="E113">
        <v>776.99999999998693</v>
      </c>
      <c r="F113" t="s">
        <v>971</v>
      </c>
      <c r="G113" t="s">
        <v>970</v>
      </c>
      <c r="I113">
        <v>112</v>
      </c>
      <c r="J113" t="str">
        <f t="array" ref="J113">INDEX('Sub Trecho'!$F$2:$F$53,MATCH(1,IF('Sub Trecho'!$C$2:$C$53=A113,IF('Sub Trecho'!$H$2:$H$53&lt;=B113,IF('Sub Trecho'!$I$2:$I$53&gt;=B113,0)))))</f>
        <v>LLS-NRI</v>
      </c>
      <c r="K113" t="str">
        <f t="array" ref="K113">INDEX('Sub Trecho'!$D$2:$D$53,MATCH(1,IF('Sub Trecho'!$C$2:$C$53=A113,IF('Sub Trecho'!$H$2:$H$53&lt;=B113,IF('Sub Trecho'!$I$2:$I$53&gt;=B113,0)))))</f>
        <v>17</v>
      </c>
    </row>
    <row r="114" spans="1:11" x14ac:dyDescent="0.3">
      <c r="A114" t="s">
        <v>4799</v>
      </c>
      <c r="B114">
        <v>348.363</v>
      </c>
      <c r="C114">
        <v>348.18599999999998</v>
      </c>
      <c r="D114">
        <v>348.541</v>
      </c>
      <c r="E114">
        <v>355.00000000001819</v>
      </c>
      <c r="F114" t="s">
        <v>142</v>
      </c>
      <c r="G114" t="s">
        <v>141</v>
      </c>
      <c r="I114">
        <v>113</v>
      </c>
      <c r="J114" t="str">
        <f t="array" ref="J114">INDEX('Sub Trecho'!$F$2:$F$53,MATCH(1,IF('Sub Trecho'!$C$2:$C$53=A114,IF('Sub Trecho'!$H$2:$H$53&lt;=B114,IF('Sub Trecho'!$I$2:$I$53&gt;=B114,0)))))</f>
        <v>LLS-NRI</v>
      </c>
      <c r="K114" t="str">
        <f t="array" ref="K114">INDEX('Sub Trecho'!$D$2:$D$53,MATCH(1,IF('Sub Trecho'!$C$2:$C$53=A114,IF('Sub Trecho'!$H$2:$H$53&lt;=B114,IF('Sub Trecho'!$I$2:$I$53&gt;=B114,0)))))</f>
        <v>17</v>
      </c>
    </row>
    <row r="115" spans="1:11" x14ac:dyDescent="0.3">
      <c r="A115" t="s">
        <v>4799</v>
      </c>
      <c r="B115">
        <v>349.76600000000002</v>
      </c>
      <c r="C115">
        <v>349.52800000000002</v>
      </c>
      <c r="D115">
        <v>350.00299999999999</v>
      </c>
      <c r="E115">
        <v>474.99999999996589</v>
      </c>
      <c r="F115" t="s">
        <v>139</v>
      </c>
      <c r="G115" t="s">
        <v>4813</v>
      </c>
      <c r="I115">
        <v>114</v>
      </c>
      <c r="J115" t="str">
        <f t="array" ref="J115">INDEX('Sub Trecho'!$F$2:$F$53,MATCH(1,IF('Sub Trecho'!$C$2:$C$53=A115,IF('Sub Trecho'!$H$2:$H$53&lt;=B115,IF('Sub Trecho'!$I$2:$I$53&gt;=B115,0)))))</f>
        <v>LLS-NRI</v>
      </c>
      <c r="K115" t="str">
        <f t="array" ref="K115">INDEX('Sub Trecho'!$D$2:$D$53,MATCH(1,IF('Sub Trecho'!$C$2:$C$53=A115,IF('Sub Trecho'!$H$2:$H$53&lt;=B115,IF('Sub Trecho'!$I$2:$I$53&gt;=B115,0)))))</f>
        <v>17</v>
      </c>
    </row>
    <row r="116" spans="1:11" x14ac:dyDescent="0.3">
      <c r="A116" t="s">
        <v>4799</v>
      </c>
      <c r="B116">
        <v>351.21300000000002</v>
      </c>
      <c r="C116">
        <v>350.952</v>
      </c>
      <c r="D116">
        <v>351.47300000000001</v>
      </c>
      <c r="E116">
        <v>521.00000000001501</v>
      </c>
      <c r="F116" t="s">
        <v>153</v>
      </c>
      <c r="G116" t="s">
        <v>152</v>
      </c>
      <c r="I116">
        <v>115</v>
      </c>
      <c r="J116" t="str">
        <f t="array" ref="J116">INDEX('Sub Trecho'!$F$2:$F$53,MATCH(1,IF('Sub Trecho'!$C$2:$C$53=A116,IF('Sub Trecho'!$H$2:$H$53&lt;=B116,IF('Sub Trecho'!$I$2:$I$53&gt;=B116,0)))))</f>
        <v>LLS-NRI</v>
      </c>
      <c r="K116" t="str">
        <f t="array" ref="K116">INDEX('Sub Trecho'!$D$2:$D$53,MATCH(1,IF('Sub Trecho'!$C$2:$C$53=A116,IF('Sub Trecho'!$H$2:$H$53&lt;=B116,IF('Sub Trecho'!$I$2:$I$53&gt;=B116,0)))))</f>
        <v>17</v>
      </c>
    </row>
    <row r="117" spans="1:11" x14ac:dyDescent="0.3">
      <c r="A117" t="s">
        <v>4799</v>
      </c>
      <c r="B117">
        <v>375.79700000000003</v>
      </c>
      <c r="C117">
        <v>375.62200000000001</v>
      </c>
      <c r="D117">
        <v>375.97199999999998</v>
      </c>
      <c r="E117">
        <v>349.99999999996589</v>
      </c>
      <c r="F117" t="s">
        <v>715</v>
      </c>
      <c r="G117" t="s">
        <v>972</v>
      </c>
      <c r="I117">
        <v>116</v>
      </c>
      <c r="J117" t="str">
        <f t="array" ref="J117">INDEX('Sub Trecho'!$F$2:$F$53,MATCH(1,IF('Sub Trecho'!$C$2:$C$53=A117,IF('Sub Trecho'!$H$2:$H$53&lt;=B117,IF('Sub Trecho'!$I$2:$I$53&gt;=B117,0)))))</f>
        <v>LLS-NRI</v>
      </c>
      <c r="K117" t="str">
        <f t="array" ref="K117">INDEX('Sub Trecho'!$D$2:$D$53,MATCH(1,IF('Sub Trecho'!$C$2:$C$53=A117,IF('Sub Trecho'!$H$2:$H$53&lt;=B117,IF('Sub Trecho'!$I$2:$I$53&gt;=B117,0)))))</f>
        <v>17</v>
      </c>
    </row>
    <row r="118" spans="1:11" x14ac:dyDescent="0.3">
      <c r="A118" t="s">
        <v>4814</v>
      </c>
      <c r="B118">
        <v>11.737</v>
      </c>
      <c r="C118">
        <v>11.18</v>
      </c>
      <c r="D118">
        <v>12.292999999999999</v>
      </c>
      <c r="E118">
        <v>1112.9999999999995</v>
      </c>
      <c r="F118" t="s">
        <v>1439</v>
      </c>
      <c r="G118" t="s">
        <v>4815</v>
      </c>
      <c r="I118">
        <v>117</v>
      </c>
      <c r="J118" t="str">
        <f t="array" ref="J118">INDEX('Sub Trecho'!$F$2:$F$53,MATCH(1,IF('Sub Trecho'!$C$2:$C$53=A118,IF('Sub Trecho'!$H$2:$H$53&lt;=B118,IF('Sub Trecho'!$I$2:$I$53&gt;=B118,0)))))</f>
        <v>NRO-NPF</v>
      </c>
      <c r="K118" t="str">
        <f t="array" ref="K118">INDEX('Sub Trecho'!$D$2:$D$53,MATCH(1,IF('Sub Trecho'!$C$2:$C$53=A118,IF('Sub Trecho'!$H$2:$H$53&lt;=B118,IF('Sub Trecho'!$I$2:$I$53&gt;=B118,0)))))</f>
        <v>19</v>
      </c>
    </row>
    <row r="119" spans="1:11" x14ac:dyDescent="0.3">
      <c r="A119" t="s">
        <v>4814</v>
      </c>
      <c r="B119">
        <v>17.902999999999999</v>
      </c>
      <c r="C119">
        <v>17.82</v>
      </c>
      <c r="D119">
        <v>17.984999999999999</v>
      </c>
      <c r="E119">
        <v>164.99999999999915</v>
      </c>
      <c r="F119" t="s">
        <v>1440</v>
      </c>
      <c r="G119" t="s">
        <v>4816</v>
      </c>
      <c r="I119">
        <v>118</v>
      </c>
      <c r="J119" t="str">
        <f t="array" ref="J119">INDEX('Sub Trecho'!$F$2:$F$53,MATCH(1,IF('Sub Trecho'!$C$2:$C$53=A119,IF('Sub Trecho'!$H$2:$H$53&lt;=B119,IF('Sub Trecho'!$I$2:$I$53&gt;=B119,0)))))</f>
        <v>NRO-NPF</v>
      </c>
      <c r="K119" t="str">
        <f t="array" ref="K119">INDEX('Sub Trecho'!$D$2:$D$53,MATCH(1,IF('Sub Trecho'!$C$2:$C$53=A119,IF('Sub Trecho'!$H$2:$H$53&lt;=B119,IF('Sub Trecho'!$I$2:$I$53&gt;=B119,0)))))</f>
        <v>19</v>
      </c>
    </row>
    <row r="120" spans="1:11" x14ac:dyDescent="0.3">
      <c r="A120" t="s">
        <v>4814</v>
      </c>
      <c r="B120">
        <v>21.157</v>
      </c>
      <c r="C120">
        <v>20.937999999999999</v>
      </c>
      <c r="D120">
        <v>21.376000000000001</v>
      </c>
      <c r="E120">
        <v>438.00000000000239</v>
      </c>
      <c r="F120" t="s">
        <v>1441</v>
      </c>
      <c r="G120" t="s">
        <v>4817</v>
      </c>
      <c r="I120">
        <v>119</v>
      </c>
      <c r="J120" t="str">
        <f t="array" ref="J120">INDEX('Sub Trecho'!$F$2:$F$53,MATCH(1,IF('Sub Trecho'!$C$2:$C$53=A120,IF('Sub Trecho'!$H$2:$H$53&lt;=B120,IF('Sub Trecho'!$I$2:$I$53&gt;=B120,0)))))</f>
        <v>NRO-NPF</v>
      </c>
      <c r="K120" t="str">
        <f t="array" ref="K120">INDEX('Sub Trecho'!$D$2:$D$53,MATCH(1,IF('Sub Trecho'!$C$2:$C$53=A120,IF('Sub Trecho'!$H$2:$H$53&lt;=B120,IF('Sub Trecho'!$I$2:$I$53&gt;=B120,0)))))</f>
        <v>19</v>
      </c>
    </row>
    <row r="121" spans="1:11" x14ac:dyDescent="0.3">
      <c r="A121" t="s">
        <v>4814</v>
      </c>
      <c r="B121">
        <v>23.641999999999999</v>
      </c>
      <c r="C121">
        <v>23.420999999999999</v>
      </c>
      <c r="D121">
        <v>23.861999999999998</v>
      </c>
      <c r="E121">
        <v>440.99999999999898</v>
      </c>
      <c r="F121" t="s">
        <v>1442</v>
      </c>
      <c r="G121" t="s">
        <v>4818</v>
      </c>
      <c r="I121">
        <v>120</v>
      </c>
      <c r="J121" t="str">
        <f t="array" ref="J121">INDEX('Sub Trecho'!$F$2:$F$53,MATCH(1,IF('Sub Trecho'!$C$2:$C$53=A121,IF('Sub Trecho'!$H$2:$H$53&lt;=B121,IF('Sub Trecho'!$I$2:$I$53&gt;=B121,0)))))</f>
        <v>NRO-NPF</v>
      </c>
      <c r="K121" t="str">
        <f t="array" ref="K121">INDEX('Sub Trecho'!$D$2:$D$53,MATCH(1,IF('Sub Trecho'!$C$2:$C$53=A121,IF('Sub Trecho'!$H$2:$H$53&lt;=B121,IF('Sub Trecho'!$I$2:$I$53&gt;=B121,0)))))</f>
        <v>19</v>
      </c>
    </row>
    <row r="122" spans="1:11" x14ac:dyDescent="0.3">
      <c r="A122" t="s">
        <v>4814</v>
      </c>
      <c r="B122">
        <v>25.25</v>
      </c>
      <c r="C122">
        <v>25.128</v>
      </c>
      <c r="D122">
        <v>25.372</v>
      </c>
      <c r="E122">
        <v>243.99999999999977</v>
      </c>
      <c r="F122" t="s">
        <v>1443</v>
      </c>
      <c r="G122" t="s">
        <v>4819</v>
      </c>
      <c r="I122">
        <v>121</v>
      </c>
      <c r="J122" t="str">
        <f t="array" ref="J122">INDEX('Sub Trecho'!$F$2:$F$53,MATCH(1,IF('Sub Trecho'!$C$2:$C$53=A122,IF('Sub Trecho'!$H$2:$H$53&lt;=B122,IF('Sub Trecho'!$I$2:$I$53&gt;=B122,0)))))</f>
        <v>NRO-NPF</v>
      </c>
      <c r="K122" t="str">
        <f t="array" ref="K122">INDEX('Sub Trecho'!$D$2:$D$53,MATCH(1,IF('Sub Trecho'!$C$2:$C$53=A122,IF('Sub Trecho'!$H$2:$H$53&lt;=B122,IF('Sub Trecho'!$I$2:$I$53&gt;=B122,0)))))</f>
        <v>19</v>
      </c>
    </row>
    <row r="123" spans="1:11" x14ac:dyDescent="0.3">
      <c r="A123" t="s">
        <v>4814</v>
      </c>
      <c r="B123">
        <v>26.306000000000001</v>
      </c>
      <c r="C123">
        <v>26.117999999999999</v>
      </c>
      <c r="D123">
        <v>26.494</v>
      </c>
      <c r="E123">
        <v>376.00000000000131</v>
      </c>
      <c r="F123" t="s">
        <v>1444</v>
      </c>
      <c r="G123" t="s">
        <v>4820</v>
      </c>
      <c r="I123">
        <v>122</v>
      </c>
      <c r="J123" t="str">
        <f t="array" ref="J123">INDEX('Sub Trecho'!$F$2:$F$53,MATCH(1,IF('Sub Trecho'!$C$2:$C$53=A123,IF('Sub Trecho'!$H$2:$H$53&lt;=B123,IF('Sub Trecho'!$I$2:$I$53&gt;=B123,0)))))</f>
        <v>NRO-NPF</v>
      </c>
      <c r="K123" t="str">
        <f t="array" ref="K123">INDEX('Sub Trecho'!$D$2:$D$53,MATCH(1,IF('Sub Trecho'!$C$2:$C$53=A123,IF('Sub Trecho'!$H$2:$H$53&lt;=B123,IF('Sub Trecho'!$I$2:$I$53&gt;=B123,0)))))</f>
        <v>19</v>
      </c>
    </row>
    <row r="124" spans="1:11" x14ac:dyDescent="0.3">
      <c r="A124" t="s">
        <v>4814</v>
      </c>
      <c r="B124">
        <v>28.03</v>
      </c>
      <c r="C124">
        <v>27.907</v>
      </c>
      <c r="D124">
        <v>28.152999999999999</v>
      </c>
      <c r="E124">
        <v>245.99999999999864</v>
      </c>
      <c r="F124" t="s">
        <v>1445</v>
      </c>
      <c r="G124" t="s">
        <v>4821</v>
      </c>
      <c r="I124">
        <v>123</v>
      </c>
      <c r="J124" t="str">
        <f t="array" ref="J124">INDEX('Sub Trecho'!$F$2:$F$53,MATCH(1,IF('Sub Trecho'!$C$2:$C$53=A124,IF('Sub Trecho'!$H$2:$H$53&lt;=B124,IF('Sub Trecho'!$I$2:$I$53&gt;=B124,0)))))</f>
        <v>NRO-NPF</v>
      </c>
      <c r="K124" t="str">
        <f t="array" ref="K124">INDEX('Sub Trecho'!$D$2:$D$53,MATCH(1,IF('Sub Trecho'!$C$2:$C$53=A124,IF('Sub Trecho'!$H$2:$H$53&lt;=B124,IF('Sub Trecho'!$I$2:$I$53&gt;=B124,0)))))</f>
        <v>19</v>
      </c>
    </row>
    <row r="125" spans="1:11" x14ac:dyDescent="0.3">
      <c r="A125" t="s">
        <v>4814</v>
      </c>
      <c r="B125">
        <v>30.236999999999998</v>
      </c>
      <c r="C125">
        <v>29.864999999999998</v>
      </c>
      <c r="D125">
        <v>30.608000000000001</v>
      </c>
      <c r="E125">
        <v>743.00000000000205</v>
      </c>
      <c r="F125" t="s">
        <v>1446</v>
      </c>
      <c r="G125" t="s">
        <v>4822</v>
      </c>
      <c r="I125">
        <v>124</v>
      </c>
      <c r="J125" t="str">
        <f t="array" ref="J125">INDEX('Sub Trecho'!$F$2:$F$53,MATCH(1,IF('Sub Trecho'!$C$2:$C$53=A125,IF('Sub Trecho'!$H$2:$H$53&lt;=B125,IF('Sub Trecho'!$I$2:$I$53&gt;=B125,0)))))</f>
        <v>NRO-NPF</v>
      </c>
      <c r="K125" t="str">
        <f t="array" ref="K125">INDEX('Sub Trecho'!$D$2:$D$53,MATCH(1,IF('Sub Trecho'!$C$2:$C$53=A125,IF('Sub Trecho'!$H$2:$H$53&lt;=B125,IF('Sub Trecho'!$I$2:$I$53&gt;=B125,0)))))</f>
        <v>19</v>
      </c>
    </row>
    <row r="126" spans="1:11" x14ac:dyDescent="0.3">
      <c r="A126" t="s">
        <v>4814</v>
      </c>
      <c r="B126">
        <v>31.347999999999999</v>
      </c>
      <c r="C126">
        <v>30.873999999999999</v>
      </c>
      <c r="D126">
        <v>31.821999999999999</v>
      </c>
      <c r="E126">
        <v>948.00000000000045</v>
      </c>
      <c r="F126" t="s">
        <v>1447</v>
      </c>
      <c r="G126" t="s">
        <v>4823</v>
      </c>
      <c r="I126">
        <v>125</v>
      </c>
      <c r="J126" t="str">
        <f t="array" ref="J126">INDEX('Sub Trecho'!$F$2:$F$53,MATCH(1,IF('Sub Trecho'!$C$2:$C$53=A126,IF('Sub Trecho'!$H$2:$H$53&lt;=B126,IF('Sub Trecho'!$I$2:$I$53&gt;=B126,0)))))</f>
        <v>NRO-NPF</v>
      </c>
      <c r="K126" t="str">
        <f t="array" ref="K126">INDEX('Sub Trecho'!$D$2:$D$53,MATCH(1,IF('Sub Trecho'!$C$2:$C$53=A126,IF('Sub Trecho'!$H$2:$H$53&lt;=B126,IF('Sub Trecho'!$I$2:$I$53&gt;=B126,0)))))</f>
        <v>19</v>
      </c>
    </row>
    <row r="127" spans="1:11" x14ac:dyDescent="0.3">
      <c r="A127" t="s">
        <v>4814</v>
      </c>
      <c r="B127">
        <v>32.018000000000001</v>
      </c>
      <c r="C127">
        <v>31.92</v>
      </c>
      <c r="D127">
        <v>32.116</v>
      </c>
      <c r="E127">
        <v>195.99999999999795</v>
      </c>
      <c r="F127" t="s">
        <v>1448</v>
      </c>
      <c r="G127" t="s">
        <v>4824</v>
      </c>
      <c r="I127">
        <v>126</v>
      </c>
      <c r="J127" t="str">
        <f t="array" ref="J127">INDEX('Sub Trecho'!$F$2:$F$53,MATCH(1,IF('Sub Trecho'!$C$2:$C$53=A127,IF('Sub Trecho'!$H$2:$H$53&lt;=B127,IF('Sub Trecho'!$I$2:$I$53&gt;=B127,0)))))</f>
        <v>NRO-NPF</v>
      </c>
      <c r="K127" t="str">
        <f t="array" ref="K127">INDEX('Sub Trecho'!$D$2:$D$53,MATCH(1,IF('Sub Trecho'!$C$2:$C$53=A127,IF('Sub Trecho'!$H$2:$H$53&lt;=B127,IF('Sub Trecho'!$I$2:$I$53&gt;=B127,0)))))</f>
        <v>19</v>
      </c>
    </row>
    <row r="128" spans="1:11" x14ac:dyDescent="0.3">
      <c r="A128" t="s">
        <v>4814</v>
      </c>
      <c r="B128">
        <v>32.819000000000003</v>
      </c>
      <c r="C128">
        <v>32.213000000000001</v>
      </c>
      <c r="D128">
        <v>33.424999999999997</v>
      </c>
      <c r="E128">
        <v>1211.9999999999959</v>
      </c>
      <c r="F128" t="s">
        <v>785</v>
      </c>
      <c r="G128" t="s">
        <v>4824</v>
      </c>
      <c r="I128">
        <v>127</v>
      </c>
      <c r="J128" t="str">
        <f t="array" ref="J128">INDEX('Sub Trecho'!$F$2:$F$53,MATCH(1,IF('Sub Trecho'!$C$2:$C$53=A128,IF('Sub Trecho'!$H$2:$H$53&lt;=B128,IF('Sub Trecho'!$I$2:$I$53&gt;=B128,0)))))</f>
        <v>NRO-NPF</v>
      </c>
      <c r="K128" t="str">
        <f t="array" ref="K128">INDEX('Sub Trecho'!$D$2:$D$53,MATCH(1,IF('Sub Trecho'!$C$2:$C$53=A128,IF('Sub Trecho'!$H$2:$H$53&lt;=B128,IF('Sub Trecho'!$I$2:$I$53&gt;=B128,0)))))</f>
        <v>19</v>
      </c>
    </row>
    <row r="129" spans="1:11" x14ac:dyDescent="0.3">
      <c r="A129" t="s">
        <v>4814</v>
      </c>
      <c r="B129">
        <v>34.819000000000003</v>
      </c>
      <c r="C129">
        <v>34.305999999999997</v>
      </c>
      <c r="D129">
        <v>35.332000000000001</v>
      </c>
      <c r="E129">
        <v>1026.0000000000034</v>
      </c>
      <c r="F129" t="s">
        <v>790</v>
      </c>
      <c r="G129" t="s">
        <v>789</v>
      </c>
      <c r="I129">
        <v>128</v>
      </c>
      <c r="J129" t="str">
        <f t="array" ref="J129">INDEX('Sub Trecho'!$F$2:$F$53,MATCH(1,IF('Sub Trecho'!$C$2:$C$53=A129,IF('Sub Trecho'!$H$2:$H$53&lt;=B129,IF('Sub Trecho'!$I$2:$I$53&gt;=B129,0)))))</f>
        <v>NRO-NPF</v>
      </c>
      <c r="K129" t="str">
        <f t="array" ref="K129">INDEX('Sub Trecho'!$D$2:$D$53,MATCH(1,IF('Sub Trecho'!$C$2:$C$53=A129,IF('Sub Trecho'!$H$2:$H$53&lt;=B129,IF('Sub Trecho'!$I$2:$I$53&gt;=B129,0)))))</f>
        <v>19</v>
      </c>
    </row>
    <row r="130" spans="1:11" x14ac:dyDescent="0.3">
      <c r="A130" t="s">
        <v>4814</v>
      </c>
      <c r="B130">
        <v>35.548999999999999</v>
      </c>
      <c r="C130">
        <v>35.408999999999999</v>
      </c>
      <c r="D130">
        <v>35.689</v>
      </c>
      <c r="E130">
        <v>280.00000000000114</v>
      </c>
      <c r="F130" t="s">
        <v>800</v>
      </c>
      <c r="G130" t="s">
        <v>795</v>
      </c>
      <c r="I130">
        <v>129</v>
      </c>
      <c r="J130" t="str">
        <f t="array" ref="J130">INDEX('Sub Trecho'!$F$2:$F$53,MATCH(1,IF('Sub Trecho'!$C$2:$C$53=A130,IF('Sub Trecho'!$H$2:$H$53&lt;=B130,IF('Sub Trecho'!$I$2:$I$53&gt;=B130,0)))))</f>
        <v>NRO-NPF</v>
      </c>
      <c r="K130" t="str">
        <f t="array" ref="K130">INDEX('Sub Trecho'!$D$2:$D$53,MATCH(1,IF('Sub Trecho'!$C$2:$C$53=A130,IF('Sub Trecho'!$H$2:$H$53&lt;=B130,IF('Sub Trecho'!$I$2:$I$53&gt;=B130,0)))))</f>
        <v>19</v>
      </c>
    </row>
    <row r="131" spans="1:11" x14ac:dyDescent="0.3">
      <c r="A131" t="s">
        <v>4814</v>
      </c>
      <c r="B131">
        <v>38.030999999999999</v>
      </c>
      <c r="C131">
        <v>37.582999999999998</v>
      </c>
      <c r="D131">
        <v>38.478999999999999</v>
      </c>
      <c r="E131">
        <v>896.0000000000008</v>
      </c>
      <c r="F131" t="s">
        <v>805</v>
      </c>
      <c r="G131" t="s">
        <v>4825</v>
      </c>
      <c r="I131">
        <v>130</v>
      </c>
      <c r="J131" t="str">
        <f t="array" ref="J131">INDEX('Sub Trecho'!$F$2:$F$53,MATCH(1,IF('Sub Trecho'!$C$2:$C$53=A131,IF('Sub Trecho'!$H$2:$H$53&lt;=B131,IF('Sub Trecho'!$I$2:$I$53&gt;=B131,0)))))</f>
        <v>NRO-NPF</v>
      </c>
      <c r="K131" t="str">
        <f t="array" ref="K131">INDEX('Sub Trecho'!$D$2:$D$53,MATCH(1,IF('Sub Trecho'!$C$2:$C$53=A131,IF('Sub Trecho'!$H$2:$H$53&lt;=B131,IF('Sub Trecho'!$I$2:$I$53&gt;=B131,0)))))</f>
        <v>19</v>
      </c>
    </row>
    <row r="132" spans="1:11" x14ac:dyDescent="0.3">
      <c r="A132" t="s">
        <v>4814</v>
      </c>
      <c r="B132">
        <v>39.17</v>
      </c>
      <c r="C132">
        <v>38.926000000000002</v>
      </c>
      <c r="D132">
        <v>39.414000000000001</v>
      </c>
      <c r="E132">
        <v>487.99999999999955</v>
      </c>
      <c r="F132" t="s">
        <v>811</v>
      </c>
      <c r="G132" t="s">
        <v>4826</v>
      </c>
      <c r="I132">
        <v>131</v>
      </c>
      <c r="J132" t="str">
        <f t="array" ref="J132">INDEX('Sub Trecho'!$F$2:$F$53,MATCH(1,IF('Sub Trecho'!$C$2:$C$53=A132,IF('Sub Trecho'!$H$2:$H$53&lt;=B132,IF('Sub Trecho'!$I$2:$I$53&gt;=B132,0)))))</f>
        <v>NRO-NPF</v>
      </c>
      <c r="K132" t="str">
        <f t="array" ref="K132">INDEX('Sub Trecho'!$D$2:$D$53,MATCH(1,IF('Sub Trecho'!$C$2:$C$53=A132,IF('Sub Trecho'!$H$2:$H$53&lt;=B132,IF('Sub Trecho'!$I$2:$I$53&gt;=B132,0)))))</f>
        <v>19</v>
      </c>
    </row>
    <row r="133" spans="1:11" x14ac:dyDescent="0.3">
      <c r="A133" t="s">
        <v>4814</v>
      </c>
      <c r="B133">
        <v>42.177999999999997</v>
      </c>
      <c r="C133">
        <v>42.100999999999999</v>
      </c>
      <c r="D133">
        <v>42.255000000000003</v>
      </c>
      <c r="E133">
        <v>154.00000000000347</v>
      </c>
      <c r="F133" t="s">
        <v>1449</v>
      </c>
      <c r="G133" t="s">
        <v>4827</v>
      </c>
      <c r="I133">
        <v>132</v>
      </c>
      <c r="J133" t="str">
        <f t="array" ref="J133">INDEX('Sub Trecho'!$F$2:$F$53,MATCH(1,IF('Sub Trecho'!$C$2:$C$53=A133,IF('Sub Trecho'!$H$2:$H$53&lt;=B133,IF('Sub Trecho'!$I$2:$I$53&gt;=B133,0)))))</f>
        <v>NRO-NPF</v>
      </c>
      <c r="K133" t="str">
        <f t="array" ref="K133">INDEX('Sub Trecho'!$D$2:$D$53,MATCH(1,IF('Sub Trecho'!$C$2:$C$53=A133,IF('Sub Trecho'!$H$2:$H$53&lt;=B133,IF('Sub Trecho'!$I$2:$I$53&gt;=B133,0)))))</f>
        <v>19</v>
      </c>
    </row>
    <row r="134" spans="1:11" x14ac:dyDescent="0.3">
      <c r="A134" t="s">
        <v>4814</v>
      </c>
      <c r="B134">
        <v>43.723999999999997</v>
      </c>
      <c r="C134">
        <v>42.643999999999998</v>
      </c>
      <c r="D134">
        <v>44.802999999999997</v>
      </c>
      <c r="E134">
        <v>2158.9999999999991</v>
      </c>
      <c r="F134" t="s">
        <v>816</v>
      </c>
      <c r="G134" t="s">
        <v>815</v>
      </c>
      <c r="I134">
        <v>133</v>
      </c>
      <c r="J134" t="str">
        <f t="array" ref="J134">INDEX('Sub Trecho'!$F$2:$F$53,MATCH(1,IF('Sub Trecho'!$C$2:$C$53=A134,IF('Sub Trecho'!$H$2:$H$53&lt;=B134,IF('Sub Trecho'!$I$2:$I$53&gt;=B134,0)))))</f>
        <v>NRO-NPF</v>
      </c>
      <c r="K134" t="str">
        <f t="array" ref="K134">INDEX('Sub Trecho'!$D$2:$D$53,MATCH(1,IF('Sub Trecho'!$C$2:$C$53=A134,IF('Sub Trecho'!$H$2:$H$53&lt;=B134,IF('Sub Trecho'!$I$2:$I$53&gt;=B134,0)))))</f>
        <v>19</v>
      </c>
    </row>
    <row r="135" spans="1:11" x14ac:dyDescent="0.3">
      <c r="A135" t="s">
        <v>4814</v>
      </c>
      <c r="B135">
        <v>45.1</v>
      </c>
      <c r="C135">
        <v>44.999000000000002</v>
      </c>
      <c r="D135">
        <v>45.2</v>
      </c>
      <c r="E135">
        <v>201.00000000000051</v>
      </c>
      <c r="F135" t="s">
        <v>1450</v>
      </c>
      <c r="G135" t="s">
        <v>4828</v>
      </c>
      <c r="I135">
        <v>134</v>
      </c>
      <c r="J135" t="str">
        <f t="array" ref="J135">INDEX('Sub Trecho'!$F$2:$F$53,MATCH(1,IF('Sub Trecho'!$C$2:$C$53=A135,IF('Sub Trecho'!$H$2:$H$53&lt;=B135,IF('Sub Trecho'!$I$2:$I$53&gt;=B135,0)))))</f>
        <v>NRO-NPF</v>
      </c>
      <c r="K135" t="str">
        <f t="array" ref="K135">INDEX('Sub Trecho'!$D$2:$D$53,MATCH(1,IF('Sub Trecho'!$C$2:$C$53=A135,IF('Sub Trecho'!$H$2:$H$53&lt;=B135,IF('Sub Trecho'!$I$2:$I$53&gt;=B135,0)))))</f>
        <v>19</v>
      </c>
    </row>
    <row r="136" spans="1:11" x14ac:dyDescent="0.3">
      <c r="A136" t="s">
        <v>4814</v>
      </c>
      <c r="B136">
        <v>46.301000000000002</v>
      </c>
      <c r="C136">
        <v>46.033000000000001</v>
      </c>
      <c r="D136">
        <v>46.567999999999998</v>
      </c>
      <c r="E136">
        <v>534.99999999999659</v>
      </c>
      <c r="F136" t="s">
        <v>827</v>
      </c>
      <c r="G136" t="s">
        <v>4829</v>
      </c>
      <c r="I136">
        <v>135</v>
      </c>
      <c r="J136" t="str">
        <f t="array" ref="J136">INDEX('Sub Trecho'!$F$2:$F$53,MATCH(1,IF('Sub Trecho'!$C$2:$C$53=A136,IF('Sub Trecho'!$H$2:$H$53&lt;=B136,IF('Sub Trecho'!$I$2:$I$53&gt;=B136,0)))))</f>
        <v>NRO-NPF</v>
      </c>
      <c r="K136" t="str">
        <f t="array" ref="K136">INDEX('Sub Trecho'!$D$2:$D$53,MATCH(1,IF('Sub Trecho'!$C$2:$C$53=A136,IF('Sub Trecho'!$H$2:$H$53&lt;=B136,IF('Sub Trecho'!$I$2:$I$53&gt;=B136,0)))))</f>
        <v>19</v>
      </c>
    </row>
    <row r="137" spans="1:11" x14ac:dyDescent="0.3">
      <c r="A137" t="s">
        <v>4814</v>
      </c>
      <c r="B137">
        <v>47.16</v>
      </c>
      <c r="C137">
        <v>46.895000000000003</v>
      </c>
      <c r="D137">
        <v>47.423999999999999</v>
      </c>
      <c r="E137">
        <v>528.99999999999636</v>
      </c>
      <c r="F137" t="s">
        <v>839</v>
      </c>
      <c r="G137" t="s">
        <v>4830</v>
      </c>
      <c r="I137">
        <v>136</v>
      </c>
      <c r="J137" t="str">
        <f t="array" ref="J137">INDEX('Sub Trecho'!$F$2:$F$53,MATCH(1,IF('Sub Trecho'!$C$2:$C$53=A137,IF('Sub Trecho'!$H$2:$H$53&lt;=B137,IF('Sub Trecho'!$I$2:$I$53&gt;=B137,0)))))</f>
        <v>NRO-NPF</v>
      </c>
      <c r="K137" t="str">
        <f t="array" ref="K137">INDEX('Sub Trecho'!$D$2:$D$53,MATCH(1,IF('Sub Trecho'!$C$2:$C$53=A137,IF('Sub Trecho'!$H$2:$H$53&lt;=B137,IF('Sub Trecho'!$I$2:$I$53&gt;=B137,0)))))</f>
        <v>19</v>
      </c>
    </row>
    <row r="138" spans="1:11" x14ac:dyDescent="0.3">
      <c r="A138" t="s">
        <v>4814</v>
      </c>
      <c r="B138">
        <v>48.493000000000002</v>
      </c>
      <c r="C138">
        <v>48.289000000000001</v>
      </c>
      <c r="D138">
        <v>48.697000000000003</v>
      </c>
      <c r="E138">
        <v>408.00000000000131</v>
      </c>
      <c r="F138" t="s">
        <v>1451</v>
      </c>
      <c r="G138" t="s">
        <v>4831</v>
      </c>
      <c r="I138">
        <v>137</v>
      </c>
      <c r="J138" t="str">
        <f t="array" ref="J138">INDEX('Sub Trecho'!$F$2:$F$53,MATCH(1,IF('Sub Trecho'!$C$2:$C$53=A138,IF('Sub Trecho'!$H$2:$H$53&lt;=B138,IF('Sub Trecho'!$I$2:$I$53&gt;=B138,0)))))</f>
        <v>NRO-NPF</v>
      </c>
      <c r="K138" t="str">
        <f t="array" ref="K138">INDEX('Sub Trecho'!$D$2:$D$53,MATCH(1,IF('Sub Trecho'!$C$2:$C$53=A138,IF('Sub Trecho'!$H$2:$H$53&lt;=B138,IF('Sub Trecho'!$I$2:$I$53&gt;=B138,0)))))</f>
        <v>19</v>
      </c>
    </row>
    <row r="139" spans="1:11" x14ac:dyDescent="0.3">
      <c r="A139" t="s">
        <v>4814</v>
      </c>
      <c r="B139">
        <v>50.279000000000003</v>
      </c>
      <c r="C139">
        <v>50</v>
      </c>
      <c r="D139">
        <v>50.557000000000002</v>
      </c>
      <c r="E139">
        <v>557.00000000000216</v>
      </c>
      <c r="F139" t="s">
        <v>1452</v>
      </c>
      <c r="G139" t="s">
        <v>4832</v>
      </c>
      <c r="I139">
        <v>138</v>
      </c>
      <c r="J139" t="str">
        <f t="array" ref="J139">INDEX('Sub Trecho'!$F$2:$F$53,MATCH(1,IF('Sub Trecho'!$C$2:$C$53=A139,IF('Sub Trecho'!$H$2:$H$53&lt;=B139,IF('Sub Trecho'!$I$2:$I$53&gt;=B139,0)))))</f>
        <v>NRO-NPF</v>
      </c>
      <c r="K139" t="str">
        <f t="array" ref="K139">INDEX('Sub Trecho'!$D$2:$D$53,MATCH(1,IF('Sub Trecho'!$C$2:$C$53=A139,IF('Sub Trecho'!$H$2:$H$53&lt;=B139,IF('Sub Trecho'!$I$2:$I$53&gt;=B139,0)))))</f>
        <v>19</v>
      </c>
    </row>
    <row r="140" spans="1:11" x14ac:dyDescent="0.3">
      <c r="A140" t="s">
        <v>4814</v>
      </c>
      <c r="B140">
        <v>53.451000000000001</v>
      </c>
      <c r="C140">
        <v>53.036000000000001</v>
      </c>
      <c r="D140">
        <v>53.865000000000002</v>
      </c>
      <c r="E140">
        <v>829.00000000000068</v>
      </c>
      <c r="F140" t="s">
        <v>1453</v>
      </c>
      <c r="G140" t="s">
        <v>4833</v>
      </c>
      <c r="I140">
        <v>139</v>
      </c>
      <c r="J140" t="str">
        <f t="array" ref="J140">INDEX('Sub Trecho'!$F$2:$F$53,MATCH(1,IF('Sub Trecho'!$C$2:$C$53=A140,IF('Sub Trecho'!$H$2:$H$53&lt;=B140,IF('Sub Trecho'!$I$2:$I$53&gt;=B140,0)))))</f>
        <v>NRO-NPF</v>
      </c>
      <c r="K140" t="str">
        <f t="array" ref="K140">INDEX('Sub Trecho'!$D$2:$D$53,MATCH(1,IF('Sub Trecho'!$C$2:$C$53=A140,IF('Sub Trecho'!$H$2:$H$53&lt;=B140,IF('Sub Trecho'!$I$2:$I$53&gt;=B140,0)))))</f>
        <v>19</v>
      </c>
    </row>
    <row r="141" spans="1:11" x14ac:dyDescent="0.3">
      <c r="A141" t="s">
        <v>4814</v>
      </c>
      <c r="B141">
        <v>55.43</v>
      </c>
      <c r="C141">
        <v>55.14</v>
      </c>
      <c r="D141">
        <v>55.72</v>
      </c>
      <c r="E141">
        <v>579.99999999999829</v>
      </c>
      <c r="F141" t="s">
        <v>1454</v>
      </c>
      <c r="G141" t="s">
        <v>4834</v>
      </c>
      <c r="I141">
        <v>140</v>
      </c>
      <c r="J141" t="str">
        <f t="array" ref="J141">INDEX('Sub Trecho'!$F$2:$F$53,MATCH(1,IF('Sub Trecho'!$C$2:$C$53=A141,IF('Sub Trecho'!$H$2:$H$53&lt;=B141,IF('Sub Trecho'!$I$2:$I$53&gt;=B141,0)))))</f>
        <v>NRO-NPF</v>
      </c>
      <c r="K141" t="str">
        <f t="array" ref="K141">INDEX('Sub Trecho'!$D$2:$D$53,MATCH(1,IF('Sub Trecho'!$C$2:$C$53=A141,IF('Sub Trecho'!$H$2:$H$53&lt;=B141,IF('Sub Trecho'!$I$2:$I$53&gt;=B141,0)))))</f>
        <v>19</v>
      </c>
    </row>
    <row r="142" spans="1:11" x14ac:dyDescent="0.3">
      <c r="A142" t="s">
        <v>4814</v>
      </c>
      <c r="B142">
        <v>69.409000000000006</v>
      </c>
      <c r="C142">
        <v>69.257999999999996</v>
      </c>
      <c r="D142">
        <v>69.558999999999997</v>
      </c>
      <c r="E142">
        <v>301.00000000000193</v>
      </c>
      <c r="F142" t="s">
        <v>1455</v>
      </c>
      <c r="G142" t="s">
        <v>4835</v>
      </c>
      <c r="H142" t="s">
        <v>1743</v>
      </c>
      <c r="I142">
        <v>141</v>
      </c>
      <c r="J142" t="str">
        <f t="array" ref="J142">INDEX('Sub Trecho'!$F$2:$F$53,MATCH(1,IF('Sub Trecho'!$C$2:$C$53=A142,IF('Sub Trecho'!$H$2:$H$53&lt;=B142,IF('Sub Trecho'!$I$2:$I$53&gt;=B142,0)))))</f>
        <v>NRO-NPF</v>
      </c>
      <c r="K142" t="str">
        <f t="array" ref="K142">INDEX('Sub Trecho'!$D$2:$D$53,MATCH(1,IF('Sub Trecho'!$C$2:$C$53=A142,IF('Sub Trecho'!$H$2:$H$53&lt;=B142,IF('Sub Trecho'!$I$2:$I$53&gt;=B142,0)))))</f>
        <v>19</v>
      </c>
    </row>
    <row r="143" spans="1:11" x14ac:dyDescent="0.3">
      <c r="A143" t="s">
        <v>4814</v>
      </c>
      <c r="B143">
        <v>70.522000000000006</v>
      </c>
      <c r="C143">
        <v>70.254999999999995</v>
      </c>
      <c r="D143">
        <v>70.789000000000001</v>
      </c>
      <c r="E143">
        <v>534.00000000000603</v>
      </c>
      <c r="F143" t="s">
        <v>1456</v>
      </c>
      <c r="G143" t="s">
        <v>4836</v>
      </c>
      <c r="H143" t="s">
        <v>1746</v>
      </c>
      <c r="I143">
        <v>142</v>
      </c>
      <c r="J143" t="str">
        <f t="array" ref="J143">INDEX('Sub Trecho'!$F$2:$F$53,MATCH(1,IF('Sub Trecho'!$C$2:$C$53=A143,IF('Sub Trecho'!$H$2:$H$53&lt;=B143,IF('Sub Trecho'!$I$2:$I$53&gt;=B143,0)))))</f>
        <v>NRO-NPF</v>
      </c>
      <c r="K143" t="str">
        <f t="array" ref="K143">INDEX('Sub Trecho'!$D$2:$D$53,MATCH(1,IF('Sub Trecho'!$C$2:$C$53=A143,IF('Sub Trecho'!$H$2:$H$53&lt;=B143,IF('Sub Trecho'!$I$2:$I$53&gt;=B143,0)))))</f>
        <v>19</v>
      </c>
    </row>
    <row r="144" spans="1:11" x14ac:dyDescent="0.3">
      <c r="A144" t="s">
        <v>4814</v>
      </c>
      <c r="B144">
        <v>72.203000000000003</v>
      </c>
      <c r="C144">
        <v>72.072999999999993</v>
      </c>
      <c r="D144">
        <v>72.332999999999998</v>
      </c>
      <c r="E144">
        <v>260.00000000000512</v>
      </c>
      <c r="F144" t="s">
        <v>1457</v>
      </c>
      <c r="G144" t="s">
        <v>4837</v>
      </c>
      <c r="I144">
        <v>143</v>
      </c>
      <c r="J144" t="str">
        <f t="array" ref="J144">INDEX('Sub Trecho'!$F$2:$F$53,MATCH(1,IF('Sub Trecho'!$C$2:$C$53=A144,IF('Sub Trecho'!$H$2:$H$53&lt;=B144,IF('Sub Trecho'!$I$2:$I$53&gt;=B144,0)))))</f>
        <v>NRO-NPF</v>
      </c>
      <c r="K144" t="str">
        <f t="array" ref="K144">INDEX('Sub Trecho'!$D$2:$D$53,MATCH(1,IF('Sub Trecho'!$C$2:$C$53=A144,IF('Sub Trecho'!$H$2:$H$53&lt;=B144,IF('Sub Trecho'!$I$2:$I$53&gt;=B144,0)))))</f>
        <v>19</v>
      </c>
    </row>
    <row r="145" spans="1:11" x14ac:dyDescent="0.3">
      <c r="A145" t="s">
        <v>4814</v>
      </c>
      <c r="B145">
        <v>74.748000000000005</v>
      </c>
      <c r="C145">
        <v>74.52</v>
      </c>
      <c r="D145">
        <v>74.975999999999999</v>
      </c>
      <c r="E145">
        <v>456.00000000000301</v>
      </c>
      <c r="F145" t="s">
        <v>778</v>
      </c>
      <c r="G145" t="s">
        <v>777</v>
      </c>
      <c r="I145">
        <v>144</v>
      </c>
      <c r="J145" t="str">
        <f t="array" ref="J145">INDEX('Sub Trecho'!$F$2:$F$53,MATCH(1,IF('Sub Trecho'!$C$2:$C$53=A145,IF('Sub Trecho'!$H$2:$H$53&lt;=B145,IF('Sub Trecho'!$I$2:$I$53&gt;=B145,0)))))</f>
        <v>NRO-NPF</v>
      </c>
      <c r="K145" t="str">
        <f t="array" ref="K145">INDEX('Sub Trecho'!$D$2:$D$53,MATCH(1,IF('Sub Trecho'!$C$2:$C$53=A145,IF('Sub Trecho'!$H$2:$H$53&lt;=B145,IF('Sub Trecho'!$I$2:$I$53&gt;=B145,0)))))</f>
        <v>19</v>
      </c>
    </row>
    <row r="146" spans="1:11" x14ac:dyDescent="0.3">
      <c r="A146" t="s">
        <v>4814</v>
      </c>
      <c r="B146">
        <v>76.007999999999996</v>
      </c>
      <c r="C146">
        <v>75.867000000000004</v>
      </c>
      <c r="D146">
        <v>76.149000000000001</v>
      </c>
      <c r="E146">
        <v>281.99999999999648</v>
      </c>
      <c r="F146" t="s">
        <v>1458</v>
      </c>
      <c r="G146" t="s">
        <v>4838</v>
      </c>
      <c r="I146">
        <v>145</v>
      </c>
      <c r="J146" t="str">
        <f t="array" ref="J146">INDEX('Sub Trecho'!$F$2:$F$53,MATCH(1,IF('Sub Trecho'!$C$2:$C$53=A146,IF('Sub Trecho'!$H$2:$H$53&lt;=B146,IF('Sub Trecho'!$I$2:$I$53&gt;=B146,0)))))</f>
        <v>NRO-NPF</v>
      </c>
      <c r="K146" t="str">
        <f t="array" ref="K146">INDEX('Sub Trecho'!$D$2:$D$53,MATCH(1,IF('Sub Trecho'!$C$2:$C$53=A146,IF('Sub Trecho'!$H$2:$H$53&lt;=B146,IF('Sub Trecho'!$I$2:$I$53&gt;=B146,0)))))</f>
        <v>19</v>
      </c>
    </row>
    <row r="147" spans="1:11" x14ac:dyDescent="0.3">
      <c r="A147" t="s">
        <v>4814</v>
      </c>
      <c r="B147">
        <v>78.260999999999996</v>
      </c>
      <c r="C147">
        <v>78.046000000000006</v>
      </c>
      <c r="D147">
        <v>78.474999999999994</v>
      </c>
      <c r="E147">
        <v>428.99999999998784</v>
      </c>
      <c r="F147" t="s">
        <v>1459</v>
      </c>
      <c r="G147" t="s">
        <v>4839</v>
      </c>
      <c r="I147">
        <v>146</v>
      </c>
      <c r="J147" t="str">
        <f t="array" ref="J147">INDEX('Sub Trecho'!$F$2:$F$53,MATCH(1,IF('Sub Trecho'!$C$2:$C$53=A147,IF('Sub Trecho'!$H$2:$H$53&lt;=B147,IF('Sub Trecho'!$I$2:$I$53&gt;=B147,0)))))</f>
        <v>NRO-NPF</v>
      </c>
      <c r="K147" t="str">
        <f t="array" ref="K147">INDEX('Sub Trecho'!$D$2:$D$53,MATCH(1,IF('Sub Trecho'!$C$2:$C$53=A147,IF('Sub Trecho'!$H$2:$H$53&lt;=B147,IF('Sub Trecho'!$I$2:$I$53&gt;=B147,0)))))</f>
        <v>19</v>
      </c>
    </row>
    <row r="148" spans="1:11" x14ac:dyDescent="0.3">
      <c r="A148" t="s">
        <v>4814</v>
      </c>
      <c r="B148">
        <v>83.210999999999999</v>
      </c>
      <c r="C148">
        <v>83.072999999999993</v>
      </c>
      <c r="D148">
        <v>83.349000000000004</v>
      </c>
      <c r="E148">
        <v>276.00000000001046</v>
      </c>
      <c r="F148" t="s">
        <v>1460</v>
      </c>
      <c r="G148" t="s">
        <v>4840</v>
      </c>
      <c r="I148">
        <v>147</v>
      </c>
      <c r="J148" t="str">
        <f t="array" ref="J148">INDEX('Sub Trecho'!$F$2:$F$53,MATCH(1,IF('Sub Trecho'!$C$2:$C$53=A148,IF('Sub Trecho'!$H$2:$H$53&lt;=B148,IF('Sub Trecho'!$I$2:$I$53&gt;=B148,0)))))</f>
        <v>NRO-NPF</v>
      </c>
      <c r="K148" t="str">
        <f t="array" ref="K148">INDEX('Sub Trecho'!$D$2:$D$53,MATCH(1,IF('Sub Trecho'!$C$2:$C$53=A148,IF('Sub Trecho'!$H$2:$H$53&lt;=B148,IF('Sub Trecho'!$I$2:$I$53&gt;=B148,0)))))</f>
        <v>19</v>
      </c>
    </row>
    <row r="149" spans="1:11" x14ac:dyDescent="0.3">
      <c r="A149" t="s">
        <v>4814</v>
      </c>
      <c r="B149">
        <v>95.183999999999997</v>
      </c>
      <c r="C149">
        <v>95.040999999999997</v>
      </c>
      <c r="D149">
        <v>95.326999999999998</v>
      </c>
      <c r="E149">
        <v>286.00000000000136</v>
      </c>
      <c r="F149" t="s">
        <v>1461</v>
      </c>
      <c r="G149" t="s">
        <v>4841</v>
      </c>
      <c r="I149">
        <v>148</v>
      </c>
      <c r="J149" t="str">
        <f t="array" ref="J149">INDEX('Sub Trecho'!$F$2:$F$53,MATCH(1,IF('Sub Trecho'!$C$2:$C$53=A149,IF('Sub Trecho'!$H$2:$H$53&lt;=B149,IF('Sub Trecho'!$I$2:$I$53&gt;=B149,0)))))</f>
        <v>NRO-NPF</v>
      </c>
      <c r="K149" t="str">
        <f t="array" ref="K149">INDEX('Sub Trecho'!$D$2:$D$53,MATCH(1,IF('Sub Trecho'!$C$2:$C$53=A149,IF('Sub Trecho'!$H$2:$H$53&lt;=B149,IF('Sub Trecho'!$I$2:$I$53&gt;=B149,0)))))</f>
        <v>19</v>
      </c>
    </row>
    <row r="150" spans="1:11" x14ac:dyDescent="0.3">
      <c r="A150" t="s">
        <v>4842</v>
      </c>
      <c r="B150">
        <v>55.676000000000002</v>
      </c>
      <c r="C150">
        <v>55.399000000000001</v>
      </c>
      <c r="D150">
        <v>55.953000000000003</v>
      </c>
      <c r="E150">
        <v>554.00000000000205</v>
      </c>
      <c r="F150" t="s">
        <v>1462</v>
      </c>
      <c r="G150" t="s">
        <v>4843</v>
      </c>
      <c r="I150">
        <v>149</v>
      </c>
      <c r="J150" t="str">
        <f t="array" ref="J150">INDEX('Sub Trecho'!$F$2:$F$53,MATCH(1,IF('Sub Trecho'!$C$2:$C$53=A150,IF('Sub Trecho'!$H$2:$H$53&lt;=B150,IF('Sub Trecho'!$I$2:$I$53&gt;=B150,0)))))</f>
        <v>NRO-NGL</v>
      </c>
      <c r="K150" t="str">
        <f t="array" ref="K150">INDEX('Sub Trecho'!$D$2:$D$53,MATCH(1,IF('Sub Trecho'!$C$2:$C$53=A150,IF('Sub Trecho'!$H$2:$H$53&lt;=B150,IF('Sub Trecho'!$I$2:$I$53&gt;=B150,0)))))</f>
        <v>21</v>
      </c>
    </row>
    <row r="151" spans="1:11" x14ac:dyDescent="0.3">
      <c r="A151" t="s">
        <v>4842</v>
      </c>
      <c r="B151">
        <v>83.63</v>
      </c>
      <c r="C151">
        <v>83.515000000000001</v>
      </c>
      <c r="D151">
        <v>83.745000000000005</v>
      </c>
      <c r="E151">
        <v>230.00000000000401</v>
      </c>
      <c r="F151" t="s">
        <v>1463</v>
      </c>
      <c r="G151" t="s">
        <v>4843</v>
      </c>
      <c r="I151">
        <v>150</v>
      </c>
      <c r="J151" t="str">
        <f t="array" ref="J151">INDEX('Sub Trecho'!$F$2:$F$53,MATCH(1,IF('Sub Trecho'!$C$2:$C$53=A151,IF('Sub Trecho'!$H$2:$H$53&lt;=B151,IF('Sub Trecho'!$I$2:$I$53&gt;=B151,0)))))</f>
        <v>NRO-NGL</v>
      </c>
      <c r="K151" t="str">
        <f t="array" ref="K151">INDEX('Sub Trecho'!$D$2:$D$53,MATCH(1,IF('Sub Trecho'!$C$2:$C$53=A151,IF('Sub Trecho'!$H$2:$H$53&lt;=B151,IF('Sub Trecho'!$I$2:$I$53&gt;=B151,0)))))</f>
        <v>21</v>
      </c>
    </row>
    <row r="152" spans="1:11" x14ac:dyDescent="0.3">
      <c r="A152" t="s">
        <v>4842</v>
      </c>
      <c r="B152">
        <v>97.491</v>
      </c>
      <c r="C152">
        <v>97.301000000000002</v>
      </c>
      <c r="D152">
        <v>97.682000000000002</v>
      </c>
      <c r="E152">
        <v>381.00000000000023</v>
      </c>
      <c r="F152" t="s">
        <v>1464</v>
      </c>
      <c r="G152" t="s">
        <v>4843</v>
      </c>
      <c r="I152">
        <v>151</v>
      </c>
      <c r="J152" t="str">
        <f t="array" ref="J152">INDEX('Sub Trecho'!$F$2:$F$53,MATCH(1,IF('Sub Trecho'!$C$2:$C$53=A152,IF('Sub Trecho'!$H$2:$H$53&lt;=B152,IF('Sub Trecho'!$I$2:$I$53&gt;=B152,0)))))</f>
        <v>NRO-NGL</v>
      </c>
      <c r="K152" t="str">
        <f t="array" ref="K152">INDEX('Sub Trecho'!$D$2:$D$53,MATCH(1,IF('Sub Trecho'!$C$2:$C$53=A152,IF('Sub Trecho'!$H$2:$H$53&lt;=B152,IF('Sub Trecho'!$I$2:$I$53&gt;=B152,0)))))</f>
        <v>21</v>
      </c>
    </row>
    <row r="153" spans="1:11" x14ac:dyDescent="0.3">
      <c r="A153" t="s">
        <v>4844</v>
      </c>
      <c r="B153">
        <v>164.959</v>
      </c>
      <c r="C153">
        <v>164.678</v>
      </c>
      <c r="D153">
        <v>165.24100000000001</v>
      </c>
      <c r="E153">
        <v>563.0000000000166</v>
      </c>
      <c r="F153" t="s">
        <v>316</v>
      </c>
      <c r="G153" t="s">
        <v>315</v>
      </c>
      <c r="I153">
        <v>152</v>
      </c>
      <c r="J153" t="str">
        <f t="array" ref="J153">INDEX('Sub Trecho'!$F$2:$F$53,MATCH(1,IF('Sub Trecho'!$C$2:$C$53=A153,IF('Sub Trecho'!$H$2:$H$53&lt;=B153,IF('Sub Trecho'!$I$2:$I$53&gt;=B153,0)))))</f>
        <v>NRP-NSM</v>
      </c>
      <c r="K153" t="str">
        <f t="array" ref="K153">INDEX('Sub Trecho'!$D$2:$D$53,MATCH(1,IF('Sub Trecho'!$C$2:$C$53=A153,IF('Sub Trecho'!$H$2:$H$53&lt;=B153,IF('Sub Trecho'!$I$2:$I$53&gt;=B153,0)))))</f>
        <v>24</v>
      </c>
    </row>
    <row r="154" spans="1:11" x14ac:dyDescent="0.3">
      <c r="A154" t="s">
        <v>4845</v>
      </c>
      <c r="B154">
        <v>332.59300000000002</v>
      </c>
      <c r="C154">
        <v>332.35300000000001</v>
      </c>
      <c r="D154">
        <v>332.83300000000003</v>
      </c>
      <c r="E154">
        <v>480.00000000001813</v>
      </c>
      <c r="F154" t="s">
        <v>346</v>
      </c>
      <c r="G154" t="s">
        <v>345</v>
      </c>
      <c r="I154">
        <v>153</v>
      </c>
      <c r="J154" t="str">
        <f t="array" ref="J154">INDEX('Sub Trecho'!$F$2:$F$53,MATCH(1,IF('Sub Trecho'!$C$2:$C$53=A154,IF('Sub Trecho'!$H$2:$H$53&lt;=B154,IF('Sub Trecho'!$I$2:$I$53&gt;=B154,0)))))</f>
        <v>NSM-NCY</v>
      </c>
      <c r="K154" t="str">
        <f t="array" ref="K154">INDEX('Sub Trecho'!$D$2:$D$53,MATCH(1,IF('Sub Trecho'!$C$2:$C$53=A154,IF('Sub Trecho'!$H$2:$H$53&lt;=B154,IF('Sub Trecho'!$I$2:$I$53&gt;=B154,0)))))</f>
        <v>25</v>
      </c>
    </row>
    <row r="155" spans="1:11" x14ac:dyDescent="0.3">
      <c r="A155" t="s">
        <v>4846</v>
      </c>
      <c r="B155">
        <v>325.96899999999999</v>
      </c>
      <c r="C155">
        <v>325.84100000000001</v>
      </c>
      <c r="D155">
        <v>326.096</v>
      </c>
      <c r="E155">
        <v>254.999999999995</v>
      </c>
      <c r="F155" t="s">
        <v>952</v>
      </c>
      <c r="G155" t="s">
        <v>951</v>
      </c>
      <c r="I155">
        <v>154</v>
      </c>
      <c r="J155" t="str">
        <f t="array" ref="J155">INDEX('Sub Trecho'!$F$2:$F$53,MATCH(1,IF('Sub Trecho'!$C$2:$C$53=A155,IF('Sub Trecho'!$H$2:$H$53&lt;=B155,IF('Sub Trecho'!$I$2:$I$53&gt;=B155,0)))))</f>
        <v>NBG-NRH</v>
      </c>
      <c r="K155" t="str">
        <f t="array" ref="K155">INDEX('Sub Trecho'!$D$2:$D$53,MATCH(1,IF('Sub Trecho'!$C$2:$C$53=A155,IF('Sub Trecho'!$H$2:$H$53&lt;=B155,IF('Sub Trecho'!$I$2:$I$53&gt;=B155,0)))))</f>
        <v>37</v>
      </c>
    </row>
    <row r="156" spans="1:11" x14ac:dyDescent="0.3">
      <c r="A156" t="s">
        <v>4847</v>
      </c>
      <c r="B156">
        <v>353.54899999999998</v>
      </c>
      <c r="C156">
        <v>353.28199999999998</v>
      </c>
      <c r="D156">
        <v>353.81599999999997</v>
      </c>
      <c r="E156">
        <v>533.99999999999181</v>
      </c>
      <c r="F156" t="s">
        <v>856</v>
      </c>
      <c r="G156" t="s">
        <v>855</v>
      </c>
      <c r="I156">
        <v>155</v>
      </c>
      <c r="J156" t="str">
        <f t="array" ref="J156">INDEX('Sub Trecho'!$F$2:$F$53,MATCH(1,IF('Sub Trecho'!$C$2:$C$53=A156,IF('Sub Trecho'!$H$2:$H$53&lt;=B156,IF('Sub Trecho'!$I$2:$I$53&gt;=B156,0)))))</f>
        <v>ZIE-LLZ</v>
      </c>
      <c r="K156" t="str">
        <f t="array" ref="K156">INDEX('Sub Trecho'!$D$2:$D$53,MATCH(1,IF('Sub Trecho'!$C$2:$C$53=A156,IF('Sub Trecho'!$H$2:$H$53&lt;=B156,IF('Sub Trecho'!$I$2:$I$53&gt;=B156,0)))))</f>
        <v>39</v>
      </c>
    </row>
    <row r="157" spans="1:11" x14ac:dyDescent="0.3">
      <c r="A157" t="s">
        <v>4847</v>
      </c>
      <c r="B157">
        <v>355.74200000000002</v>
      </c>
      <c r="C157">
        <v>355.548</v>
      </c>
      <c r="D157">
        <v>355.93599999999998</v>
      </c>
      <c r="E157">
        <v>387.99999999997681</v>
      </c>
      <c r="F157" t="s">
        <v>863</v>
      </c>
      <c r="G157" t="s">
        <v>862</v>
      </c>
      <c r="I157">
        <v>156</v>
      </c>
      <c r="J157" t="str">
        <f t="array" ref="J157">INDEX('Sub Trecho'!$F$2:$F$53,MATCH(1,IF('Sub Trecho'!$C$2:$C$53=A157,IF('Sub Trecho'!$H$2:$H$53&lt;=B157,IF('Sub Trecho'!$I$2:$I$53&gt;=B157,0)))))</f>
        <v>ZIE-LLZ</v>
      </c>
      <c r="K157" t="str">
        <f t="array" ref="K157">INDEX('Sub Trecho'!$D$2:$D$53,MATCH(1,IF('Sub Trecho'!$C$2:$C$53=A157,IF('Sub Trecho'!$H$2:$H$53&lt;=B157,IF('Sub Trecho'!$I$2:$I$53&gt;=B157,0)))))</f>
        <v>39</v>
      </c>
    </row>
    <row r="158" spans="1:11" x14ac:dyDescent="0.3">
      <c r="A158" t="s">
        <v>4847</v>
      </c>
      <c r="B158">
        <v>361.863</v>
      </c>
      <c r="C158">
        <v>361.589</v>
      </c>
      <c r="D158">
        <v>362.137</v>
      </c>
      <c r="E158">
        <v>548.00000000000182</v>
      </c>
      <c r="F158" t="s">
        <v>869</v>
      </c>
      <c r="G158" t="s">
        <v>868</v>
      </c>
      <c r="I158">
        <v>157</v>
      </c>
      <c r="J158" t="str">
        <f t="array" ref="J158">INDEX('Sub Trecho'!$F$2:$F$53,MATCH(1,IF('Sub Trecho'!$C$2:$C$53=A158,IF('Sub Trecho'!$H$2:$H$53&lt;=B158,IF('Sub Trecho'!$I$2:$I$53&gt;=B158,0)))))</f>
        <v>ZIE-LLZ</v>
      </c>
      <c r="K158" t="str">
        <f t="array" ref="K158">INDEX('Sub Trecho'!$D$2:$D$53,MATCH(1,IF('Sub Trecho'!$C$2:$C$53=A158,IF('Sub Trecho'!$H$2:$H$53&lt;=B158,IF('Sub Trecho'!$I$2:$I$53&gt;=B158,0)))))</f>
        <v>39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headerFooter>
    <oddHeader>&amp;L&amp;"Calibri"&amp;10&amp;K000000Interno&amp;1#</oddHeader>
    <oddFooter>&amp;L&amp;1#&amp;"Calibri"&amp;10&amp;K000000Interno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3"/>
  <sheetViews>
    <sheetView workbookViewId="0">
      <selection activeCell="H15" sqref="H15"/>
    </sheetView>
  </sheetViews>
  <sheetFormatPr defaultRowHeight="14.4" x14ac:dyDescent="0.3"/>
  <cols>
    <col min="1" max="1" width="8.5546875" bestFit="1" customWidth="1"/>
    <col min="2" max="2" width="9" bestFit="1" customWidth="1"/>
    <col min="3" max="3" width="8.77734375" bestFit="1" customWidth="1"/>
    <col min="4" max="4" width="11.77734375" bestFit="1" customWidth="1"/>
    <col min="5" max="5" width="13.21875" bestFit="1" customWidth="1"/>
    <col min="6" max="6" width="14.21875" bestFit="1" customWidth="1"/>
    <col min="7" max="7" width="18.109375" bestFit="1" customWidth="1"/>
    <col min="8" max="8" width="11.5546875" bestFit="1" customWidth="1"/>
    <col min="9" max="9" width="10" bestFit="1" customWidth="1"/>
    <col min="10" max="10" width="8.88671875" bestFit="1" customWidth="1"/>
    <col min="11" max="11" width="13.109375" bestFit="1" customWidth="1"/>
    <col min="12" max="12" width="6.5546875" bestFit="1" customWidth="1"/>
    <col min="13" max="13" width="15.6640625" bestFit="1" customWidth="1"/>
  </cols>
  <sheetData>
    <row r="1" spans="1:13" x14ac:dyDescent="0.3">
      <c r="A1" t="s">
        <v>4848</v>
      </c>
      <c r="B1" t="s">
        <v>4849</v>
      </c>
      <c r="C1" t="s">
        <v>4850</v>
      </c>
      <c r="D1" t="s">
        <v>4851</v>
      </c>
      <c r="E1" t="s">
        <v>25</v>
      </c>
      <c r="F1" t="s">
        <v>4852</v>
      </c>
      <c r="G1" t="s">
        <v>4853</v>
      </c>
      <c r="H1" t="s">
        <v>4854</v>
      </c>
      <c r="I1" t="s">
        <v>4855</v>
      </c>
      <c r="J1" t="s">
        <v>4856</v>
      </c>
      <c r="K1" t="s">
        <v>4857</v>
      </c>
      <c r="L1" t="s">
        <v>4858</v>
      </c>
      <c r="M1" t="s">
        <v>4859</v>
      </c>
    </row>
    <row r="2" spans="1:13" x14ac:dyDescent="0.3">
      <c r="A2" t="s">
        <v>4860</v>
      </c>
      <c r="B2" t="s">
        <v>4861</v>
      </c>
      <c r="C2" t="s">
        <v>4782</v>
      </c>
      <c r="D2" t="s">
        <v>4782</v>
      </c>
      <c r="E2" t="s">
        <v>4862</v>
      </c>
      <c r="F2" t="s">
        <v>4863</v>
      </c>
      <c r="G2" t="s">
        <v>4864</v>
      </c>
      <c r="H2">
        <v>217</v>
      </c>
      <c r="I2">
        <v>268</v>
      </c>
      <c r="J2" t="s">
        <v>4865</v>
      </c>
      <c r="K2" t="s">
        <v>4866</v>
      </c>
      <c r="M2">
        <v>1</v>
      </c>
    </row>
    <row r="3" spans="1:13" x14ac:dyDescent="0.3">
      <c r="A3" t="s">
        <v>4860</v>
      </c>
      <c r="B3" t="s">
        <v>4861</v>
      </c>
      <c r="C3" t="s">
        <v>4782</v>
      </c>
      <c r="D3" t="s">
        <v>4782</v>
      </c>
      <c r="E3" t="s">
        <v>4862</v>
      </c>
      <c r="F3" t="s">
        <v>892</v>
      </c>
      <c r="G3" t="s">
        <v>4867</v>
      </c>
      <c r="H3">
        <v>268</v>
      </c>
      <c r="I3">
        <v>431</v>
      </c>
      <c r="J3" t="s">
        <v>4865</v>
      </c>
      <c r="K3" t="s">
        <v>4866</v>
      </c>
      <c r="M3">
        <v>2</v>
      </c>
    </row>
    <row r="4" spans="1:13" x14ac:dyDescent="0.3">
      <c r="A4" t="s">
        <v>4860</v>
      </c>
      <c r="B4" t="s">
        <v>4861</v>
      </c>
      <c r="C4" t="s">
        <v>4868</v>
      </c>
      <c r="D4" t="s">
        <v>4868</v>
      </c>
      <c r="E4" t="s">
        <v>4869</v>
      </c>
      <c r="F4" t="s">
        <v>4870</v>
      </c>
      <c r="G4" t="s">
        <v>4871</v>
      </c>
      <c r="H4">
        <v>0</v>
      </c>
      <c r="I4">
        <v>103</v>
      </c>
      <c r="J4" t="s">
        <v>4865</v>
      </c>
      <c r="K4" t="s">
        <v>4866</v>
      </c>
      <c r="M4">
        <v>3</v>
      </c>
    </row>
    <row r="5" spans="1:13" x14ac:dyDescent="0.3">
      <c r="A5" t="s">
        <v>4860</v>
      </c>
      <c r="B5" t="s">
        <v>4861</v>
      </c>
      <c r="C5" t="s">
        <v>4868</v>
      </c>
      <c r="D5" t="s">
        <v>4868</v>
      </c>
      <c r="E5" t="s">
        <v>4869</v>
      </c>
      <c r="F5" t="s">
        <v>4872</v>
      </c>
      <c r="G5" t="s">
        <v>4873</v>
      </c>
      <c r="H5">
        <v>103</v>
      </c>
      <c r="I5">
        <v>217</v>
      </c>
      <c r="J5" t="s">
        <v>4865</v>
      </c>
      <c r="K5" t="s">
        <v>4866</v>
      </c>
      <c r="M5">
        <v>4</v>
      </c>
    </row>
    <row r="6" spans="1:13" x14ac:dyDescent="0.3">
      <c r="A6" t="s">
        <v>4860</v>
      </c>
      <c r="B6" t="s">
        <v>4861</v>
      </c>
      <c r="C6" t="s">
        <v>4874</v>
      </c>
      <c r="D6" t="s">
        <v>4874</v>
      </c>
      <c r="E6" t="s">
        <v>4875</v>
      </c>
      <c r="F6" t="s">
        <v>4875</v>
      </c>
      <c r="G6" t="s">
        <v>4876</v>
      </c>
      <c r="H6">
        <v>0</v>
      </c>
      <c r="I6">
        <v>210</v>
      </c>
      <c r="J6" t="s">
        <v>4865</v>
      </c>
      <c r="K6" t="s">
        <v>4866</v>
      </c>
      <c r="M6">
        <v>5</v>
      </c>
    </row>
    <row r="7" spans="1:13" x14ac:dyDescent="0.3">
      <c r="A7" t="s">
        <v>4860</v>
      </c>
      <c r="B7" t="s">
        <v>4861</v>
      </c>
      <c r="C7" t="s">
        <v>4877</v>
      </c>
      <c r="D7" t="s">
        <v>4877</v>
      </c>
      <c r="E7" t="s">
        <v>4878</v>
      </c>
      <c r="F7" t="s">
        <v>4878</v>
      </c>
      <c r="G7" t="s">
        <v>4879</v>
      </c>
      <c r="H7">
        <v>75</v>
      </c>
      <c r="I7">
        <v>226</v>
      </c>
      <c r="J7" t="s">
        <v>4865</v>
      </c>
      <c r="K7" t="s">
        <v>4866</v>
      </c>
      <c r="M7">
        <v>6</v>
      </c>
    </row>
    <row r="8" spans="1:13" x14ac:dyDescent="0.3">
      <c r="A8" t="s">
        <v>4860</v>
      </c>
      <c r="B8" t="s">
        <v>4861</v>
      </c>
      <c r="C8" t="s">
        <v>4880</v>
      </c>
      <c r="D8" t="s">
        <v>4880</v>
      </c>
      <c r="E8" t="s">
        <v>4881</v>
      </c>
      <c r="F8" t="s">
        <v>4881</v>
      </c>
      <c r="G8" t="s">
        <v>4882</v>
      </c>
      <c r="H8">
        <v>0</v>
      </c>
      <c r="I8">
        <v>120</v>
      </c>
      <c r="J8" t="s">
        <v>4865</v>
      </c>
      <c r="K8" t="s">
        <v>4866</v>
      </c>
      <c r="M8">
        <v>7</v>
      </c>
    </row>
    <row r="9" spans="1:13" x14ac:dyDescent="0.3">
      <c r="A9" t="s">
        <v>4860</v>
      </c>
      <c r="B9" t="s">
        <v>4861</v>
      </c>
      <c r="C9" t="s">
        <v>4783</v>
      </c>
      <c r="D9" t="s">
        <v>4783</v>
      </c>
      <c r="E9" t="s">
        <v>845</v>
      </c>
      <c r="F9" t="s">
        <v>845</v>
      </c>
      <c r="G9" t="s">
        <v>4883</v>
      </c>
      <c r="H9">
        <v>249</v>
      </c>
      <c r="I9">
        <v>379</v>
      </c>
      <c r="J9" t="s">
        <v>4865</v>
      </c>
      <c r="K9" t="s">
        <v>4866</v>
      </c>
      <c r="M9">
        <v>8</v>
      </c>
    </row>
    <row r="10" spans="1:13" x14ac:dyDescent="0.3">
      <c r="A10" t="s">
        <v>4860</v>
      </c>
      <c r="B10" t="s">
        <v>4861</v>
      </c>
      <c r="C10" t="s">
        <v>4784</v>
      </c>
      <c r="D10" t="s">
        <v>4784</v>
      </c>
      <c r="E10" t="s">
        <v>4884</v>
      </c>
      <c r="F10" t="s">
        <v>4885</v>
      </c>
      <c r="G10" t="s">
        <v>4886</v>
      </c>
      <c r="H10">
        <v>248</v>
      </c>
      <c r="I10">
        <v>334</v>
      </c>
      <c r="J10" t="s">
        <v>4865</v>
      </c>
      <c r="K10" t="s">
        <v>4866</v>
      </c>
      <c r="M10">
        <v>9</v>
      </c>
    </row>
    <row r="11" spans="1:13" x14ac:dyDescent="0.3">
      <c r="A11" t="s">
        <v>4860</v>
      </c>
      <c r="B11" t="s">
        <v>4861</v>
      </c>
      <c r="C11" t="s">
        <v>4784</v>
      </c>
      <c r="D11" t="s">
        <v>4784</v>
      </c>
      <c r="E11" t="s">
        <v>4884</v>
      </c>
      <c r="F11" t="s">
        <v>1259</v>
      </c>
      <c r="G11" t="s">
        <v>4887</v>
      </c>
      <c r="H11">
        <v>334</v>
      </c>
      <c r="I11">
        <v>420</v>
      </c>
      <c r="J11" t="s">
        <v>4865</v>
      </c>
      <c r="K11" t="s">
        <v>4866</v>
      </c>
      <c r="M11">
        <v>10</v>
      </c>
    </row>
    <row r="12" spans="1:13" x14ac:dyDescent="0.3">
      <c r="A12" t="s">
        <v>4860</v>
      </c>
      <c r="B12" t="s">
        <v>4861</v>
      </c>
      <c r="C12" t="s">
        <v>4784</v>
      </c>
      <c r="D12" t="s">
        <v>4784</v>
      </c>
      <c r="E12" t="s">
        <v>4884</v>
      </c>
      <c r="F12" t="s">
        <v>670</v>
      </c>
      <c r="G12" t="s">
        <v>4888</v>
      </c>
      <c r="H12">
        <v>420</v>
      </c>
      <c r="I12">
        <v>500</v>
      </c>
      <c r="J12" t="s">
        <v>4865</v>
      </c>
      <c r="K12" t="s">
        <v>4866</v>
      </c>
      <c r="M12">
        <v>11</v>
      </c>
    </row>
    <row r="13" spans="1:13" x14ac:dyDescent="0.3">
      <c r="A13" t="s">
        <v>4860</v>
      </c>
      <c r="B13" t="s">
        <v>4861</v>
      </c>
      <c r="C13" t="s">
        <v>4784</v>
      </c>
      <c r="D13" t="s">
        <v>4784</v>
      </c>
      <c r="E13" t="s">
        <v>4884</v>
      </c>
      <c r="F13" t="s">
        <v>662</v>
      </c>
      <c r="G13" t="s">
        <v>4889</v>
      </c>
      <c r="H13">
        <v>500</v>
      </c>
      <c r="I13">
        <v>583</v>
      </c>
      <c r="J13" t="s">
        <v>4865</v>
      </c>
      <c r="K13" t="s">
        <v>4866</v>
      </c>
      <c r="M13">
        <v>12</v>
      </c>
    </row>
    <row r="14" spans="1:13" x14ac:dyDescent="0.3">
      <c r="A14" t="s">
        <v>4860</v>
      </c>
      <c r="B14" t="s">
        <v>4861</v>
      </c>
      <c r="C14" t="s">
        <v>4890</v>
      </c>
      <c r="D14" t="s">
        <v>4890</v>
      </c>
      <c r="E14" t="s">
        <v>4891</v>
      </c>
      <c r="F14" t="s">
        <v>4891</v>
      </c>
      <c r="G14" t="s">
        <v>4892</v>
      </c>
      <c r="H14">
        <v>223</v>
      </c>
      <c r="I14">
        <v>343</v>
      </c>
      <c r="J14" t="s">
        <v>4865</v>
      </c>
      <c r="K14" t="s">
        <v>4893</v>
      </c>
      <c r="M14">
        <v>13</v>
      </c>
    </row>
    <row r="15" spans="1:13" x14ac:dyDescent="0.3">
      <c r="A15" t="s">
        <v>4860</v>
      </c>
      <c r="B15" t="s">
        <v>4894</v>
      </c>
      <c r="C15" t="s">
        <v>4787</v>
      </c>
      <c r="D15" t="s">
        <v>4787</v>
      </c>
      <c r="E15" t="s">
        <v>4895</v>
      </c>
      <c r="F15" t="s">
        <v>4896</v>
      </c>
      <c r="G15" t="s">
        <v>4897</v>
      </c>
      <c r="H15">
        <v>114</v>
      </c>
      <c r="I15">
        <v>170</v>
      </c>
      <c r="J15" t="s">
        <v>4865</v>
      </c>
      <c r="K15" t="s">
        <v>4893</v>
      </c>
      <c r="M15">
        <v>14</v>
      </c>
    </row>
    <row r="16" spans="1:13" x14ac:dyDescent="0.3">
      <c r="A16" t="s">
        <v>4860</v>
      </c>
      <c r="B16" t="s">
        <v>4894</v>
      </c>
      <c r="C16" t="s">
        <v>4787</v>
      </c>
      <c r="D16" t="s">
        <v>4787</v>
      </c>
      <c r="E16" t="s">
        <v>4895</v>
      </c>
      <c r="F16" t="s">
        <v>948</v>
      </c>
      <c r="G16" t="s">
        <v>4898</v>
      </c>
      <c r="H16">
        <v>170</v>
      </c>
      <c r="I16">
        <v>249</v>
      </c>
      <c r="J16" t="s">
        <v>4865</v>
      </c>
      <c r="K16" t="s">
        <v>4893</v>
      </c>
      <c r="M16">
        <v>15</v>
      </c>
    </row>
    <row r="17" spans="1:13" x14ac:dyDescent="0.3">
      <c r="A17" t="s">
        <v>4860</v>
      </c>
      <c r="B17" t="s">
        <v>4894</v>
      </c>
      <c r="C17" t="s">
        <v>4788</v>
      </c>
      <c r="D17" t="s">
        <v>4788</v>
      </c>
      <c r="E17" t="s">
        <v>687</v>
      </c>
      <c r="F17" t="s">
        <v>687</v>
      </c>
      <c r="G17" t="s">
        <v>4899</v>
      </c>
      <c r="H17">
        <v>0</v>
      </c>
      <c r="I17">
        <v>114</v>
      </c>
      <c r="J17" t="s">
        <v>4865</v>
      </c>
      <c r="K17" t="s">
        <v>4893</v>
      </c>
      <c r="M17">
        <v>16</v>
      </c>
    </row>
    <row r="18" spans="1:13" x14ac:dyDescent="0.3">
      <c r="A18" t="s">
        <v>4860</v>
      </c>
      <c r="B18" t="s">
        <v>4894</v>
      </c>
      <c r="C18" t="s">
        <v>4900</v>
      </c>
      <c r="D18" t="s">
        <v>4900</v>
      </c>
      <c r="E18" t="s">
        <v>4901</v>
      </c>
      <c r="F18" t="s">
        <v>4901</v>
      </c>
      <c r="G18" t="s">
        <v>4902</v>
      </c>
      <c r="H18">
        <v>102</v>
      </c>
      <c r="I18">
        <v>110</v>
      </c>
      <c r="J18" t="s">
        <v>4865</v>
      </c>
      <c r="K18" t="s">
        <v>4893</v>
      </c>
      <c r="M18">
        <v>17</v>
      </c>
    </row>
    <row r="19" spans="1:13" x14ac:dyDescent="0.3">
      <c r="A19" t="s">
        <v>4860</v>
      </c>
      <c r="B19" t="s">
        <v>4894</v>
      </c>
      <c r="C19" t="s">
        <v>4903</v>
      </c>
      <c r="D19" t="s">
        <v>4903</v>
      </c>
      <c r="E19" t="s">
        <v>4904</v>
      </c>
      <c r="F19" t="s">
        <v>4904</v>
      </c>
      <c r="G19" t="s">
        <v>4905</v>
      </c>
      <c r="H19">
        <v>0</v>
      </c>
      <c r="I19">
        <v>43</v>
      </c>
      <c r="J19" t="s">
        <v>4865</v>
      </c>
      <c r="K19" t="s">
        <v>4893</v>
      </c>
      <c r="M19">
        <v>18</v>
      </c>
    </row>
    <row r="20" spans="1:13" x14ac:dyDescent="0.3">
      <c r="A20" t="s">
        <v>4860</v>
      </c>
      <c r="B20" t="s">
        <v>4894</v>
      </c>
      <c r="C20" t="s">
        <v>4789</v>
      </c>
      <c r="D20" t="s">
        <v>4789</v>
      </c>
      <c r="E20" t="s">
        <v>675</v>
      </c>
      <c r="F20" t="s">
        <v>675</v>
      </c>
      <c r="G20" t="s">
        <v>4906</v>
      </c>
      <c r="H20">
        <v>0</v>
      </c>
      <c r="I20">
        <v>64</v>
      </c>
      <c r="J20" t="s">
        <v>4865</v>
      </c>
      <c r="K20" t="s">
        <v>4893</v>
      </c>
      <c r="M20">
        <v>19</v>
      </c>
    </row>
    <row r="21" spans="1:13" x14ac:dyDescent="0.3">
      <c r="A21" t="s">
        <v>4860</v>
      </c>
      <c r="B21" t="s">
        <v>4894</v>
      </c>
      <c r="C21" t="s">
        <v>4790</v>
      </c>
      <c r="D21" t="s">
        <v>4790</v>
      </c>
      <c r="E21" t="s">
        <v>4907</v>
      </c>
      <c r="F21" t="s">
        <v>520</v>
      </c>
      <c r="G21" t="s">
        <v>4908</v>
      </c>
      <c r="H21">
        <v>138</v>
      </c>
      <c r="I21">
        <v>213</v>
      </c>
      <c r="J21" t="s">
        <v>4865</v>
      </c>
      <c r="K21" t="s">
        <v>4893</v>
      </c>
      <c r="M21">
        <v>20</v>
      </c>
    </row>
    <row r="22" spans="1:13" x14ac:dyDescent="0.3">
      <c r="A22" t="s">
        <v>4860</v>
      </c>
      <c r="B22" t="s">
        <v>4894</v>
      </c>
      <c r="C22" t="s">
        <v>4790</v>
      </c>
      <c r="D22" t="s">
        <v>4790</v>
      </c>
      <c r="E22" t="s">
        <v>4907</v>
      </c>
      <c r="F22" t="s">
        <v>1287</v>
      </c>
      <c r="G22" t="s">
        <v>4909</v>
      </c>
      <c r="H22">
        <v>77</v>
      </c>
      <c r="I22">
        <v>138</v>
      </c>
      <c r="J22" t="s">
        <v>4865</v>
      </c>
      <c r="K22" t="s">
        <v>4893</v>
      </c>
      <c r="M22">
        <v>21</v>
      </c>
    </row>
    <row r="23" spans="1:13" x14ac:dyDescent="0.3">
      <c r="A23" t="s">
        <v>4860</v>
      </c>
      <c r="B23" t="s">
        <v>4894</v>
      </c>
      <c r="C23" t="s">
        <v>4790</v>
      </c>
      <c r="D23" t="s">
        <v>4790</v>
      </c>
      <c r="E23" t="s">
        <v>4907</v>
      </c>
      <c r="F23" t="s">
        <v>4910</v>
      </c>
      <c r="G23" t="s">
        <v>4911</v>
      </c>
      <c r="H23">
        <v>0</v>
      </c>
      <c r="I23">
        <v>77</v>
      </c>
      <c r="J23" t="s">
        <v>4865</v>
      </c>
      <c r="K23" t="s">
        <v>4893</v>
      </c>
      <c r="M23">
        <v>22</v>
      </c>
    </row>
    <row r="24" spans="1:13" x14ac:dyDescent="0.3">
      <c r="A24" t="s">
        <v>4860</v>
      </c>
      <c r="B24" t="s">
        <v>4912</v>
      </c>
      <c r="C24" t="s">
        <v>4791</v>
      </c>
      <c r="D24" t="s">
        <v>4791</v>
      </c>
      <c r="E24" t="s">
        <v>927</v>
      </c>
      <c r="F24" t="s">
        <v>927</v>
      </c>
      <c r="G24" t="s">
        <v>4913</v>
      </c>
      <c r="H24">
        <v>0</v>
      </c>
      <c r="I24">
        <v>864</v>
      </c>
      <c r="J24" t="s">
        <v>4914</v>
      </c>
      <c r="K24" t="s">
        <v>4915</v>
      </c>
      <c r="M24">
        <v>102</v>
      </c>
    </row>
    <row r="25" spans="1:13" x14ac:dyDescent="0.3">
      <c r="A25" t="s">
        <v>4860</v>
      </c>
      <c r="B25" t="s">
        <v>4912</v>
      </c>
      <c r="C25" t="s">
        <v>4792</v>
      </c>
      <c r="D25" t="s">
        <v>4792</v>
      </c>
      <c r="E25" t="s">
        <v>4916</v>
      </c>
      <c r="F25" t="s">
        <v>1009</v>
      </c>
      <c r="G25" t="s">
        <v>4917</v>
      </c>
      <c r="H25">
        <v>1</v>
      </c>
      <c r="I25">
        <v>108</v>
      </c>
      <c r="J25" t="s">
        <v>4914</v>
      </c>
      <c r="K25" t="s">
        <v>4915</v>
      </c>
      <c r="M25">
        <v>23</v>
      </c>
    </row>
    <row r="26" spans="1:13" x14ac:dyDescent="0.3">
      <c r="A26" t="s">
        <v>4860</v>
      </c>
      <c r="B26" t="s">
        <v>4912</v>
      </c>
      <c r="C26" t="s">
        <v>4792</v>
      </c>
      <c r="D26" t="s">
        <v>4792</v>
      </c>
      <c r="E26" t="s">
        <v>4916</v>
      </c>
      <c r="F26" t="s">
        <v>116</v>
      </c>
      <c r="G26" t="s">
        <v>4918</v>
      </c>
      <c r="H26">
        <v>108</v>
      </c>
      <c r="I26">
        <v>206</v>
      </c>
      <c r="J26" t="s">
        <v>4914</v>
      </c>
      <c r="K26" t="s">
        <v>4915</v>
      </c>
      <c r="M26">
        <v>24</v>
      </c>
    </row>
    <row r="27" spans="1:13" x14ac:dyDescent="0.3">
      <c r="A27" t="s">
        <v>4860</v>
      </c>
      <c r="B27" t="s">
        <v>4912</v>
      </c>
      <c r="C27" t="s">
        <v>4792</v>
      </c>
      <c r="D27" t="s">
        <v>4792</v>
      </c>
      <c r="E27" t="s">
        <v>4916</v>
      </c>
      <c r="F27" t="s">
        <v>852</v>
      </c>
      <c r="G27" t="s">
        <v>4919</v>
      </c>
      <c r="H27">
        <v>206</v>
      </c>
      <c r="I27">
        <v>293</v>
      </c>
      <c r="J27" t="s">
        <v>4914</v>
      </c>
      <c r="K27" t="s">
        <v>4915</v>
      </c>
      <c r="M27">
        <v>25</v>
      </c>
    </row>
    <row r="28" spans="1:13" x14ac:dyDescent="0.3">
      <c r="A28" t="s">
        <v>4860</v>
      </c>
      <c r="B28" t="s">
        <v>4912</v>
      </c>
      <c r="C28" t="s">
        <v>4799</v>
      </c>
      <c r="D28" t="s">
        <v>4799</v>
      </c>
      <c r="E28" t="s">
        <v>4920</v>
      </c>
      <c r="F28" t="s">
        <v>35</v>
      </c>
      <c r="G28" t="s">
        <v>4921</v>
      </c>
      <c r="H28">
        <v>300</v>
      </c>
      <c r="I28">
        <v>397</v>
      </c>
      <c r="J28" t="s">
        <v>4914</v>
      </c>
      <c r="K28" t="s">
        <v>4915</v>
      </c>
      <c r="M28">
        <v>26</v>
      </c>
    </row>
    <row r="29" spans="1:13" x14ac:dyDescent="0.3">
      <c r="A29" t="s">
        <v>4860</v>
      </c>
      <c r="B29" t="s">
        <v>4912</v>
      </c>
      <c r="C29" t="s">
        <v>4799</v>
      </c>
      <c r="D29" t="s">
        <v>4799</v>
      </c>
      <c r="E29" t="s">
        <v>4920</v>
      </c>
      <c r="F29" t="s">
        <v>209</v>
      </c>
      <c r="G29" t="s">
        <v>4922</v>
      </c>
      <c r="H29">
        <v>209</v>
      </c>
      <c r="I29">
        <v>300</v>
      </c>
      <c r="J29" t="s">
        <v>4914</v>
      </c>
      <c r="K29" t="s">
        <v>4915</v>
      </c>
      <c r="M29">
        <v>27</v>
      </c>
    </row>
    <row r="30" spans="1:13" x14ac:dyDescent="0.3">
      <c r="A30" t="s">
        <v>4860</v>
      </c>
      <c r="B30" t="s">
        <v>4912</v>
      </c>
      <c r="C30" t="s">
        <v>4799</v>
      </c>
      <c r="D30" t="s">
        <v>4799</v>
      </c>
      <c r="E30" t="s">
        <v>4920</v>
      </c>
      <c r="F30" t="s">
        <v>342</v>
      </c>
      <c r="G30" t="s">
        <v>4923</v>
      </c>
      <c r="H30">
        <v>99</v>
      </c>
      <c r="I30">
        <v>209</v>
      </c>
      <c r="J30" t="s">
        <v>4914</v>
      </c>
      <c r="K30" t="s">
        <v>4915</v>
      </c>
      <c r="M30">
        <v>28</v>
      </c>
    </row>
    <row r="31" spans="1:13" x14ac:dyDescent="0.3">
      <c r="A31" t="s">
        <v>4860</v>
      </c>
      <c r="B31" t="s">
        <v>4912</v>
      </c>
      <c r="C31" t="s">
        <v>4924</v>
      </c>
      <c r="D31" t="s">
        <v>4924</v>
      </c>
      <c r="E31" t="s">
        <v>4925</v>
      </c>
      <c r="F31" t="s">
        <v>4925</v>
      </c>
      <c r="G31" t="s">
        <v>4926</v>
      </c>
      <c r="H31">
        <v>0</v>
      </c>
      <c r="I31">
        <v>70</v>
      </c>
      <c r="J31" t="s">
        <v>4927</v>
      </c>
      <c r="K31" t="s">
        <v>4915</v>
      </c>
      <c r="M31">
        <v>29</v>
      </c>
    </row>
    <row r="32" spans="1:13" x14ac:dyDescent="0.3">
      <c r="A32" t="s">
        <v>4860</v>
      </c>
      <c r="B32" t="s">
        <v>4912</v>
      </c>
      <c r="C32" t="s">
        <v>4814</v>
      </c>
      <c r="D32" t="s">
        <v>4814</v>
      </c>
      <c r="E32" t="s">
        <v>780</v>
      </c>
      <c r="F32" t="s">
        <v>780</v>
      </c>
      <c r="G32" t="s">
        <v>4928</v>
      </c>
      <c r="H32">
        <v>1</v>
      </c>
      <c r="I32">
        <v>159</v>
      </c>
      <c r="J32" t="s">
        <v>4927</v>
      </c>
      <c r="K32" t="s">
        <v>4915</v>
      </c>
      <c r="M32">
        <v>30</v>
      </c>
    </row>
    <row r="33" spans="1:13" x14ac:dyDescent="0.3">
      <c r="A33" t="s">
        <v>4860</v>
      </c>
      <c r="B33" t="s">
        <v>4912</v>
      </c>
      <c r="C33" t="s">
        <v>4929</v>
      </c>
      <c r="D33" t="s">
        <v>4929</v>
      </c>
      <c r="E33" t="s">
        <v>4930</v>
      </c>
      <c r="F33" t="s">
        <v>4930</v>
      </c>
      <c r="G33" t="s">
        <v>4931</v>
      </c>
      <c r="H33">
        <v>0</v>
      </c>
      <c r="I33">
        <v>16</v>
      </c>
      <c r="J33" t="s">
        <v>4927</v>
      </c>
      <c r="K33" t="s">
        <v>4915</v>
      </c>
      <c r="M33">
        <v>31</v>
      </c>
    </row>
    <row r="34" spans="1:13" x14ac:dyDescent="0.3">
      <c r="A34" t="s">
        <v>4860</v>
      </c>
      <c r="B34" t="s">
        <v>4912</v>
      </c>
      <c r="C34" t="s">
        <v>4842</v>
      </c>
      <c r="D34" t="s">
        <v>4842</v>
      </c>
      <c r="E34" t="s">
        <v>1641</v>
      </c>
      <c r="F34" t="s">
        <v>1641</v>
      </c>
      <c r="G34" t="s">
        <v>4932</v>
      </c>
      <c r="H34">
        <v>0</v>
      </c>
      <c r="I34">
        <v>120</v>
      </c>
      <c r="J34" t="s">
        <v>4927</v>
      </c>
      <c r="K34" t="s">
        <v>4915</v>
      </c>
      <c r="M34">
        <v>32</v>
      </c>
    </row>
    <row r="35" spans="1:13" x14ac:dyDescent="0.3">
      <c r="A35" t="s">
        <v>4860</v>
      </c>
      <c r="B35" t="s">
        <v>4912</v>
      </c>
      <c r="C35" t="s">
        <v>4933</v>
      </c>
      <c r="D35" t="s">
        <v>4933</v>
      </c>
      <c r="E35" t="s">
        <v>4934</v>
      </c>
      <c r="F35" t="s">
        <v>4934</v>
      </c>
      <c r="G35" t="s">
        <v>4935</v>
      </c>
      <c r="H35">
        <v>0</v>
      </c>
      <c r="I35">
        <v>19</v>
      </c>
      <c r="J35" t="s">
        <v>4927</v>
      </c>
      <c r="K35" t="s">
        <v>4915</v>
      </c>
      <c r="M35">
        <v>33</v>
      </c>
    </row>
    <row r="36" spans="1:13" x14ac:dyDescent="0.3">
      <c r="A36" t="s">
        <v>4860</v>
      </c>
      <c r="B36" t="s">
        <v>4912</v>
      </c>
      <c r="C36" t="s">
        <v>4936</v>
      </c>
      <c r="D36" t="s">
        <v>4936</v>
      </c>
      <c r="E36" t="s">
        <v>4937</v>
      </c>
      <c r="F36" t="s">
        <v>4937</v>
      </c>
      <c r="G36" t="s">
        <v>4938</v>
      </c>
      <c r="H36">
        <v>31</v>
      </c>
      <c r="I36">
        <v>191</v>
      </c>
      <c r="J36" t="s">
        <v>4927</v>
      </c>
      <c r="K36" t="s">
        <v>4915</v>
      </c>
      <c r="M36">
        <v>34</v>
      </c>
    </row>
    <row r="37" spans="1:13" x14ac:dyDescent="0.3">
      <c r="A37" t="s">
        <v>4860</v>
      </c>
      <c r="B37" t="s">
        <v>4927</v>
      </c>
      <c r="C37" t="s">
        <v>4844</v>
      </c>
      <c r="D37" t="s">
        <v>4844</v>
      </c>
      <c r="E37" t="s">
        <v>319</v>
      </c>
      <c r="F37" t="s">
        <v>319</v>
      </c>
      <c r="G37" t="s">
        <v>4939</v>
      </c>
      <c r="H37">
        <v>152</v>
      </c>
      <c r="I37">
        <v>318</v>
      </c>
      <c r="J37" t="s">
        <v>4927</v>
      </c>
      <c r="K37" t="s">
        <v>4940</v>
      </c>
      <c r="M37">
        <v>35</v>
      </c>
    </row>
    <row r="38" spans="1:13" x14ac:dyDescent="0.3">
      <c r="A38" t="s">
        <v>4860</v>
      </c>
      <c r="B38" t="s">
        <v>4927</v>
      </c>
      <c r="C38" t="s">
        <v>4845</v>
      </c>
      <c r="D38" t="s">
        <v>4845</v>
      </c>
      <c r="E38" t="s">
        <v>349</v>
      </c>
      <c r="F38" t="s">
        <v>349</v>
      </c>
      <c r="G38" t="s">
        <v>4941</v>
      </c>
      <c r="H38">
        <v>315</v>
      </c>
      <c r="I38">
        <v>465</v>
      </c>
      <c r="J38" t="s">
        <v>4927</v>
      </c>
      <c r="K38" t="s">
        <v>4940</v>
      </c>
      <c r="M38">
        <v>36</v>
      </c>
    </row>
    <row r="39" spans="1:13" x14ac:dyDescent="0.3">
      <c r="A39" t="s">
        <v>4860</v>
      </c>
      <c r="B39" t="s">
        <v>4927</v>
      </c>
      <c r="C39" t="s">
        <v>4942</v>
      </c>
      <c r="D39" t="s">
        <v>4942</v>
      </c>
      <c r="E39" t="s">
        <v>4943</v>
      </c>
      <c r="F39" t="s">
        <v>4943</v>
      </c>
      <c r="G39" t="s">
        <v>4944</v>
      </c>
      <c r="H39">
        <v>142</v>
      </c>
      <c r="I39">
        <v>337</v>
      </c>
      <c r="J39" t="s">
        <v>4927</v>
      </c>
      <c r="K39" t="s">
        <v>4940</v>
      </c>
      <c r="M39">
        <v>38</v>
      </c>
    </row>
    <row r="40" spans="1:13" x14ac:dyDescent="0.3">
      <c r="A40" t="s">
        <v>4860</v>
      </c>
      <c r="B40" t="s">
        <v>4927</v>
      </c>
      <c r="C40" t="s">
        <v>4945</v>
      </c>
      <c r="D40" t="s">
        <v>4945</v>
      </c>
      <c r="E40" t="s">
        <v>4946</v>
      </c>
      <c r="F40" t="s">
        <v>4947</v>
      </c>
      <c r="G40" t="s">
        <v>4948</v>
      </c>
      <c r="H40">
        <v>0</v>
      </c>
      <c r="I40">
        <v>87</v>
      </c>
      <c r="J40" t="s">
        <v>4927</v>
      </c>
      <c r="K40" t="s">
        <v>4940</v>
      </c>
      <c r="M40">
        <v>39</v>
      </c>
    </row>
    <row r="41" spans="1:13" x14ac:dyDescent="0.3">
      <c r="A41" t="s">
        <v>4860</v>
      </c>
      <c r="B41" t="s">
        <v>4927</v>
      </c>
      <c r="C41" t="s">
        <v>4945</v>
      </c>
      <c r="D41" t="s">
        <v>4945</v>
      </c>
      <c r="E41" t="s">
        <v>4946</v>
      </c>
      <c r="F41" t="s">
        <v>4949</v>
      </c>
      <c r="G41" t="s">
        <v>4950</v>
      </c>
      <c r="H41">
        <v>87</v>
      </c>
      <c r="I41">
        <v>142</v>
      </c>
      <c r="J41" t="s">
        <v>4927</v>
      </c>
      <c r="K41" t="s">
        <v>4940</v>
      </c>
      <c r="M41">
        <v>105</v>
      </c>
    </row>
    <row r="42" spans="1:13" x14ac:dyDescent="0.3">
      <c r="A42" t="s">
        <v>4860</v>
      </c>
      <c r="B42" t="s">
        <v>4927</v>
      </c>
      <c r="C42" t="s">
        <v>4951</v>
      </c>
      <c r="D42" t="s">
        <v>4951</v>
      </c>
      <c r="E42" t="s">
        <v>4952</v>
      </c>
      <c r="F42" t="s">
        <v>4952</v>
      </c>
      <c r="G42" t="s">
        <v>4953</v>
      </c>
      <c r="H42">
        <v>0</v>
      </c>
      <c r="I42">
        <v>178</v>
      </c>
      <c r="J42" t="s">
        <v>4927</v>
      </c>
      <c r="K42" t="s">
        <v>4940</v>
      </c>
      <c r="M42">
        <v>40</v>
      </c>
    </row>
    <row r="43" spans="1:13" x14ac:dyDescent="0.3">
      <c r="A43" t="s">
        <v>4860</v>
      </c>
      <c r="B43" t="s">
        <v>4927</v>
      </c>
      <c r="C43" t="s">
        <v>4954</v>
      </c>
      <c r="D43" t="s">
        <v>4954</v>
      </c>
      <c r="E43" t="s">
        <v>4955</v>
      </c>
      <c r="F43" t="s">
        <v>4955</v>
      </c>
      <c r="G43" t="s">
        <v>4956</v>
      </c>
      <c r="H43">
        <v>429</v>
      </c>
      <c r="I43">
        <v>693</v>
      </c>
      <c r="J43" t="s">
        <v>4927</v>
      </c>
      <c r="K43" t="s">
        <v>4940</v>
      </c>
      <c r="M43">
        <v>44</v>
      </c>
    </row>
    <row r="44" spans="1:13" x14ac:dyDescent="0.3">
      <c r="A44" t="s">
        <v>4860</v>
      </c>
      <c r="B44" t="s">
        <v>4927</v>
      </c>
      <c r="C44" t="s">
        <v>4957</v>
      </c>
      <c r="D44" t="s">
        <v>4957</v>
      </c>
      <c r="E44" t="s">
        <v>4958</v>
      </c>
      <c r="F44" t="s">
        <v>4958</v>
      </c>
      <c r="G44" t="s">
        <v>4959</v>
      </c>
      <c r="H44">
        <v>0</v>
      </c>
      <c r="I44">
        <v>159</v>
      </c>
      <c r="J44" t="s">
        <v>4927</v>
      </c>
      <c r="K44" t="s">
        <v>4940</v>
      </c>
      <c r="M44">
        <v>45</v>
      </c>
    </row>
    <row r="45" spans="1:13" x14ac:dyDescent="0.3">
      <c r="A45" t="s">
        <v>4860</v>
      </c>
      <c r="B45" t="s">
        <v>4927</v>
      </c>
      <c r="C45" t="s">
        <v>4960</v>
      </c>
      <c r="D45" t="s">
        <v>4960</v>
      </c>
      <c r="E45" t="s">
        <v>4961</v>
      </c>
      <c r="F45" t="s">
        <v>4961</v>
      </c>
      <c r="G45" t="s">
        <v>4962</v>
      </c>
      <c r="H45">
        <v>0</v>
      </c>
      <c r="I45">
        <v>209</v>
      </c>
      <c r="J45" t="s">
        <v>4927</v>
      </c>
      <c r="K45" t="s">
        <v>4940</v>
      </c>
      <c r="M45">
        <v>46</v>
      </c>
    </row>
    <row r="46" spans="1:13" x14ac:dyDescent="0.3">
      <c r="A46" t="s">
        <v>4860</v>
      </c>
      <c r="B46" t="s">
        <v>4927</v>
      </c>
      <c r="C46" t="s">
        <v>4846</v>
      </c>
      <c r="D46" t="s">
        <v>4846</v>
      </c>
      <c r="E46" t="s">
        <v>955</v>
      </c>
      <c r="F46" t="s">
        <v>955</v>
      </c>
      <c r="G46" t="s">
        <v>4963</v>
      </c>
      <c r="H46">
        <v>207</v>
      </c>
      <c r="I46">
        <v>473</v>
      </c>
      <c r="J46" t="s">
        <v>4927</v>
      </c>
      <c r="K46" t="s">
        <v>4940</v>
      </c>
      <c r="M46">
        <v>47</v>
      </c>
    </row>
    <row r="47" spans="1:13" x14ac:dyDescent="0.3">
      <c r="A47" t="s">
        <v>4860</v>
      </c>
      <c r="B47" t="s">
        <v>4861</v>
      </c>
      <c r="C47" t="s">
        <v>4964</v>
      </c>
      <c r="D47" t="s">
        <v>4964</v>
      </c>
      <c r="E47" t="s">
        <v>4965</v>
      </c>
      <c r="F47" t="s">
        <v>4965</v>
      </c>
      <c r="G47" t="s">
        <v>4966</v>
      </c>
      <c r="H47">
        <v>0</v>
      </c>
      <c r="I47">
        <v>65</v>
      </c>
      <c r="J47" t="s">
        <v>4865</v>
      </c>
      <c r="K47" t="s">
        <v>4893</v>
      </c>
      <c r="M47">
        <v>48</v>
      </c>
    </row>
    <row r="48" spans="1:13" x14ac:dyDescent="0.3">
      <c r="A48" t="s">
        <v>4860</v>
      </c>
      <c r="B48" t="s">
        <v>4861</v>
      </c>
      <c r="C48" t="s">
        <v>4964</v>
      </c>
      <c r="D48" t="s">
        <v>4964</v>
      </c>
      <c r="E48" t="s">
        <v>4967</v>
      </c>
      <c r="F48" t="s">
        <v>4967</v>
      </c>
      <c r="G48" t="s">
        <v>4968</v>
      </c>
      <c r="H48">
        <v>65</v>
      </c>
      <c r="I48">
        <v>140</v>
      </c>
      <c r="J48" t="s">
        <v>4865</v>
      </c>
      <c r="K48" t="s">
        <v>4893</v>
      </c>
      <c r="M48">
        <v>49</v>
      </c>
    </row>
    <row r="49" spans="1:13" x14ac:dyDescent="0.3">
      <c r="A49" t="s">
        <v>4860</v>
      </c>
      <c r="B49" t="s">
        <v>4861</v>
      </c>
      <c r="C49" t="s">
        <v>4847</v>
      </c>
      <c r="D49" t="s">
        <v>4847</v>
      </c>
      <c r="E49" t="s">
        <v>858</v>
      </c>
      <c r="F49" t="s">
        <v>858</v>
      </c>
      <c r="G49" t="s">
        <v>4969</v>
      </c>
      <c r="H49">
        <v>334</v>
      </c>
      <c r="I49">
        <v>421</v>
      </c>
      <c r="J49" t="s">
        <v>4970</v>
      </c>
      <c r="K49" t="s">
        <v>4866</v>
      </c>
      <c r="M49">
        <v>50</v>
      </c>
    </row>
    <row r="50" spans="1:13" x14ac:dyDescent="0.3">
      <c r="A50" t="s">
        <v>4860</v>
      </c>
      <c r="B50" t="s">
        <v>4861</v>
      </c>
      <c r="C50" t="s">
        <v>4971</v>
      </c>
      <c r="D50" t="s">
        <v>4971</v>
      </c>
      <c r="E50" t="s">
        <v>4972</v>
      </c>
      <c r="F50" t="s">
        <v>4972</v>
      </c>
      <c r="G50" t="s">
        <v>4973</v>
      </c>
      <c r="H50">
        <v>385</v>
      </c>
      <c r="I50">
        <v>417</v>
      </c>
      <c r="J50" t="s">
        <v>4970</v>
      </c>
      <c r="K50" t="s">
        <v>4866</v>
      </c>
      <c r="M50">
        <v>51</v>
      </c>
    </row>
    <row r="51" spans="1:13" x14ac:dyDescent="0.3">
      <c r="A51" t="s">
        <v>4860</v>
      </c>
      <c r="B51" t="s">
        <v>4861</v>
      </c>
      <c r="C51" t="s">
        <v>4974</v>
      </c>
      <c r="D51" t="s">
        <v>4974</v>
      </c>
      <c r="E51" t="s">
        <v>4975</v>
      </c>
      <c r="F51" t="s">
        <v>4975</v>
      </c>
      <c r="G51" t="s">
        <v>4976</v>
      </c>
      <c r="H51">
        <v>274</v>
      </c>
      <c r="I51">
        <v>838</v>
      </c>
      <c r="J51" t="s">
        <v>4865</v>
      </c>
      <c r="K51" t="s">
        <v>4866</v>
      </c>
      <c r="M51">
        <v>52</v>
      </c>
    </row>
    <row r="52" spans="1:13" x14ac:dyDescent="0.3">
      <c r="A52" t="s">
        <v>4860</v>
      </c>
      <c r="B52" t="s">
        <v>4912</v>
      </c>
      <c r="C52" t="s">
        <v>4977</v>
      </c>
      <c r="D52" t="s">
        <v>4977</v>
      </c>
      <c r="E52" t="s">
        <v>4978</v>
      </c>
      <c r="F52" t="s">
        <v>4978</v>
      </c>
      <c r="G52" t="s">
        <v>4979</v>
      </c>
      <c r="H52">
        <v>0</v>
      </c>
      <c r="I52">
        <v>34</v>
      </c>
      <c r="J52" t="s">
        <v>4927</v>
      </c>
      <c r="K52" t="s">
        <v>4915</v>
      </c>
      <c r="M52">
        <v>54</v>
      </c>
    </row>
    <row r="53" spans="1:13" x14ac:dyDescent="0.3">
      <c r="A53" t="s">
        <v>4860</v>
      </c>
      <c r="B53" t="s">
        <v>4894</v>
      </c>
      <c r="C53" t="s">
        <v>4777</v>
      </c>
      <c r="D53" t="s">
        <v>4777</v>
      </c>
      <c r="E53" t="s">
        <v>4779</v>
      </c>
      <c r="F53" t="s">
        <v>4779</v>
      </c>
      <c r="G53" t="s">
        <v>4931</v>
      </c>
      <c r="H53">
        <v>0</v>
      </c>
      <c r="I53">
        <v>16</v>
      </c>
      <c r="J53" t="s">
        <v>4865</v>
      </c>
      <c r="K53" t="s">
        <v>4980</v>
      </c>
      <c r="M53">
        <v>101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headerFooter>
    <oddHeader>&amp;L&amp;"Calibri"&amp;10&amp;K000000Interno&amp;1#</oddHeader>
    <oddFooter>&amp;L&amp;1#&amp;"Calibri"&amp;10&amp;K000000Interno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19bb24b-5f17-443d-9724-0b6f120ba666" xsi:nil="true"/>
    <Itens xmlns="719bb24b-5f17-443d-9724-0b6f120ba666" xsi:nil="true"/>
    <lcf76f155ced4ddcb4097134ff3c332f xmlns="719bb24b-5f17-443d-9724-0b6f120ba666">
      <Terms xmlns="http://schemas.microsoft.com/office/infopath/2007/PartnerControls"/>
    </lcf76f155ced4ddcb4097134ff3c332f>
    <TaxCatchAll xmlns="8ab048ff-042e-4963-810b-54117dbdad3f" xsi:nil="true"/>
    <Refer_x00ea_ncia xmlns="719bb24b-5f17-443d-9724-0b6f120ba666" xsi:nil="true"/>
    <Elaborador xmlns="719bb24b-5f17-443d-9724-0b6f120ba666" xsi:nil="true"/>
    <Coordena_x00e7__x00e3_o xmlns="719bb24b-5f17-443d-9724-0b6f120ba666" xsi:nil="true"/>
    <Aprovador xmlns="719bb24b-5f17-443d-9724-0b6f120ba666" xsi:nil="true"/>
    <Publicadoem_x003a_ xmlns="719bb24b-5f17-443d-9724-0b6f120ba666" xsi:nil="true"/>
    <Vig_x00ea_ncia xmlns="719bb24b-5f17-443d-9724-0b6f120ba666" xsi:nil="true"/>
    <Expiraem_x003a_ xmlns="719bb24b-5f17-443d-9724-0b6f120ba666" xsi:nil="true"/>
    <Status xmlns="719bb24b-5f17-443d-9724-0b6f120ba666" xsi:nil="true"/>
    <Documento xmlns="719bb24b-5f17-443d-9724-0b6f120ba666" xsi:nil="true"/>
    <Revisador xmlns="719bb24b-5f17-443d-9724-0b6f120ba666" xsi:nil="true"/>
    <N_x00ba_ xmlns="719bb24b-5f17-443d-9724-0b6f120ba666" xsi:nil="true"/>
    <Data xmlns="719bb24b-5f17-443d-9724-0b6f120ba666" xsi:nil="true"/>
    <Assunto xmlns="719bb24b-5f17-443d-9724-0b6f120ba666" xsi:nil="true"/>
    <Colaborador xmlns="719bb24b-5f17-443d-9724-0b6f120ba666">
      <UserInfo>
        <DisplayName/>
        <AccountId xsi:nil="true"/>
        <AccountType/>
      </UserInfo>
    </Colaborador>
    <_x00da_ltimamodifica_x00e7__x00e3_o xmlns="719bb24b-5f17-443d-9724-0b6f120ba666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B332F7C7325641A0CD07AFCFCC203C" ma:contentTypeVersion="40" ma:contentTypeDescription="Crie um novo documento." ma:contentTypeScope="" ma:versionID="d22e8d5f81d854232ed1195706e4777a">
  <xsd:schema xmlns:xsd="http://www.w3.org/2001/XMLSchema" xmlns:xs="http://www.w3.org/2001/XMLSchema" xmlns:p="http://schemas.microsoft.com/office/2006/metadata/properties" xmlns:ns2="719bb24b-5f17-443d-9724-0b6f120ba666" xmlns:ns3="8ab048ff-042e-4963-810b-54117dbdad3f" targetNamespace="http://schemas.microsoft.com/office/2006/metadata/properties" ma:root="true" ma:fieldsID="72c2664230fac33b6988e2e0e1c11ad0" ns2:_="" ns3:_="">
    <xsd:import namespace="719bb24b-5f17-443d-9724-0b6f120ba666"/>
    <xsd:import namespace="8ab048ff-042e-4963-810b-54117dbdad3f"/>
    <xsd:element name="properties">
      <xsd:complexType>
        <xsd:sequence>
          <xsd:element name="documentManagement">
            <xsd:complexType>
              <xsd:all>
                <xsd:element ref="ns2:Refer_x00ea_ncia" minOccurs="0"/>
                <xsd:element ref="ns2:Coordena_x00e7__x00e3_o" minOccurs="0"/>
                <xsd:element ref="ns2:Elaborador" minOccurs="0"/>
                <xsd:element ref="ns2:Aprovador" minOccurs="0"/>
                <xsd:element ref="ns2:Publicadoem_x003a_" minOccurs="0"/>
                <xsd:element ref="ns2:Vig_x00ea_ncia" minOccurs="0"/>
                <xsd:element ref="ns2:Expiraem_x003a_" minOccurs="0"/>
                <xsd:element ref="ns2:Status" minOccurs="0"/>
                <xsd:element ref="ns2:Documento" minOccurs="0"/>
                <xsd:element ref="ns2:_Flow_SignoffStatu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Iten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Revisador" minOccurs="0"/>
                <xsd:element ref="ns2:N_x00ba_" minOccurs="0"/>
                <xsd:element ref="ns2:Assunto" minOccurs="0"/>
                <xsd:element ref="ns2:Data" minOccurs="0"/>
                <xsd:element ref="ns2:Colaborador" minOccurs="0"/>
                <xsd:element ref="ns2:_x00da_ltimamodifica_x00e7__x00e3_o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bb24b-5f17-443d-9724-0b6f120ba666" elementFormDefault="qualified">
    <xsd:import namespace="http://schemas.microsoft.com/office/2006/documentManagement/types"/>
    <xsd:import namespace="http://schemas.microsoft.com/office/infopath/2007/PartnerControls"/>
    <xsd:element name="Refer_x00ea_ncia" ma:index="1" nillable="true" ma:displayName="Referência" ma:format="Dropdown" ma:internalName="Refer_x00ea_ncia" ma:readOnly="false">
      <xsd:simpleType>
        <xsd:restriction base="dms:Text">
          <xsd:maxLength value="255"/>
        </xsd:restriction>
      </xsd:simpleType>
    </xsd:element>
    <xsd:element name="Coordena_x00e7__x00e3_o" ma:index="2" nillable="true" ma:displayName="Coordenação/Especialistas" ma:format="Dropdown" ma:internalName="Coordena_x00e7__x00e3_o">
      <xsd:simpleType>
        <xsd:restriction base="dms:Text">
          <xsd:maxLength value="255"/>
        </xsd:restriction>
      </xsd:simpleType>
    </xsd:element>
    <xsd:element name="Elaborador" ma:index="3" nillable="true" ma:displayName="Elaborador" ma:format="Dropdown" ma:internalName="Elaborador" ma:readOnly="false">
      <xsd:simpleType>
        <xsd:restriction base="dms:Text">
          <xsd:maxLength value="255"/>
        </xsd:restriction>
      </xsd:simpleType>
    </xsd:element>
    <xsd:element name="Aprovador" ma:index="4" nillable="true" ma:displayName="Aprovador" ma:format="Dropdown" ma:internalName="Aprovador" ma:readOnly="false">
      <xsd:simpleType>
        <xsd:restriction base="dms:Text">
          <xsd:maxLength value="255"/>
        </xsd:restriction>
      </xsd:simpleType>
    </xsd:element>
    <xsd:element name="Publicadoem_x003a_" ma:index="5" nillable="true" ma:displayName="Publicado em:" ma:format="DateOnly" ma:internalName="Publicadoem_x003a_" ma:readOnly="false">
      <xsd:simpleType>
        <xsd:restriction base="dms:DateTime"/>
      </xsd:simpleType>
    </xsd:element>
    <xsd:element name="Vig_x00ea_ncia" ma:index="6" nillable="true" ma:displayName="Vigência" ma:format="Dropdown" ma:internalName="Vig_x00ea_ncia" ma:readOnly="false">
      <xsd:simpleType>
        <xsd:restriction base="dms:Text">
          <xsd:maxLength value="255"/>
        </xsd:restriction>
      </xsd:simpleType>
    </xsd:element>
    <xsd:element name="Expiraem_x003a_" ma:index="7" nillable="true" ma:displayName="Expira em:" ma:format="DateOnly" ma:internalName="Expiraem_x003a_" ma:readOnly="false">
      <xsd:simpleType>
        <xsd:restriction base="dms:DateTime"/>
      </xsd:simpleType>
    </xsd:element>
    <xsd:element name="Status" ma:index="8" nillable="true" ma:displayName="Status" ma:format="Dropdown" ma:internalName="Status">
      <xsd:simpleType>
        <xsd:union memberTypes="dms:Text">
          <xsd:simpleType>
            <xsd:restriction base="dms:Choice">
              <xsd:enumeration value="Vigente"/>
              <xsd:enumeration value="Obsoleto"/>
              <xsd:enumeration value="Em Aprovação"/>
              <xsd:enumeration value="Em Validação da Q&amp;N"/>
              <xsd:enumeration value="Manutenção Q&amp;N"/>
            </xsd:restriction>
          </xsd:simpleType>
        </xsd:union>
      </xsd:simpleType>
    </xsd:element>
    <xsd:element name="Documento" ma:index="9" nillable="true" ma:displayName="Documento" ma:format="Dropdown" ma:internalName="Documento" ma:readOnly="false">
      <xsd:simpleType>
        <xsd:restriction base="dms:Text">
          <xsd:maxLength value="255"/>
        </xsd:restriction>
      </xsd:simpleType>
    </xsd:element>
    <xsd:element name="_Flow_SignoffStatus" ma:index="11" nillable="true" ma:displayName="Status de liberação" ma:hidden="true" ma:internalName="Status_x0020_de_x0020_libera_x00e7__x00e3_o" ma:readOnly="fals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Itens" ma:index="22" nillable="true" ma:displayName="Itens" ma:hidden="true" ma:internalName="Itens" ma:readOnly="false">
      <xsd:simpleType>
        <xsd:restriction base="dms:Number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c7b921-c687-413c-ae19-3cd2bdf70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6" nillable="true" ma:displayName="Tags" ma:hidden="true" ma:internalName="MediaServiceAutoTags" ma:readOnly="true">
      <xsd:simpleType>
        <xsd:restriction base="dms:Text"/>
      </xsd:simpleType>
    </xsd:element>
    <xsd:element name="Revisador" ma:index="37" nillable="true" ma:displayName="Revisador" ma:format="Dropdown" ma:internalName="Revisador">
      <xsd:simpleType>
        <xsd:restriction base="dms:Text">
          <xsd:maxLength value="255"/>
        </xsd:restriction>
      </xsd:simpleType>
    </xsd:element>
    <xsd:element name="N_x00ba_" ma:index="38" nillable="true" ma:displayName="Rev. (Versão)" ma:format="Dropdown" ma:internalName="N_x00ba_" ma:percentage="FALSE">
      <xsd:simpleType>
        <xsd:restriction base="dms:Number"/>
      </xsd:simpleType>
    </xsd:element>
    <xsd:element name="Assunto" ma:index="39" nillable="true" ma:displayName="Assunto" ma:format="Dropdown" ma:internalName="Assunto">
      <xsd:simpleType>
        <xsd:restriction base="dms:Text">
          <xsd:maxLength value="255"/>
        </xsd:restriction>
      </xsd:simpleType>
    </xsd:element>
    <xsd:element name="Data" ma:index="40" nillable="true" ma:displayName="Data" ma:format="DateOnly" ma:internalName="Data">
      <xsd:simpleType>
        <xsd:restriction base="dms:DateTime"/>
      </xsd:simpleType>
    </xsd:element>
    <xsd:element name="Colaborador" ma:index="41" nillable="true" ma:displayName="Colaborador" ma:format="Dropdown" ma:list="UserInfo" ma:SharePointGroup="0" ma:internalName="Colaborad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x00da_ltimamodifica_x00e7__x00e3_o" ma:index="42" nillable="true" ma:displayName="Última modificação" ma:format="DateTime" ma:internalName="_x00da_ltimamodifica_x00e7__x00e3_o">
      <xsd:simpleType>
        <xsd:restriction base="dms:DateTim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048ff-042e-4963-810b-54117dbdad3f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05a0e058-13e6-4b2a-9532-85e5613c7d8c}" ma:internalName="TaxCatchAll" ma:readOnly="false" ma:showField="CatchAllData" ma:web="8ab048ff-042e-4963-810b-54117dbdad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2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3" nillable="true" ma:displayName="Detalhes de Compartilhado Com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66A94D-B6B9-4FDE-BCA6-BE1E5BD70A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350DC5-B4B7-4CCE-9AF0-036D2F576D4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2BFE14D-7222-4EDE-AFEE-8327E270BBA6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719bb24b-5f17-443d-9724-0b6f120ba666"/>
    <ds:schemaRef ds:uri="http://purl.org/dc/dcmitype/"/>
    <ds:schemaRef ds:uri="http://schemas.openxmlformats.org/package/2006/metadata/core-properties"/>
    <ds:schemaRef ds:uri="8ab048ff-042e-4963-810b-54117dbdad3f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3740643-5B72-42B2-BBA7-CCCDB2DA59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9bb24b-5f17-443d-9724-0b6f120ba666"/>
    <ds:schemaRef ds:uri="8ab048ff-042e-4963-810b-54117dbdad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Defeitos_Tuneis</vt:lpstr>
      <vt:lpstr>Faltantes</vt:lpstr>
      <vt:lpstr>Cadastro_Tunel</vt:lpstr>
      <vt:lpstr>Equipamento_Tunel</vt:lpstr>
      <vt:lpstr>Sub Trecho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2025-08-27T13:17:57Z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0x010100A1B332F7C7325641A0CD07AFCFCC203C</vt:lpwstr>
  </property>
  <property fmtid="{D5CDD505-2E9C-101B-9397-08002B2CF9AE}" pid="3" name="MediaServiceImageTags">
    <vt:lpwstr/>
  </property>
  <property fmtid="{D5CDD505-2E9C-101B-9397-08002B2CF9AE}" pid="4" name="MSIP_Label_b438d13a-497c-430a-a45f-2646ad695914_Enabled">
    <vt:lpwstr>true</vt:lpwstr>
  </property>
  <property fmtid="{D5CDD505-2E9C-101B-9397-08002B2CF9AE}" pid="5" name="MSIP_Label_b438d13a-497c-430a-a45f-2646ad695914_SetDate">
    <vt:lpwstr>2024-10-14T17:25:19Z</vt:lpwstr>
  </property>
  <property fmtid="{D5CDD505-2E9C-101B-9397-08002B2CF9AE}" pid="6" name="MSIP_Label_b438d13a-497c-430a-a45f-2646ad695914_Method">
    <vt:lpwstr>Privileged</vt:lpwstr>
  </property>
  <property fmtid="{D5CDD505-2E9C-101B-9397-08002B2CF9AE}" pid="7" name="MSIP_Label_b438d13a-497c-430a-a45f-2646ad695914_Name">
    <vt:lpwstr>Interno</vt:lpwstr>
  </property>
  <property fmtid="{D5CDD505-2E9C-101B-9397-08002B2CF9AE}" pid="8" name="MSIP_Label_b438d13a-497c-430a-a45f-2646ad695914_SiteId">
    <vt:lpwstr>837ce9c2-30fa-4613-b9ee-1f114ce71ff1</vt:lpwstr>
  </property>
  <property fmtid="{D5CDD505-2E9C-101B-9397-08002B2CF9AE}" pid="9" name="MSIP_Label_b438d13a-497c-430a-a45f-2646ad695914_ActionId">
    <vt:lpwstr>4840cbf5-22a2-4fd1-b347-a77b50295432</vt:lpwstr>
  </property>
  <property fmtid="{D5CDD505-2E9C-101B-9397-08002B2CF9AE}" pid="10" name="MSIP_Label_b438d13a-497c-430a-a45f-2646ad695914_ContentBits">
    <vt:lpwstr>3</vt:lpwstr>
  </property>
</Properties>
</file>